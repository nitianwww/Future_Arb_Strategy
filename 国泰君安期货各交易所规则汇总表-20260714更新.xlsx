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610" tabRatio="847" firstSheet="1" activeTab="8"/>
  </bookViews>
  <sheets>
    <sheet name="目录" sheetId="1" r:id="rId1"/>
    <sheet name="交易时间表" sheetId="2" r:id="rId2"/>
    <sheet name="期货合约要素" sheetId="3" r:id="rId3"/>
    <sheet name="期权合约要素" sheetId="4" r:id="rId4"/>
    <sheet name="保证金及涨跌停板幅度表" sheetId="5" r:id="rId5"/>
    <sheet name="限仓规则" sheetId="6" r:id="rId6"/>
    <sheet name="交易限额" sheetId="7" r:id="rId7"/>
    <sheet name="单笔最小开仓手数" sheetId="15" r:id="rId8"/>
    <sheet name="异常交易规则" sheetId="8" r:id="rId9"/>
    <sheet name="保证金优惠规则" sheetId="10" r:id="rId10"/>
    <sheet name="期权行权规则" sheetId="12" r:id="rId11"/>
    <sheet name="交易指令" sheetId="11" r:id="rId12"/>
    <sheet name="申报费规则" sheetId="13" r:id="rId13"/>
    <sheet name="修订记录" sheetId="14" r:id="rId14"/>
  </sheets>
  <definedNames>
    <definedName name="_xlnm._FilterDatabase" localSheetId="13" hidden="1">修订记录!$A$3:$Z$232</definedName>
    <definedName name="_xlnm._FilterDatabase" localSheetId="2" hidden="1">期货合约要素!$A$3:$AB$95</definedName>
    <definedName name="_xlnm._FilterDatabase" localSheetId="3" hidden="1">期权合约要素!$A$3:$V$80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<sst xmlns="http://schemas.openxmlformats.org/spreadsheetml/2006/main" count="4801" uniqueCount="1701">
  <si>
    <t>目录及链接</t>
  </si>
  <si>
    <t>各交易所交易规则链接</t>
  </si>
  <si>
    <t>目录</t>
  </si>
  <si>
    <t>中国金融期货交易所</t>
  </si>
  <si>
    <t>http://www.cffex.com.cn/jysgz/</t>
  </si>
  <si>
    <t>交易时间表</t>
  </si>
  <si>
    <t>上海期货交易所</t>
  </si>
  <si>
    <t>https://www.shfe.com.cn/regulation/</t>
  </si>
  <si>
    <t>期货合约要素</t>
  </si>
  <si>
    <t>上海国际能源交易中心</t>
  </si>
  <si>
    <t>https://www.ine.cn/regulation/ineregulation/rules/</t>
  </si>
  <si>
    <t>期权合约要素</t>
  </si>
  <si>
    <t>大连商品交易所</t>
  </si>
  <si>
    <t>http://www.dce.com.cn/dalianshangpin/fgfz/index.html</t>
  </si>
  <si>
    <t>保证金及涨跌停板幅度表</t>
  </si>
  <si>
    <t>郑州商品交易所</t>
  </si>
  <si>
    <t>https://www.czce.com.cn/cn/flfg/H077005index_1.htm</t>
  </si>
  <si>
    <t>限仓规则</t>
  </si>
  <si>
    <t>广州期货交易所</t>
  </si>
  <si>
    <t>http://www.gfex.com.cn/gfex/jysgz/lists_notime.shtml</t>
  </si>
  <si>
    <t>交易限额</t>
  </si>
  <si>
    <t>上海证券交易所</t>
  </si>
  <si>
    <t>http://www.sse.com.cn/lawandrules/sselawsrules/option/</t>
  </si>
  <si>
    <t>单笔最小开仓手数</t>
  </si>
  <si>
    <t>深圳证券交易所</t>
  </si>
  <si>
    <t>https://www.szse.cn/lawrules/rule/derivative/index.html</t>
  </si>
  <si>
    <t>异常交易规则</t>
  </si>
  <si>
    <t>保证金优惠规则</t>
  </si>
  <si>
    <t>指令规则</t>
  </si>
  <si>
    <t>期权行权规则</t>
  </si>
  <si>
    <t>申报费规则</t>
  </si>
  <si>
    <t>修订记录</t>
  </si>
  <si>
    <t>免责说明：本文件为国泰君安期货有限公司根据目前交易所规则汇编，供您参考，如有相关规则变动，则以交易所最新发布为准。</t>
  </si>
  <si>
    <t>点此返回目录</t>
  </si>
  <si>
    <t>期货及期权各品种交易时间表</t>
  </si>
  <si>
    <t>交易所</t>
  </si>
  <si>
    <t>品种名称</t>
  </si>
  <si>
    <t>品种代码</t>
  </si>
  <si>
    <t>是否有期权</t>
  </si>
  <si>
    <t>交易时间</t>
  </si>
  <si>
    <t>QFII&amp;RQFII</t>
  </si>
  <si>
    <t>国际化品种</t>
  </si>
  <si>
    <t>夜盘集合竞价</t>
  </si>
  <si>
    <t>夜盘连续竞价</t>
  </si>
  <si>
    <t>日盘集合竞价</t>
  </si>
  <si>
    <t>日盘连续竞价</t>
  </si>
  <si>
    <t>上期所</t>
  </si>
  <si>
    <t>线材</t>
  </si>
  <si>
    <t>wr</t>
  </si>
  <si>
    <t>无夜盘</t>
  </si>
  <si>
    <t>申报阶段8:55-8:59       撮合阶段8:59-9:00</t>
  </si>
  <si>
    <t>上午9:00-10:15
10:30-11:30
下午13:30-15:00</t>
  </si>
  <si>
    <t>螺纹钢</t>
  </si>
  <si>
    <t>rb</t>
  </si>
  <si>
    <t>是</t>
  </si>
  <si>
    <t>申报阶段20:55-20:59 撮合阶段20:59-21:00</t>
  </si>
  <si>
    <t>21：00-23：00</t>
  </si>
  <si>
    <t>二次集合竞价：
申报阶段8:55-8:59       撮合阶段8:59-9:00  
备注：未成交的交易指令自动参与日盘集合竞价，投资者可以在日盘集合竞价申报阶段对夜盘交易时段未成交的指令进行撤单。</t>
  </si>
  <si>
    <t>热轧卷板</t>
  </si>
  <si>
    <t>hc</t>
  </si>
  <si>
    <t>燃料油</t>
  </si>
  <si>
    <t>fu</t>
  </si>
  <si>
    <t>石油沥青</t>
  </si>
  <si>
    <t>bu</t>
  </si>
  <si>
    <t>天然橡胶</t>
  </si>
  <si>
    <t>ru</t>
  </si>
  <si>
    <t>丁二烯橡胶</t>
  </si>
  <si>
    <t>br</t>
  </si>
  <si>
    <t>漂针浆</t>
  </si>
  <si>
    <t>sp</t>
  </si>
  <si>
    <t>胶版印刷纸</t>
  </si>
  <si>
    <t>op</t>
  </si>
  <si>
    <t>铝</t>
  </si>
  <si>
    <t>al</t>
  </si>
  <si>
    <r>
      <rPr>
        <sz val="11"/>
        <color indexed="8"/>
        <rFont val="微软雅黑"/>
        <charset val="134"/>
      </rPr>
      <t>21：00</t>
    </r>
    <r>
      <rPr>
        <sz val="11"/>
        <color indexed="8"/>
        <rFont val="微软雅黑"/>
        <charset val="134"/>
      </rPr>
      <t>-</t>
    </r>
    <r>
      <rPr>
        <sz val="11"/>
        <color indexed="8"/>
        <rFont val="微软雅黑"/>
        <charset val="134"/>
      </rPr>
      <t>次日01：00</t>
    </r>
  </si>
  <si>
    <t>铜</t>
  </si>
  <si>
    <t>cu</t>
  </si>
  <si>
    <t>不锈钢</t>
  </si>
  <si>
    <t>ss</t>
  </si>
  <si>
    <t>锌</t>
  </si>
  <si>
    <t>zn</t>
  </si>
  <si>
    <t>铅</t>
  </si>
  <si>
    <t>pb</t>
  </si>
  <si>
    <t>镍</t>
  </si>
  <si>
    <t>ni</t>
  </si>
  <si>
    <t>锡</t>
  </si>
  <si>
    <t>sn</t>
  </si>
  <si>
    <t>氧化铝</t>
  </si>
  <si>
    <t>ao</t>
  </si>
  <si>
    <t>铸造铝合金</t>
  </si>
  <si>
    <t>ad</t>
  </si>
  <si>
    <t>黄金</t>
  </si>
  <si>
    <t>au</t>
  </si>
  <si>
    <t>21：00-次日02：30</t>
  </si>
  <si>
    <t>白银</t>
  </si>
  <si>
    <t>ag</t>
  </si>
  <si>
    <t>能源中心</t>
  </si>
  <si>
    <t>原油</t>
  </si>
  <si>
    <t>sc</t>
  </si>
  <si>
    <t>低硫燃料油</t>
  </si>
  <si>
    <t>lu</t>
  </si>
  <si>
    <t>20号胶</t>
  </si>
  <si>
    <t>nr</t>
  </si>
  <si>
    <t>国际铜</t>
  </si>
  <si>
    <t>bc</t>
  </si>
  <si>
    <r>
      <rPr>
        <sz val="11"/>
        <rFont val="微软雅黑"/>
        <charset val="134"/>
      </rPr>
      <t>21：00</t>
    </r>
    <r>
      <rPr>
        <sz val="11"/>
        <rFont val="微软雅黑"/>
        <charset val="134"/>
      </rPr>
      <t>-</t>
    </r>
    <r>
      <rPr>
        <sz val="11"/>
        <rFont val="微软雅黑"/>
        <charset val="134"/>
      </rPr>
      <t>次日01：00</t>
    </r>
  </si>
  <si>
    <t>集运指数（欧线）</t>
  </si>
  <si>
    <t>ec</t>
  </si>
  <si>
    <t>大商所</t>
  </si>
  <si>
    <t>黄大豆1号</t>
  </si>
  <si>
    <t>a</t>
  </si>
  <si>
    <t>二次集合竞价：
申报阶段8:55-8:59       撮合阶段8:59-9:00  
备注：未成交的交易指令自动参与日盘集合竞价，投资者可以在日盘集合竞价申报阶段对夜盘交易时段未成交的指令进行撤单。未触发的止损（盈）指令和套利交易指令不参与集合竞价撮合。</t>
  </si>
  <si>
    <t xml:space="preserve">上午9:00-10:15
10:30-11:30
下午13:30-15:00         </t>
  </si>
  <si>
    <t>黄大豆2号</t>
  </si>
  <si>
    <t>b</t>
  </si>
  <si>
    <t>豆粕</t>
  </si>
  <si>
    <t>m</t>
  </si>
  <si>
    <t>豆油</t>
  </si>
  <si>
    <t>y</t>
  </si>
  <si>
    <t>棕榈油</t>
  </si>
  <si>
    <t>p</t>
  </si>
  <si>
    <t>玉米</t>
  </si>
  <si>
    <t>c</t>
  </si>
  <si>
    <t>玉米淀粉</t>
  </si>
  <si>
    <t>cs</t>
  </si>
  <si>
    <t>聚氯乙烯</t>
  </si>
  <si>
    <t>v</t>
  </si>
  <si>
    <t>聚氯乙烯月均价</t>
  </si>
  <si>
    <t>v_f</t>
  </si>
  <si>
    <t>聚丙烯</t>
  </si>
  <si>
    <t>pp</t>
  </si>
  <si>
    <t>聚丙烯月均价</t>
  </si>
  <si>
    <t>pp_f</t>
  </si>
  <si>
    <t>聚乙烯</t>
  </si>
  <si>
    <t>l</t>
  </si>
  <si>
    <t>聚乙烯月均价</t>
  </si>
  <si>
    <t>l_f</t>
  </si>
  <si>
    <t>液化石油气</t>
  </si>
  <si>
    <t>pg</t>
  </si>
  <si>
    <t>乙二醇</t>
  </si>
  <si>
    <t>eg</t>
  </si>
  <si>
    <t>焦炭</t>
  </si>
  <si>
    <t>j</t>
  </si>
  <si>
    <t>焦煤</t>
  </si>
  <si>
    <t>jm</t>
  </si>
  <si>
    <t>粳米</t>
  </si>
  <si>
    <t>rr</t>
  </si>
  <si>
    <t>苯乙烯</t>
  </si>
  <si>
    <t>eb</t>
  </si>
  <si>
    <t>铁矿石</t>
  </si>
  <si>
    <t>i</t>
  </si>
  <si>
    <t>纯苯</t>
  </si>
  <si>
    <t>bz</t>
  </si>
  <si>
    <t>鸡蛋</t>
  </si>
  <si>
    <t>jd</t>
  </si>
  <si>
    <t>生猪</t>
  </si>
  <si>
    <t>lh</t>
  </si>
  <si>
    <t>胶合板</t>
  </si>
  <si>
    <t>bb</t>
  </si>
  <si>
    <t>纤维板</t>
  </si>
  <si>
    <t>fb</t>
  </si>
  <si>
    <t>原木</t>
  </si>
  <si>
    <t>lg</t>
  </si>
  <si>
    <t>郑商所</t>
  </si>
  <si>
    <t>棉花</t>
  </si>
  <si>
    <t>CF</t>
  </si>
  <si>
    <t>夜盘品种不实行日盘集合竞价（夜盘交易中的未成交申报单，可以在同一交易日上午8：55至8：59之间撤单）。</t>
  </si>
  <si>
    <t>上午9:00-10:15 
10:30-11:30
下午13:30-15:00</t>
  </si>
  <si>
    <t>棉纱</t>
  </si>
  <si>
    <t>CY</t>
  </si>
  <si>
    <t>白糖</t>
  </si>
  <si>
    <t>SR</t>
  </si>
  <si>
    <t>玻璃</t>
  </si>
  <si>
    <t>FG</t>
  </si>
  <si>
    <t>纯碱</t>
  </si>
  <si>
    <t>SA</t>
  </si>
  <si>
    <t>甲醇</t>
  </si>
  <si>
    <t>MA</t>
  </si>
  <si>
    <t>PTA</t>
  </si>
  <si>
    <t>TA</t>
  </si>
  <si>
    <t>短纤</t>
  </si>
  <si>
    <t>PF</t>
  </si>
  <si>
    <t>菜油</t>
  </si>
  <si>
    <t>OI</t>
  </si>
  <si>
    <t>菜籽粕</t>
  </si>
  <si>
    <t>RM</t>
  </si>
  <si>
    <t>对二甲苯</t>
  </si>
  <si>
    <t>PX</t>
  </si>
  <si>
    <t>烧碱</t>
  </si>
  <si>
    <t>SH</t>
  </si>
  <si>
    <t>瓶片</t>
  </si>
  <si>
    <t>PR</t>
  </si>
  <si>
    <t>动力煤</t>
  </si>
  <si>
    <t>ZC</t>
  </si>
  <si>
    <t>丙烯</t>
  </si>
  <si>
    <t>PL</t>
  </si>
  <si>
    <t>锰硅</t>
  </si>
  <si>
    <t>SM</t>
  </si>
  <si>
    <t>普麦</t>
  </si>
  <si>
    <t>PM</t>
  </si>
  <si>
    <t>粳稻</t>
  </si>
  <si>
    <t>JR</t>
  </si>
  <si>
    <t>硅铁</t>
  </si>
  <si>
    <t>SF</t>
  </si>
  <si>
    <t>苹果</t>
  </si>
  <si>
    <t>AP</t>
  </si>
  <si>
    <t>油菜籽</t>
  </si>
  <si>
    <t>RS</t>
  </si>
  <si>
    <t>红枣</t>
  </si>
  <si>
    <t>CJ</t>
  </si>
  <si>
    <t>强麦</t>
  </si>
  <si>
    <t>WH</t>
  </si>
  <si>
    <t>尿素</t>
  </si>
  <si>
    <t>UR</t>
  </si>
  <si>
    <t>花生</t>
  </si>
  <si>
    <t>PK</t>
  </si>
  <si>
    <t>晚籼稻</t>
  </si>
  <si>
    <t>LR</t>
  </si>
  <si>
    <t>早籼稻</t>
  </si>
  <si>
    <t>RI</t>
  </si>
  <si>
    <t>广期所</t>
  </si>
  <si>
    <t>工业硅</t>
  </si>
  <si>
    <t>si</t>
  </si>
  <si>
    <t>碳酸锂</t>
  </si>
  <si>
    <t>lc</t>
  </si>
  <si>
    <t>多晶硅</t>
  </si>
  <si>
    <t>ps</t>
  </si>
  <si>
    <t>铂</t>
  </si>
  <si>
    <t>pt</t>
  </si>
  <si>
    <t>钯</t>
  </si>
  <si>
    <t>pd</t>
  </si>
  <si>
    <t>中金所</t>
  </si>
  <si>
    <t>2年期国债</t>
  </si>
  <si>
    <t>TS</t>
  </si>
  <si>
    <t>申报阶段9:25-9:29       
撮合阶段9:29-9:30</t>
  </si>
  <si>
    <t>上午9:30-11:30
下午13:00-15:15    （最后交易日为09：30-11：30）</t>
  </si>
  <si>
    <t>5年期国债</t>
  </si>
  <si>
    <t>TF</t>
  </si>
  <si>
    <t>10年期国债</t>
  </si>
  <si>
    <t>T</t>
  </si>
  <si>
    <t>30年期国债</t>
  </si>
  <si>
    <t>TL</t>
  </si>
  <si>
    <t>沪深300股指期货</t>
  </si>
  <si>
    <t>IF</t>
  </si>
  <si>
    <t>上午9:30-11:30 
下午13:00-15:00</t>
  </si>
  <si>
    <t>上证50股指期货</t>
  </si>
  <si>
    <t>IH</t>
  </si>
  <si>
    <t>中证500股指期货</t>
  </si>
  <si>
    <t>IC</t>
  </si>
  <si>
    <t>中证1000股指期货</t>
  </si>
  <si>
    <t>IM</t>
  </si>
  <si>
    <t>沪深300股指期权</t>
  </si>
  <si>
    <t>IO</t>
  </si>
  <si>
    <t>开盘集合竞价
申报阶段9:25-9:29       
撮合阶段9:29-9:30                                                 收盘集合竞价                 14:57-15:00</t>
  </si>
  <si>
    <t>上午9:30-11:30
下午13:00-14:57</t>
  </si>
  <si>
    <t>中证1000股指期权</t>
  </si>
  <si>
    <t>MO</t>
  </si>
  <si>
    <t>上证50股指期权</t>
  </si>
  <si>
    <t>HO</t>
  </si>
  <si>
    <t>注：</t>
  </si>
  <si>
    <t>集合竞价时间分为两个阶段，申报阶段为期货、期权合约买、卖指令申报时间，只能挂单、撤单且不进行撮合成交；撮合阶段为集合竞价撮合成交时间，交易所交易系统将不接受挂单、撤单等指令。</t>
  </si>
  <si>
    <t>期货品种合约要素</t>
  </si>
  <si>
    <t>交易单位(每手)</t>
  </si>
  <si>
    <t>最小变动价位</t>
  </si>
  <si>
    <t>限价指令每次最大下单数量(手)</t>
  </si>
  <si>
    <t>市价指令每次最大下单数量(手)</t>
  </si>
  <si>
    <t>合约月份</t>
  </si>
  <si>
    <t>最小交割单位(手)</t>
  </si>
  <si>
    <t>临近交割月调整要求</t>
  </si>
  <si>
    <t>最后交易日</t>
  </si>
  <si>
    <t>自然人最后退出日</t>
  </si>
  <si>
    <t>上市时间</t>
  </si>
  <si>
    <t>QFII&amp;RQFII可交易日期</t>
  </si>
  <si>
    <t>沪深300指数期货</t>
  </si>
  <si>
    <t>每点300元</t>
  </si>
  <si>
    <t>0.2点</t>
  </si>
  <si>
    <t>10
（仅当月、下月合约支持）</t>
  </si>
  <si>
    <t>当月、下月及随后两个季月</t>
  </si>
  <si>
    <t>无需调整</t>
  </si>
  <si>
    <t>合约到期月份第三个周五</t>
  </si>
  <si>
    <t>无</t>
  </si>
  <si>
    <t>√</t>
  </si>
  <si>
    <t>2011.05.04</t>
  </si>
  <si>
    <t>上证50指数期货</t>
  </si>
  <si>
    <t>2015.04.16</t>
  </si>
  <si>
    <t>中证500指数期货</t>
  </si>
  <si>
    <t>每点200元</t>
  </si>
  <si>
    <t>中证1000指数期货</t>
  </si>
  <si>
    <t>2022.07.22</t>
  </si>
  <si>
    <t>2年期国债期货</t>
  </si>
  <si>
    <t>合约乘数为20000</t>
  </si>
  <si>
    <t>0.002元</t>
  </si>
  <si>
    <t>30
（ 仅最近的季月合约支持）</t>
  </si>
  <si>
    <t>最近的三个季月（3月、6月、9月、12月中的最近三个月循环</t>
  </si>
  <si>
    <t>未通过我司向交易所进行国债托管账户报备的客户需要在交割月前两个交易日收盘时将净持仓调整为0</t>
  </si>
  <si>
    <t>合约到期月份第二个周五</t>
  </si>
  <si>
    <t>2026.04.24</t>
  </si>
  <si>
    <t>5年期国债期货</t>
  </si>
  <si>
    <t>合约乘数为10000</t>
  </si>
  <si>
    <t>0.005元</t>
  </si>
  <si>
    <t>10年期国债期货</t>
  </si>
  <si>
    <t>30年期国债期货</t>
  </si>
  <si>
    <t>0.01元</t>
  </si>
  <si>
    <t>1000桶</t>
  </si>
  <si>
    <t>0.1元/桶</t>
  </si>
  <si>
    <t>最近1-12个月为连续月份以及随后八个季月</t>
  </si>
  <si>
    <t>交割月份前第一月的最后一个交易日</t>
  </si>
  <si>
    <t>最后交易日前第8个交易日收盘时调整为0手</t>
  </si>
  <si>
    <t>2022.09.05</t>
  </si>
  <si>
    <t>10吨</t>
  </si>
  <si>
    <t>5元/吨</t>
  </si>
  <si>
    <t>1-12月</t>
  </si>
  <si>
    <t>10手整数倍</t>
  </si>
  <si>
    <t>合约交割月份的15日</t>
  </si>
  <si>
    <t>最后交易日前第5个交易日收盘时调整为0手</t>
  </si>
  <si>
    <t>1元/吨</t>
  </si>
  <si>
    <t>5吨</t>
  </si>
  <si>
    <t>10元/吨</t>
  </si>
  <si>
    <t>5手整数倍</t>
  </si>
  <si>
    <t>每点50元</t>
  </si>
  <si>
    <t>0.5点</t>
  </si>
  <si>
    <t>1、3、4、5、6、7、8、9、10、11、12月份中的最近6个月内连续月份及随后的两个季月</t>
  </si>
  <si>
    <t>合约交割月份最后一个开展期货交易的周一</t>
  </si>
  <si>
    <t>2025.03.04</t>
  </si>
  <si>
    <t>10 吨</t>
  </si>
  <si>
    <t>30手整数倍</t>
  </si>
  <si>
    <t>——</t>
  </si>
  <si>
    <t>5 吨</t>
  </si>
  <si>
    <t>2025.06.20</t>
  </si>
  <si>
    <t>20吨</t>
  </si>
  <si>
    <t>15手的整数倍</t>
  </si>
  <si>
    <t>12手的整数倍</t>
  </si>
  <si>
    <t>1吨</t>
  </si>
  <si>
    <t>6手的整数倍</t>
  </si>
  <si>
    <t>2026.04.22</t>
  </si>
  <si>
    <t>2手的整数倍</t>
  </si>
  <si>
    <t>1000 克</t>
  </si>
  <si>
    <t>0.02元/克</t>
  </si>
  <si>
    <t>最近三个连续月份以及最近13个月以内的双月合约</t>
  </si>
  <si>
    <t>3手整数倍</t>
  </si>
  <si>
    <t>15千克</t>
  </si>
  <si>
    <t>1元/千克</t>
  </si>
  <si>
    <t>2手整数倍</t>
  </si>
  <si>
    <t>1、3-11月</t>
  </si>
  <si>
    <t>最近1~12个月为连续月份以及随后四个季月</t>
  </si>
  <si>
    <t>2025.09.10</t>
  </si>
  <si>
    <t>纸浆</t>
  </si>
  <si>
    <t>2元/吨</t>
  </si>
  <si>
    <t>保税380燃料油</t>
  </si>
  <si>
    <t>交割月前一月的最后一个交易日</t>
  </si>
  <si>
    <t>合成橡胶</t>
  </si>
  <si>
    <t>40吨</t>
  </si>
  <si>
    <t>黄大豆一号</t>
  </si>
  <si>
    <t>10 吨</t>
  </si>
  <si>
    <t>1 元/吨</t>
  </si>
  <si>
    <t>1、3、5、7、9、11 月</t>
  </si>
  <si>
    <t>自然人不能持仓进入交割月</t>
  </si>
  <si>
    <t>合约月份第 10 个交易日</t>
  </si>
  <si>
    <t>黄大豆二号</t>
  </si>
  <si>
    <t>1、3、5、7、8、9、11、12月</t>
  </si>
  <si>
    <t>1 元/吨
（20260410交易时起生效）</t>
  </si>
  <si>
    <t>60吨</t>
  </si>
  <si>
    <t>0.5 元/吨</t>
  </si>
  <si>
    <t>100；
1（2604及后续合约）</t>
  </si>
  <si>
    <t>冶金焦炭</t>
  </si>
  <si>
    <t>100吨</t>
  </si>
  <si>
    <t>10；
1（2604及后续合约）</t>
  </si>
  <si>
    <t>100；
50（2604及后续合约）</t>
  </si>
  <si>
    <t>5 吨</t>
  </si>
  <si>
    <t>合约月份前一个月的最后1个交易日</t>
  </si>
  <si>
    <t>2025.10.29</t>
  </si>
  <si>
    <t>合约月份倒数第4个交易日</t>
  </si>
  <si>
    <t>500张</t>
  </si>
  <si>
    <t>0.05元/张</t>
  </si>
  <si>
    <t>1-12月，
bb2509及后续合约：1,3,5,7,9,11月</t>
  </si>
  <si>
    <t>10立方米</t>
  </si>
  <si>
    <t>0.5元/立方米</t>
  </si>
  <si>
    <t>90立方米</t>
  </si>
  <si>
    <t>30吨</t>
  </si>
  <si>
    <t>1元/500千克</t>
  </si>
  <si>
    <t>16吨</t>
  </si>
  <si>
    <t>1、3、5、7、9、11月</t>
  </si>
  <si>
    <t>1 元 / 吨</t>
  </si>
  <si>
    <t>1 元/吨</t>
  </si>
  <si>
    <t>1、3、5、7、8、9、11月</t>
  </si>
  <si>
    <t>菜籽油</t>
  </si>
  <si>
    <t>0.2元/吨</t>
  </si>
  <si>
    <t>合约月份第5个交易日</t>
  </si>
  <si>
    <t>20 吨</t>
  </si>
  <si>
    <t>合约月份第 10 个交易日</t>
  </si>
  <si>
    <t>50吨</t>
  </si>
  <si>
    <t>20 吨</t>
  </si>
  <si>
    <t>1、3、4、5、10、11、12月</t>
  </si>
  <si>
    <t>1、3、5、7、9、12月</t>
  </si>
  <si>
    <t>7、8、9、11月</t>
  </si>
  <si>
    <t>15吨</t>
  </si>
  <si>
    <t>合约月份的第10个交易日</t>
  </si>
  <si>
    <t>20元/吨</t>
  </si>
  <si>
    <t>3吨</t>
  </si>
  <si>
    <t>1000克</t>
  </si>
  <si>
    <t>0.05元/克</t>
  </si>
  <si>
    <t>2、4、6、8、10、12月</t>
  </si>
  <si>
    <t>小结：截至目前，共91个期货品种，其中8个金融期货品种，1个服务型指数期货品种，82个商品期货品种；各交易所品种分布：中金所：8个；能源中心5个（夜盘4个），上期所20个（夜盘19个）；大商所26个（夜盘21个）；郑商所27个（夜盘15个）；广期所5个。夜盘交易的品种54个。</t>
  </si>
  <si>
    <t>期权品种合约要素</t>
  </si>
  <si>
    <t>合约标的</t>
  </si>
  <si>
    <t>夜盘交易时间</t>
  </si>
  <si>
    <t>总保证金比例</t>
  </si>
  <si>
    <t>保证金计算公式</t>
  </si>
  <si>
    <t>涨跌幅度
(标准)</t>
  </si>
  <si>
    <t>交易单位
(每手)</t>
  </si>
  <si>
    <t>交收日</t>
  </si>
  <si>
    <t>行权方式</t>
  </si>
  <si>
    <t>交割方式</t>
  </si>
  <si>
    <t>沪深300指数期权</t>
  </si>
  <si>
    <t>沪深300指数</t>
  </si>
  <si>
    <t>期权卖方交易保证金中涉及的合约保证金调整系数为14%，最低保障系数为0.5</t>
  </si>
  <si>
    <t>看涨期权：（合约结算价×合约乘数）+MAX（标的指数收盘价×合约乘数×12%-虚值额，0.5×标的指数收盘价×合约乘数×12%）；
看跌期权：（合约结算价×合约乘数）+MAX（标的指数收盘价×合约乘数×12%-虚值额，0.5×合约行权价格×合约乘数×12%）</t>
  </si>
  <si>
    <t>上一交易日标的指数收盘价的±10%</t>
  </si>
  <si>
    <t>无市价</t>
  </si>
  <si>
    <t>当月、下2个月及随后3个季月</t>
  </si>
  <si>
    <t>合约到期月份的第三个星期五</t>
  </si>
  <si>
    <t>同最后交易日</t>
  </si>
  <si>
    <t>欧式</t>
  </si>
  <si>
    <t>现金</t>
  </si>
  <si>
    <t>中证1000指数期权</t>
  </si>
  <si>
    <t>中证1000指数</t>
  </si>
  <si>
    <t>上证50指数期权</t>
  </si>
  <si>
    <t>上证50指数</t>
  </si>
  <si>
    <t>2022.12.19</t>
  </si>
  <si>
    <t>原油期权</t>
  </si>
  <si>
    <t>sc_o</t>
  </si>
  <si>
    <t>原油期货合约</t>
  </si>
  <si>
    <t>21:00-02:30</t>
  </si>
  <si>
    <t>期权卖方交易保证金中涉及标的期货合约的公司交易保证金收取标准为同期货保证金率</t>
  </si>
  <si>
    <t>期权合约结算价×标的期货合约交易单位+MAX[标的期货合约交易所保证金－（1/2）×期权虚值额，（1/2）×标的期货合约交易所保证金]</t>
  </si>
  <si>
    <t>与期货合约涨跌停板幅度相同</t>
  </si>
  <si>
    <t>0.05元/桶</t>
  </si>
  <si>
    <t>最近两个连续月份合约，其后月份在标的期货合约结算后持仓量达到一定数值之后的第二个交易日挂牌。具体数值交易所另行发布。</t>
  </si>
  <si>
    <t>标的期货合约交割月前第一月的倒数第13个交易日</t>
  </si>
  <si>
    <t>美式</t>
  </si>
  <si>
    <t>实物</t>
  </si>
  <si>
    <t>20号胶期权</t>
  </si>
  <si>
    <t>nr_o</t>
  </si>
  <si>
    <t>20号胶期货合约</t>
  </si>
  <si>
    <t>21:00-23:00</t>
  </si>
  <si>
    <t>最近两个连续月份合约，其后月份在标的期货合约结算后持仓量达到一定数值之后的第二个交易日挂盘，具体数值交易所另行发布。</t>
  </si>
  <si>
    <t>标的期货合约交割月前第一月的倒数第五个交易日</t>
  </si>
  <si>
    <t>2026.4.22</t>
  </si>
  <si>
    <t>国际铜期权</t>
  </si>
  <si>
    <t>bc_o</t>
  </si>
  <si>
    <t>国际铜期货合约</t>
  </si>
  <si>
    <t>21:00-01:00</t>
  </si>
  <si>
    <t>铜期权</t>
  </si>
  <si>
    <t>cu_o</t>
  </si>
  <si>
    <t>铜期货合约</t>
  </si>
  <si>
    <t>1-12月；最近两个连续月份合约，其后月份在标的期货合约结算后持仓量达到一定数值之后的第二个交易日挂牌。具体数值交易所另行发布。</t>
  </si>
  <si>
    <t>标的期货合约交割月份前一个月的倒数第五个交易日</t>
  </si>
  <si>
    <t>天然橡胶期权</t>
  </si>
  <si>
    <t>ru_o</t>
  </si>
  <si>
    <t>天然橡胶期货合约</t>
  </si>
  <si>
    <t>1、3—11月；最近两个连续月份合约，其后月份在标的期货合约结算后持仓量达到一定数值之后的第二个交易日挂牌。具体数值交易所另行发布。</t>
  </si>
  <si>
    <t>黄金期权</t>
  </si>
  <si>
    <t>au_o</t>
  </si>
  <si>
    <t>黄金期货合约</t>
  </si>
  <si>
    <t>铝期权</t>
  </si>
  <si>
    <t>al_o</t>
  </si>
  <si>
    <t>铝期货合约</t>
  </si>
  <si>
    <t>最近两个连续月份合约，其后月份在标的期货合约结算后持仓量达到一定数值之后的第二个交易日挂牌。合约月份涉及的标的期货持仓量阈值为15000手（单边）</t>
  </si>
  <si>
    <t>锌期权</t>
  </si>
  <si>
    <t>zn_o</t>
  </si>
  <si>
    <t>锌期货合约</t>
  </si>
  <si>
    <t>最近两个连续月份合约，其后月份在标的期货合约结算后持仓量达到一定数值之后的第二个交易日挂牌。合约月份涉及的标的期货持仓量阈值为10000手（单边）</t>
  </si>
  <si>
    <t>螺纹钢期权</t>
  </si>
  <si>
    <t>rb_o</t>
  </si>
  <si>
    <t>螺纹钢期货合约</t>
  </si>
  <si>
    <t>0.5元/吨</t>
  </si>
  <si>
    <t>最近两个连续月份合约，其后月份在标的期货合约结算后持仓量达到一定数值之后的第二个交易日挂牌。合约月份涉及的标的期货持仓量阈值为100000手（单边）</t>
  </si>
  <si>
    <t>白银期权</t>
  </si>
  <si>
    <t>ag_o</t>
  </si>
  <si>
    <t>白银期货合约</t>
  </si>
  <si>
    <t>0.5元/千克</t>
  </si>
  <si>
    <t>最近两个连续月份合约，其后月份在标的期货合约结算后持仓量达到一定数值之后的第二个交易日挂牌。合约月份涉及的标的期货持仓量阈值为20000手（单边）</t>
  </si>
  <si>
    <t>合成橡胶期权</t>
  </si>
  <si>
    <t>br_o</t>
  </si>
  <si>
    <t>合成橡胶期货合约</t>
  </si>
  <si>
    <t>铅期权</t>
  </si>
  <si>
    <t>pb_o</t>
  </si>
  <si>
    <t>铅期货合约</t>
  </si>
  <si>
    <t>最近两个连续月份合约，其后月份在标的期货合约结算后持仓量达到一定数值之后的第二个交易日挂牌。合约月份涉及的标的期货持仓量阈值均为10000手（单边）</t>
  </si>
  <si>
    <t>镍期权</t>
  </si>
  <si>
    <t>ni_o</t>
  </si>
  <si>
    <t>镍期货合约</t>
  </si>
  <si>
    <t>锡期权</t>
  </si>
  <si>
    <t>sn_o</t>
  </si>
  <si>
    <t>锡期货合约</t>
  </si>
  <si>
    <t>氧化铝期权</t>
  </si>
  <si>
    <t>ao_o</t>
  </si>
  <si>
    <t>氧化铝期货合约</t>
  </si>
  <si>
    <t>铸造铝合金期权</t>
  </si>
  <si>
    <t>ad_o</t>
  </si>
  <si>
    <t>铸造铝合金期货合约</t>
  </si>
  <si>
    <t>石油沥青期权</t>
  </si>
  <si>
    <t>bu_o</t>
  </si>
  <si>
    <t>石油沥青期货合约</t>
  </si>
  <si>
    <t>最近两个连续月份合约，其后月份在标的期货合约结算后持仓量达到一定数值之后的第二个交易日挂牌。合约月份涉及的标的期货持仓量阈值均为50000手（单边）</t>
  </si>
  <si>
    <t>纸浆期权</t>
  </si>
  <si>
    <t>sp_o</t>
  </si>
  <si>
    <t>纸浆期货合约</t>
  </si>
  <si>
    <t>最近两个连续月份合约，其后月份在标的期货合约结算后持仓量达到一定数值之后的第二个交易日挂牌。合约月份涉及的标的期货持仓量阈值均为20000手（单边）</t>
  </si>
  <si>
    <t>胶版印刷纸期权</t>
  </si>
  <si>
    <t>op_o</t>
  </si>
  <si>
    <t>胶版印刷纸期货合约</t>
  </si>
  <si>
    <t>最近两个连续月份合约，其后月份在标的期货合约结算后持仓量达到一定数值之后的第二个交易日挂牌。合约月份涉及的标的期货持仓量阈值均为5000手（单边）</t>
  </si>
  <si>
    <t>燃料油期权</t>
  </si>
  <si>
    <t>fu_o</t>
  </si>
  <si>
    <t>燃料油期货合约</t>
  </si>
  <si>
    <t>最近两个连续月份合约，其后月份在标的期货合约结算后持仓量达到一定数值之后的第二个交易日挂牌。合约月份涉及的标的期货持仓量阈值均为30000手（单边）</t>
  </si>
  <si>
    <t>标的期货合约交割月份前一个月的倒数第十个交易日</t>
  </si>
  <si>
    <t>豆粕期权</t>
  </si>
  <si>
    <t>常规期权：m_o
系列期权：
m_MS_o</t>
  </si>
  <si>
    <t>豆粕期货合约</t>
  </si>
  <si>
    <t>常规期权：标的期货合约交割月份前一个月的第12个交易日；
系列期权：标的期货合约交割月份前两个月的第12个交易日</t>
  </si>
  <si>
    <t>常规期权：2017/3/31
系列期权：
2026/2/2</t>
  </si>
  <si>
    <t>玉米期权</t>
  </si>
  <si>
    <t>常规期权：c_o
系列期权：c_MS_o</t>
  </si>
  <si>
    <t>玉米期货合约</t>
  </si>
  <si>
    <t>常规期权：2019/1/28
系列期权：
2026/2/2</t>
  </si>
  <si>
    <t>铁矿石期权</t>
  </si>
  <si>
    <t>i_o</t>
  </si>
  <si>
    <t>铁矿石期货合约</t>
  </si>
  <si>
    <t>0.1元/吨</t>
  </si>
  <si>
    <t>标的期货合约交割月份前一个月的第12个交易日</t>
  </si>
  <si>
    <t>液化石油气期权</t>
  </si>
  <si>
    <t>pg_o</t>
  </si>
  <si>
    <t>液化石油气期货合约</t>
  </si>
  <si>
    <t>聚丙烯期权</t>
  </si>
  <si>
    <t>pp_o</t>
  </si>
  <si>
    <t>聚丙烯期货合约</t>
  </si>
  <si>
    <t>聚氯乙烯期权</t>
  </si>
  <si>
    <t>v_o</t>
  </si>
  <si>
    <t>聚氯乙烯期货合约</t>
  </si>
  <si>
    <t>聚乙烯期权</t>
  </si>
  <si>
    <t>l_o</t>
  </si>
  <si>
    <t>聚乙烯期货合约</t>
  </si>
  <si>
    <t>棕榈油期权</t>
  </si>
  <si>
    <t>p_o</t>
  </si>
  <si>
    <t>棕榈油期货合约</t>
  </si>
  <si>
    <t>黄大豆1号期权</t>
  </si>
  <si>
    <t>常规期权：a_o
系列期权：a_MS_o</t>
  </si>
  <si>
    <t>黄大豆1号期货合约</t>
  </si>
  <si>
    <t>常规期权：标的期货合约交割月份前一个月的第12个交易日；
系列期权：标的期货合约交割月份前两个月的第12个交易日。</t>
  </si>
  <si>
    <t>黄大豆2号期权</t>
  </si>
  <si>
    <t>b_o</t>
  </si>
  <si>
    <t>黄大豆2号期货合约</t>
  </si>
  <si>
    <t>豆油期权</t>
  </si>
  <si>
    <t>常规期权：y_o
系列期权：y_MS_o</t>
  </si>
  <si>
    <t>豆油期货合约</t>
  </si>
  <si>
    <t>常规期权：1、3、5、7、8、9、11、12月
系列期权：3、5、7、11月</t>
  </si>
  <si>
    <t>乙二醇期权</t>
  </si>
  <si>
    <t>eg_o</t>
  </si>
  <si>
    <t>乙二醇期货合约</t>
  </si>
  <si>
    <t>苯乙烯期权</t>
  </si>
  <si>
    <t>eb_o</t>
  </si>
  <si>
    <t>苯乙烯期货合约</t>
  </si>
  <si>
    <t>鸡蛋期权</t>
  </si>
  <si>
    <t>jd_o</t>
  </si>
  <si>
    <t>鸡蛋期货合约</t>
  </si>
  <si>
    <t>0.5元/500千克</t>
  </si>
  <si>
    <t>生猪期权</t>
  </si>
  <si>
    <t>lh_o</t>
  </si>
  <si>
    <t>生猪期货合约</t>
  </si>
  <si>
    <t>2.5元/吨</t>
  </si>
  <si>
    <t>玉米淀粉期权</t>
  </si>
  <si>
    <t>cs_o</t>
  </si>
  <si>
    <t>玉米淀粉期货合约</t>
  </si>
  <si>
    <t>原木期权</t>
  </si>
  <si>
    <t>lg_o</t>
  </si>
  <si>
    <t>原木期货合约</t>
  </si>
  <si>
    <t>0.25元/立方米</t>
  </si>
  <si>
    <t>纯苯期权</t>
  </si>
  <si>
    <t>bz_o</t>
  </si>
  <si>
    <t>纯苯期货合约</t>
  </si>
  <si>
    <t>焦煤期权</t>
  </si>
  <si>
    <t>jm_o</t>
  </si>
  <si>
    <t>焦煤期货合约</t>
  </si>
  <si>
    <t>白糖期权</t>
  </si>
  <si>
    <t>常规期权：SRC/SRP
系列期权：
SRMSC/SRMSP</t>
  </si>
  <si>
    <t>白糖期货合约</t>
  </si>
  <si>
    <t>标的期货合约中常规期权：标的期货合约中的连续两个近月，其后月份在标的期货合约结算后持仓量达到5000手（单边）之后的第二个交易日挂牌
系列期权：在标的期货合约交割月份前四个月第一个交易日挂牌的连续两个近月，其后月份在标的期货合约结算后持仓量达到 5000 手（单边）之后的第二个交易日挂牌</t>
  </si>
  <si>
    <t>常规期权：标的期货合约交割月份前一个月第15个日历日之前（含该日）的倒数第3个交易日，以及交易所规定的其他日期
系列期权：标的期货合约交割月份前两个月第15个日历日之前（含该日）的倒数第3个交易日，以及交易所规定的其他日期</t>
  </si>
  <si>
    <t>常规期权：2017/4/19
系列期权：
2025/3/3</t>
  </si>
  <si>
    <t>棉花期权</t>
  </si>
  <si>
    <t>CFC/CFP</t>
  </si>
  <si>
    <t>棉花期货合约</t>
  </si>
  <si>
    <t>标的期货合约中的连续两个近月，其后月份在标的期货合约结算后持仓量达到5000手（单边）之后的第二个交易日挂牌</t>
  </si>
  <si>
    <t>标的期货合约交割月份前一个月第15个日历日之前（含该日）的倒数第3个交易日</t>
  </si>
  <si>
    <t>PTA期权</t>
  </si>
  <si>
    <t>TAC/TAP</t>
  </si>
  <si>
    <t>PTA期货合约</t>
  </si>
  <si>
    <t>标的期货合约中的连续两个近月，其后月份在标的期货合约结算后持仓量达到10000手（单边）之后的第二个交易日挂牌</t>
  </si>
  <si>
    <t>甲醇期权</t>
  </si>
  <si>
    <t>MAC/MAP</t>
  </si>
  <si>
    <t>甲醇期货合约</t>
  </si>
  <si>
    <t>菜籽粕期权</t>
  </si>
  <si>
    <t>RMC/RMP</t>
  </si>
  <si>
    <t>菜籽粕期货合约</t>
  </si>
  <si>
    <t>菜籽油期权</t>
  </si>
  <si>
    <t>OIC/OIP</t>
  </si>
  <si>
    <t>菜籽油期货合约</t>
  </si>
  <si>
    <t>花生期权</t>
  </si>
  <si>
    <t>PKC/PKP</t>
  </si>
  <si>
    <t>花生期货合约</t>
  </si>
  <si>
    <t>动力煤期权</t>
  </si>
  <si>
    <t>ZCC/ZCP</t>
  </si>
  <si>
    <t>动力煤期货合约</t>
  </si>
  <si>
    <t>烧碱期权</t>
  </si>
  <si>
    <t>SHC/SHP</t>
  </si>
  <si>
    <t>烧碱期货合约</t>
  </si>
  <si>
    <t>短纤期权</t>
  </si>
  <si>
    <t>PFC/PFP</t>
  </si>
  <si>
    <t>短纤期货合约</t>
  </si>
  <si>
    <t>纯碱期权</t>
  </si>
  <si>
    <t>SAC/SAP</t>
  </si>
  <si>
    <t>纯碱期货合约</t>
  </si>
  <si>
    <t>锰硅期权</t>
  </si>
  <si>
    <t>SMC/SMP</t>
  </si>
  <si>
    <t>锰硅期货合约</t>
  </si>
  <si>
    <t>硅铁期权</t>
  </si>
  <si>
    <t>SFC/SFP</t>
  </si>
  <si>
    <t>硅铁期货合约</t>
  </si>
  <si>
    <t>尿素期权</t>
  </si>
  <si>
    <t>URC/URP</t>
  </si>
  <si>
    <t>尿素期货合约</t>
  </si>
  <si>
    <t>玻璃期权</t>
  </si>
  <si>
    <t>FGC/FGP</t>
  </si>
  <si>
    <t>玻璃期货合约</t>
  </si>
  <si>
    <t>瓶片期权</t>
  </si>
  <si>
    <t>PRC/PRP</t>
  </si>
  <si>
    <t>瓶片期货合约</t>
  </si>
  <si>
    <t>标的期货合约中的连续两个近月，其后月份在标的期货合约结算后持仓量达到3000手（单边）之后的第二个交易日挂牌</t>
  </si>
  <si>
    <t>丙烯期权</t>
  </si>
  <si>
    <t>PLC/PLP</t>
  </si>
  <si>
    <t>丙烯期货合约</t>
  </si>
  <si>
    <t>对二甲苯期权</t>
  </si>
  <si>
    <t>PXC/PXP</t>
  </si>
  <si>
    <t>对二甲苯期货合约</t>
  </si>
  <si>
    <t>标的期货合约交割月份前两个月最后一个日历日之前(含该日)的倒数第3个交易日</t>
  </si>
  <si>
    <t>苹果期权</t>
  </si>
  <si>
    <t>APC/APP</t>
  </si>
  <si>
    <t>苹果期货合约</t>
  </si>
  <si>
    <t>红枣期权</t>
  </si>
  <si>
    <t>CJC/CJP</t>
  </si>
  <si>
    <t>红枣期货合约</t>
  </si>
  <si>
    <t>工业硅期权</t>
  </si>
  <si>
    <t>si_o</t>
  </si>
  <si>
    <t>工业硅期货合约</t>
  </si>
  <si>
    <t>标的期货合约交割月份前一个月的第5个交易日</t>
  </si>
  <si>
    <t>碳酸锂期权</t>
  </si>
  <si>
    <t>lc_o</t>
  </si>
  <si>
    <t>碳酸锂期货合约</t>
  </si>
  <si>
    <t>多晶硅期权</t>
  </si>
  <si>
    <t>ps_o</t>
  </si>
  <si>
    <t>多晶硅期货合约</t>
  </si>
  <si>
    <t>铂期权</t>
  </si>
  <si>
    <t>pt_o</t>
  </si>
  <si>
    <t>铂期货合约</t>
  </si>
  <si>
    <t>钯期权</t>
  </si>
  <si>
    <t>pd_o</t>
  </si>
  <si>
    <t>钯期货合约</t>
  </si>
  <si>
    <t>上交所</t>
  </si>
  <si>
    <t>上证50ETF期权</t>
  </si>
  <si>
    <t>1.2*交易所保证金</t>
  </si>
  <si>
    <t>认购期权：[合约结算价+Max（12%×合约标的收盘价-认购期权虚值，7%×合约标的收盘价）]×合约单位；
认沽期权：Min[合约结算价+Max（12%×合约标的收盘价-认沽期权虚值，7%×行权价格），行权价格] ×合约单位</t>
  </si>
  <si>
    <t>见交易所网站</t>
  </si>
  <si>
    <t>10000份</t>
  </si>
  <si>
    <t>到期月份的第四个星期三（遇法定节假日顺延）</t>
  </si>
  <si>
    <t>行权日次一交易日</t>
  </si>
  <si>
    <t>沪深300ETF期权</t>
  </si>
  <si>
    <t>中证500ETF期权</t>
  </si>
  <si>
    <t>华夏科创50ETF期权</t>
  </si>
  <si>
    <t>易方达科创50ETF期权</t>
  </si>
  <si>
    <t>深交所</t>
  </si>
  <si>
    <t>创业板ETF期权</t>
  </si>
  <si>
    <t>深证100ETF期权</t>
  </si>
  <si>
    <t>小结：截至目前，共74个期权品种，其中3个金融指数期权品种，61个商品期货期权品种，9个ETF期权品种；各交易所品种分布：中金所：3个；能源中心1个（夜盘1个），上期所17个（夜盘17个），大商所18个（夜盘15个），郑商所20个（夜盘14个），广期所5个，上交所5个，深交所4个。夜盘交易的品种合计47个。</t>
  </si>
  <si>
    <t>期货品种保证金标准及涨跌停板幅度表</t>
  </si>
  <si>
    <t>合约单位</t>
  </si>
  <si>
    <t>公司加收</t>
  </si>
  <si>
    <t>按连续单边市调整的交易所保证金率</t>
  </si>
  <si>
    <t>连续单边市涨跌停板</t>
  </si>
  <si>
    <t>按时间梯度调整的交易所保证金率</t>
  </si>
  <si>
    <t>投机</t>
  </si>
  <si>
    <t>套保</t>
  </si>
  <si>
    <t>交割月前1个月</t>
  </si>
  <si>
    <t>交割月份</t>
  </si>
  <si>
    <t>一般月份</t>
  </si>
  <si>
    <t>第一个单边市结算时</t>
  </si>
  <si>
    <t>第二个同方向单边市结算时</t>
  </si>
  <si>
    <t>第一个单边市结算后</t>
  </si>
  <si>
    <t>第二个同方向单边市结算后</t>
  </si>
  <si>
    <t>第1个交易日起
（投机）</t>
  </si>
  <si>
    <t>第1个交易日起
（套保）</t>
  </si>
  <si>
    <t>最后交易日前2个交易日起
（投机）</t>
  </si>
  <si>
    <t>最后交易日前2个交易日起
（套保）</t>
  </si>
  <si>
    <t>线材
wr2607-wr2702合约</t>
  </si>
  <si>
    <t>铜
cu2607-cu2702合约</t>
  </si>
  <si>
    <t>铝
al2607-al2702合约</t>
  </si>
  <si>
    <t>锌
zn2607-zn2702合约</t>
  </si>
  <si>
    <t>铅
pb2607-pb2702合约</t>
  </si>
  <si>
    <t>氧化铝
ao2607-ao2702合约</t>
  </si>
  <si>
    <t>镍
ni2607-ni2703合约</t>
  </si>
  <si>
    <t>锡
sn2607-sn2703合约</t>
  </si>
  <si>
    <t>白银
ag2607-ag2704合约</t>
  </si>
  <si>
    <t>白银
ag2705-ag2706合约</t>
  </si>
  <si>
    <t>铸造铝合金
ad2607-ad2702合约</t>
  </si>
  <si>
    <t>交割月前2月第10个交易日起
（投机）</t>
  </si>
  <si>
    <t>交割月前2月第10个交易日起
（套保）</t>
  </si>
  <si>
    <t>交割月前1月第10个交易日起
（投机）</t>
  </si>
  <si>
    <t>交割月前1月第10个交易日起
（套保）</t>
  </si>
  <si>
    <t>保税380燃料油
fu2607</t>
  </si>
  <si>
    <t>交割月前1月第1个交易日起
（投机）</t>
  </si>
  <si>
    <t>交割月前1月第1个交易日起
（套保）</t>
  </si>
  <si>
    <t>交割月第1个交易日起
（投机）</t>
  </si>
  <si>
    <t>交割月第1个交易日起
（套保）</t>
  </si>
  <si>
    <t>国际铜
bc2607-bc2702合约</t>
  </si>
  <si>
    <t>原油
sc2607</t>
  </si>
  <si>
    <t>低硫燃料油
lu2607</t>
  </si>
  <si>
    <t>集运指数
（欧线）</t>
  </si>
  <si>
    <t>50元</t>
  </si>
  <si>
    <t>最后交易日前7个交易日起
（投机）</t>
  </si>
  <si>
    <t>最后交易日前7个交易日起
（套保）</t>
  </si>
  <si>
    <t>集运指数
（欧线）
ec2607-ec2610,ec2612,ec2703</t>
  </si>
  <si>
    <t>交易所时间梯度保证金</t>
  </si>
  <si>
    <t>第16个日历日起
（投机）</t>
  </si>
  <si>
    <t>第16个日历日起
（套保）</t>
  </si>
  <si>
    <t>第1个日历日起
（投机）</t>
  </si>
  <si>
    <t>第1个日历日起
（套保）</t>
  </si>
  <si>
    <t>郑州
商品
交易所</t>
  </si>
  <si>
    <t>PTA
TA607</t>
  </si>
  <si>
    <t>PTA
TA608-TA609</t>
  </si>
  <si>
    <t>短纤
PF607</t>
  </si>
  <si>
    <t>短纤
PF608-PF609</t>
  </si>
  <si>
    <t>甲醇
MA607</t>
  </si>
  <si>
    <t>甲醇
MA608-MA609</t>
  </si>
  <si>
    <t>烧碱
SH607</t>
  </si>
  <si>
    <t>瓶片
PR607</t>
  </si>
  <si>
    <t>瓶片
PR608-PR609</t>
  </si>
  <si>
    <t>丙烯
PL607</t>
  </si>
  <si>
    <t>丙烯
PL608-PL609</t>
  </si>
  <si>
    <t>第一个日历日至第15个日历日
（投机）</t>
  </si>
  <si>
    <t>第一个日历日至第15个日历日
（套保）</t>
  </si>
  <si>
    <t>对二甲苯
PX607</t>
  </si>
  <si>
    <t>对二甲苯
PX608-PX609</t>
  </si>
  <si>
    <t>交割月</t>
  </si>
  <si>
    <t>第15个交易日起
（投机）</t>
  </si>
  <si>
    <t>第15个交易日起
（套保）</t>
  </si>
  <si>
    <t>大连
商品
交易所</t>
  </si>
  <si>
    <t>乙二醇
EG2607-EG2609合约</t>
  </si>
  <si>
    <t>苯乙烯
EB2607-EB2609合约</t>
  </si>
  <si>
    <t>液化石油气
PG2607-PG2609合约</t>
  </si>
  <si>
    <t>液化石油气
PG2610-PG2702合约</t>
  </si>
  <si>
    <t>纯苯
BZ2607合约</t>
  </si>
  <si>
    <t>纯苯
BZ2608-BZ2609合约</t>
  </si>
  <si>
    <t>交割月第8个交易日起
（投机）</t>
  </si>
  <si>
    <t>交割月第8个交易日起
（套保）</t>
  </si>
  <si>
    <t>聚乙烯
L2607-L2609合约</t>
  </si>
  <si>
    <t>聚氯乙烯
V2607-V2609合约</t>
  </si>
  <si>
    <t>聚丙烯
PP2607-PP2609合约</t>
  </si>
  <si>
    <t>聚乙烯月均价期货</t>
  </si>
  <si>
    <t>月均价期货不涉及梯度提保</t>
  </si>
  <si>
    <t>聚乙烯月均价期货
L2607F-L2609F合约</t>
  </si>
  <si>
    <t>聚氯乙烯月均价期货</t>
  </si>
  <si>
    <t>聚氯乙烯月均价期货
V2607F-V2609F合约</t>
  </si>
  <si>
    <t>聚丙烯月均价期货</t>
  </si>
  <si>
    <t>聚丙烯月均价期货
PP2607F-PP2609F合约</t>
  </si>
  <si>
    <t>交割月第1个
交易日起
（投机）</t>
  </si>
  <si>
    <t>交割月第1个
交易日起
（套保）</t>
  </si>
  <si>
    <t>广州期货
交易所</t>
  </si>
  <si>
    <t>第10个交易日起
（投机）</t>
  </si>
  <si>
    <t>第10个交易日起
（套保）</t>
  </si>
  <si>
    <t>交易所保证金
一般月份</t>
  </si>
  <si>
    <t>连续单边市保证金和涨跌停板幅度</t>
  </si>
  <si>
    <t>出现第一个停板时</t>
  </si>
  <si>
    <t>连续出现第二个停板时</t>
  </si>
  <si>
    <t>交割月前1个月倒数第一个交易日起</t>
  </si>
  <si>
    <t>涨跌停板</t>
  </si>
  <si>
    <t>交易所保证金</t>
  </si>
  <si>
    <t>中国金融期货
交易所</t>
  </si>
  <si>
    <t>(1)连续两个交易日出现同方向单边市，D2为最后交易日，直接进行交割结算；
(2)D2交易日不是最后交易日的，交易所有权根据市场情况采取风险控制措施中的一种或者多种(包括强制减仓)。</t>
  </si>
  <si>
    <t>不调整</t>
  </si>
  <si>
    <t>各交易所投机限仓标准（单边计算）</t>
  </si>
  <si>
    <t>上交所股票期权限仓表</t>
  </si>
  <si>
    <t>合约挂牌至交割月前第二月的最后一个交易日</t>
  </si>
  <si>
    <t>交割月前第一月</t>
  </si>
  <si>
    <t>备注</t>
  </si>
  <si>
    <t>投资者满足的条件</t>
  </si>
  <si>
    <t>权利仓持仓限额（张）</t>
  </si>
  <si>
    <t>总持仓限额（张）</t>
  </si>
  <si>
    <t>单日买入开仓限额（张）</t>
  </si>
  <si>
    <t>市场单边持仓量≥10万手， 限仓比例10%</t>
  </si>
  <si>
    <t>需调整为5手整数倍进入交割月</t>
  </si>
  <si>
    <t>新开立合约账户</t>
  </si>
  <si>
    <t>客户在多家经纪商开户的，各经纪商单独控制持仓限额。</t>
  </si>
  <si>
    <t>市场单边持仓量＜10万手， 限仓10000</t>
  </si>
  <si>
    <t>市场单边持仓量≥8万手， 限仓比例10%</t>
  </si>
  <si>
    <t>（1）三级投资者
（2）开户满10个交易日
（3）成交量达到100张</t>
  </si>
  <si>
    <t>市场单边持仓量＜8万手，限仓8000</t>
  </si>
  <si>
    <t>市场单边持仓量≥6万手， 限仓比例10%</t>
  </si>
  <si>
    <t>市场单边持仓量＜6万手， 限仓6000</t>
  </si>
  <si>
    <t>（1）三级投资者
（2）开户满10个交易日
（3）成交量达到500张
（4）在我司托管的自有资产余额超过100万</t>
  </si>
  <si>
    <t>市场单边持仓量≥5万手， 限仓比例10%</t>
  </si>
  <si>
    <t>市场单边持仓量＜5万手，限仓5000</t>
  </si>
  <si>
    <t>市场单边持仓量≥90万手，限仓比例10%</t>
  </si>
  <si>
    <t>需调整为30手整数倍进入交割月</t>
  </si>
  <si>
    <t>市场单边持仓量＜90万手，限仓90000</t>
  </si>
  <si>
    <t>（1）三级投资者
（2）开户满10个交易日
（3）成交量达到1000张
（4）在我司托管的自有资产余额超过300万
（须先向上交所报备，下一交易日设置）</t>
  </si>
  <si>
    <t>市场单边持仓量≥22.5万手， 限仓比例10%</t>
  </si>
  <si>
    <t>市场单边持仓量＜22.5万手，限仓22500</t>
  </si>
  <si>
    <t>热卷</t>
  </si>
  <si>
    <t>市场单边持仓量≥120万手， 限仓比例10%</t>
  </si>
  <si>
    <t>市场单边持仓量＜120万手，限仓120000</t>
  </si>
  <si>
    <t>需调整为15手整数倍进入交割月</t>
  </si>
  <si>
    <t>市场单边持仓量≥7万手， 限仓比例10%</t>
  </si>
  <si>
    <t>需调整为12手整数倍进入交割月</t>
  </si>
  <si>
    <t>市场单边持仓量＜7万手，限仓7000</t>
  </si>
  <si>
    <t>需调整为6手整数倍进入交割月</t>
  </si>
  <si>
    <t>深交所股票期权限仓表</t>
  </si>
  <si>
    <t>市场单边持仓量＜6万手，限仓6000</t>
  </si>
  <si>
    <t>市场单边持仓量≥1.5万手， 限仓比例10%</t>
  </si>
  <si>
    <t>需调整为2手整数倍进入交割月</t>
  </si>
  <si>
    <t>市场单边持仓量＜1.5万手，限仓1500</t>
  </si>
  <si>
    <t>客户在多家经纪商开户的，各经纪商单独控制持仓限额；
深交所对单一客户合并控制权利仓5000、总持仓10000、单日买入开仓限额10000；可能存在客户不超过在经纪商的持仓限额，但是合并后达到交易所持仓限额无法开仓的情况。</t>
  </si>
  <si>
    <t>市场单边持仓量≥1万手， 限仓比例10%</t>
  </si>
  <si>
    <t>市场单边持仓量＜1万手，限仓1000</t>
  </si>
  <si>
    <t>需调整为3手整数倍进入交割月</t>
  </si>
  <si>
    <t>市场单边持仓量≥9000手， 限仓比例10%</t>
  </si>
  <si>
    <t>市场单边持仓量＜9000手，限仓900</t>
  </si>
  <si>
    <t>沥青</t>
  </si>
  <si>
    <t>橡胶</t>
  </si>
  <si>
    <t>市场单边持仓量≥2.5万手， 限仓比例10%</t>
  </si>
  <si>
    <t>（1）三级投资者
（2）开户满10个交易日
（3）成交量达到1000张
（4）在我司托管的自有资产余额超过300万</t>
  </si>
  <si>
    <t>市场单边持仓量＜2.5万手，限仓2500</t>
  </si>
  <si>
    <t>合约挂牌至交割月前第三月的最后一个交易日</t>
  </si>
  <si>
    <t>交割月前第二月</t>
  </si>
  <si>
    <t>标的期货合约挂牌至交割月前第二月的最后一个交易日</t>
  </si>
  <si>
    <t>标的期货合约交割月前第一个月</t>
  </si>
  <si>
    <t>期权持仓的计算方式如下：
买单边持仓量=同标的看涨期权的买持仓量+看跌期权的卖持仓量；
卖单边持仓量=同标的看涨期权的卖持仓量+看跌期权的买持仓量。</t>
  </si>
  <si>
    <t>股票期权限购表</t>
  </si>
  <si>
    <t>橡胶期权</t>
  </si>
  <si>
    <t>买入金额限额  
(按万取整，仅限个人投资者，以下两者的最大值)</t>
  </si>
  <si>
    <t>（1）投资者在我司托管的自有资产余额的10%；
（2）前6个月日均持有证券市值的20%。</t>
  </si>
  <si>
    <t>1、自有资产余额，指投资者托管在我司的证券市值与资金账户可用余额（不含通过融资融券交易融入的证券和资金）。其中，证券市值包括期权合约市值，计算方法为：期权合约市值=∑期权合约实时成交价或最新结算价×合约单位×合约张数。当投资者持有权利仓时，期权合约市值计为正值；当投资者持有义务仓时，期权合约市值计为负值。</t>
  </si>
  <si>
    <t>三级投资者</t>
  </si>
  <si>
    <t>（1）投资者在我司托管的自有资产余额的20%；
（2）前6个月日均持有证券市值的20%。</t>
  </si>
  <si>
    <t>丁二烯橡胶期权</t>
  </si>
  <si>
    <t>权利仓持仓限额已达到2000张</t>
  </si>
  <si>
    <t>（1）投资者在我司托管的自有资产余额的30%；
（2）前6个月日均持有证券市值的20%。</t>
  </si>
  <si>
    <t>交割月份前第二月</t>
  </si>
  <si>
    <t>交割月份前第一月</t>
  </si>
  <si>
    <t>需调整为10手整数倍进入交割月</t>
  </si>
  <si>
    <t>市场单边持仓量＜7万手， 限仓7000</t>
  </si>
  <si>
    <t>合约挂盘至最后交易日前第八个交易日</t>
  </si>
  <si>
    <t>最后交易日前第七个交易日至最后交易日前第三个交易日</t>
  </si>
  <si>
    <t>最后交易日前第二个交易日至最后交易日</t>
  </si>
  <si>
    <t>合约上市至交割月份前一个月第十四个交易日
（持仓量为单边计算）</t>
  </si>
  <si>
    <t>交割月前一个月第十五个交易日起</t>
  </si>
  <si>
    <t>交割月份
（法人）</t>
  </si>
  <si>
    <t>豆一</t>
  </si>
  <si>
    <t>市场单边持仓量≤5万</t>
  </si>
  <si>
    <t>市场单边持仓量＞5万</t>
  </si>
  <si>
    <t>市场单边持仓量×5%</t>
  </si>
  <si>
    <t>豆二</t>
  </si>
  <si>
    <t>市场单边持仓量≤10万</t>
  </si>
  <si>
    <t>市场单边持仓量＞10万</t>
  </si>
  <si>
    <t>市场单边持仓量≤40万</t>
  </si>
  <si>
    <t>2万</t>
  </si>
  <si>
    <t>市场单边持仓量＞40万</t>
  </si>
  <si>
    <t>市场单边持仓量≤15万</t>
  </si>
  <si>
    <t>市场单边持仓量＞15万</t>
  </si>
  <si>
    <t>市场单边持仓量×10%</t>
  </si>
  <si>
    <t>市场单边持仓量≤20万</t>
  </si>
  <si>
    <t>1万</t>
  </si>
  <si>
    <t>市场单边持仓量＞20万</t>
  </si>
  <si>
    <t>线型低密度聚乙烯</t>
  </si>
  <si>
    <t>1.6万</t>
  </si>
  <si>
    <t>市场单边持仓量×8%</t>
  </si>
  <si>
    <t>线型低密度聚乙烯月均价</t>
  </si>
  <si>
    <t>— —</t>
  </si>
  <si>
    <t>市场单边持仓量×2%</t>
  </si>
  <si>
    <t>市场单边持仓量≤8万</t>
  </si>
  <si>
    <t>市场单边持仓量＞8万</t>
  </si>
  <si>
    <t>市场单边持仓量≤30万</t>
  </si>
  <si>
    <t>市场单边持仓量＞30万</t>
  </si>
  <si>
    <t>市场单边持仓量≤5000</t>
  </si>
  <si>
    <t>市场单边持仓量＞5000</t>
  </si>
  <si>
    <t>市场单边持仓量≤3万</t>
  </si>
  <si>
    <t>市场单边持仓量＞3万</t>
  </si>
  <si>
    <t>市场单边持仓量≤4万</t>
  </si>
  <si>
    <t>市场单边持仓量＞4万</t>
  </si>
  <si>
    <t>市场单边持仓量≤12万</t>
  </si>
  <si>
    <t>市场单边持仓量＞12万</t>
  </si>
  <si>
    <t>合约上市起</t>
  </si>
  <si>
    <t>交割月前一个月第一个交易日起</t>
  </si>
  <si>
    <t>交割月前一个月第十个交易日起</t>
  </si>
  <si>
    <t>生猪
（非7月合约）</t>
  </si>
  <si>
    <t>生猪
（7月合约）</t>
  </si>
  <si>
    <t>合约上市起至到期日</t>
  </si>
  <si>
    <t>m_o</t>
  </si>
  <si>
    <t>c_o</t>
  </si>
  <si>
    <t>a_o</t>
  </si>
  <si>
    <t>豆油期货期权</t>
  </si>
  <si>
    <t>y_o</t>
  </si>
  <si>
    <t>自合约挂牌至交割月前一个月第15个日历日期间的交易日</t>
  </si>
  <si>
    <t>交割月前一个月第16个日历日至交割月前一个月最后一个日历日期间的交易日</t>
  </si>
  <si>
    <t>自然人交割月限仓为0</t>
  </si>
  <si>
    <t>自合约挂牌至交割月前一个月第15个日历日期间的交易日（持仓量为单边计算）</t>
  </si>
  <si>
    <t>市场单边持仓量＜20万</t>
  </si>
  <si>
    <t>市场单边持仓量≥20万</t>
  </si>
  <si>
    <t>市场单边持仓量＜50万</t>
  </si>
  <si>
    <t>市场单边持仓量≥50万</t>
  </si>
  <si>
    <t>市场单边持仓量＜10万</t>
  </si>
  <si>
    <t>市场单边持仓量≥10万</t>
  </si>
  <si>
    <t>市场单边持仓量＜30万</t>
  </si>
  <si>
    <t>市场单边持仓量≥30万</t>
  </si>
  <si>
    <t>市场单边持仓量＜3万</t>
  </si>
  <si>
    <t>市场单边持仓量≥3万</t>
  </si>
  <si>
    <t>自挂牌至交割月前二个月最后一个日历日期间的交易日</t>
  </si>
  <si>
    <t>自交割月前一个月第一个日历日至交割月前一个月第15个日历日期间的交易日</t>
  </si>
  <si>
    <t>从合约挂牌至到期日期间</t>
  </si>
  <si>
    <t>SRC/SRP</t>
  </si>
  <si>
    <t>期权持仓的统计方式如下：
买单边持仓量=同标的看涨期权的买持仓量+看跌期权的卖持仓量；
卖单边持仓量=同标的看涨期权的卖持仓量+看跌期权的买持仓量。</t>
  </si>
  <si>
    <t>合约上市至交割月份前一个月第十四个交易日（持仓量为单边计算）</t>
  </si>
  <si>
    <t>合约上市至交割月份前一个月第九个交易日（持仓量为单边计算）</t>
  </si>
  <si>
    <t>碳酸锂
（LC2610合约及以后合约）</t>
  </si>
  <si>
    <t>市场单边持仓量≤6万</t>
  </si>
  <si>
    <t>市场单边持仓量＞6万</t>
  </si>
  <si>
    <t>市场单边持仓量≤1.2万</t>
  </si>
  <si>
    <t>市场单边持仓量＞1.2万</t>
  </si>
  <si>
    <t>市场单边持仓量≤6000</t>
  </si>
  <si>
    <t>市场单边持仓量＞6000</t>
  </si>
  <si>
    <t>合约上市至到期日</t>
  </si>
  <si>
    <t>股指期货品种名称</t>
  </si>
  <si>
    <t>股指期货品种代码</t>
  </si>
  <si>
    <t>投机编码（限仓量为单边计算）</t>
  </si>
  <si>
    <t>对冲专用编码（限仓量为单边计算）</t>
  </si>
  <si>
    <t>合约挂牌之日起至最后交易日</t>
  </si>
  <si>
    <t>单合约5000手</t>
  </si>
  <si>
    <t>品种合计20000手</t>
  </si>
  <si>
    <t>1.持牌金融机构可以单独申请中金所套保及套利额度、对冲编码及获得对冲额度，获得交易所审批通过的，可增加套保、套利及对冲的持仓限额，且支持在套保编码下、对冲编码下可完成对应额度建仓，不受投机编码下单个合约单日开仓量500手的限制。
2.套保交易、对冲交易受到异常交易及自然周成交量不得超过获批额度2倍的限制，需特别注意。</t>
  </si>
  <si>
    <t>单合约1200手</t>
  </si>
  <si>
    <t>品种合计4800手</t>
  </si>
  <si>
    <t>股指期权品种名称</t>
  </si>
  <si>
    <t>股指期权品种代码</t>
  </si>
  <si>
    <t>某一月份系列期权合约5000手</t>
  </si>
  <si>
    <t>品种合计30000手</t>
  </si>
  <si>
    <t>1.客户的期权品种日内开仓交易的最大数量为200手，单个月份期权合约日内开仓交易的最大数量为100手，单个深度虚值合约日内开仓交易的最大数量为30手。
（说明：深度虚值合约是指同一月份合约中，行权价格高于上一交易日合约标的指数收盘价的第十个及以上的看涨期权合约和行权价格低于上一交易日合约标的指数收盘价的第十个及以下的看跌期权合约。日内开仓交易的最大数量是指客户某一交易日某一品种、某一月份合约或某一合约上的买开仓数量与卖开仓数量之和。）
2.套保交易、对冲交易受到异常交易及自然周成交量不得超过获批额度2倍的限制，需特别注意。</t>
  </si>
  <si>
    <t>某一月份系列期权合约1200手</t>
  </si>
  <si>
    <t>品种合计7200手</t>
  </si>
  <si>
    <t>国债期货品种名称</t>
  </si>
  <si>
    <t>国债期货品种代码</t>
  </si>
  <si>
    <t>合约挂牌之日起</t>
  </si>
  <si>
    <t>交割月份之前的一个交
易日起</t>
  </si>
  <si>
    <t>新合约上市日起至季月之前的第二个交易日</t>
  </si>
  <si>
    <t>季月之前的一个交易日起至交割月合约最后交易日</t>
  </si>
  <si>
    <t>两年期国债期货</t>
  </si>
  <si>
    <t>单合约2000手
（做市商6000手）</t>
  </si>
  <si>
    <t>单合约600手
（做市商1200手）</t>
  </si>
  <si>
    <t>品种合计6000手</t>
  </si>
  <si>
    <t>品种合计4600手
（其中交割月合约限600手）</t>
  </si>
  <si>
    <t>1.根据中金所国债期货合约交割细则的规定，交割月份之前的一个交易日起，中金所将对未通过国债托管账户审核客户的国债合约持仓予以强行平仓，强平盈利交易所罚没。
自交割月份之前的二个交易日起至最后交易日之前一个交易日，每日收市后，同一交易编码的交割月份合约双向持仓对冲平仓，平仓价格为该合约前一交易日的结算价。
2.套保交易、对冲交易受到异常交易及自然周成交量不得超过获批额度2倍的限制，需特别注意。</t>
  </si>
  <si>
    <t>五年期国债期货</t>
  </si>
  <si>
    <t>三十年期国债期货</t>
  </si>
  <si>
    <t>十年期国债期货</t>
  </si>
  <si>
    <t>单合约4000手
（做市商6000手）</t>
  </si>
  <si>
    <t>单合约1200手
（做市商1200手）</t>
  </si>
  <si>
    <t>品种合计12000手</t>
  </si>
  <si>
    <t>品种合计9200手
（其中交割月合约限1200手）</t>
  </si>
  <si>
    <t>实施交易限额的品种汇总表</t>
  </si>
  <si>
    <t>特殊合约</t>
  </si>
  <si>
    <t>说明</t>
  </si>
  <si>
    <t>单合约</t>
  </si>
  <si>
    <t>单品种</t>
  </si>
  <si>
    <t>时间</t>
  </si>
  <si>
    <t>交易所是否前端控制</t>
  </si>
  <si>
    <t>限制单合约</t>
  </si>
  <si>
    <t>/</t>
  </si>
  <si>
    <t>是
（实控组没有前端控制）</t>
  </si>
  <si>
    <t>限制品种、单月份系列、深度虚值合约</t>
  </si>
  <si>
    <t>月份期权合约100
深度虚值合约 30</t>
  </si>
  <si>
    <t>ps2608-ps2707</t>
  </si>
  <si>
    <t>其他月份合约</t>
  </si>
  <si>
    <t>lc2608-lc2707</t>
  </si>
  <si>
    <t>2026/2/9发布</t>
  </si>
  <si>
    <t>pt2607-pt2702</t>
  </si>
  <si>
    <t>pd2607-pd2702</t>
  </si>
  <si>
    <t>菜粕</t>
  </si>
  <si>
    <t>每月第6个交易日</t>
  </si>
  <si>
    <t>sc2607</t>
  </si>
  <si>
    <t>ec2607-2610、
ec2612、ec2703</t>
  </si>
  <si>
    <t>lu2607</t>
  </si>
  <si>
    <t>fu2607</t>
  </si>
  <si>
    <t>ag2607-2701</t>
  </si>
  <si>
    <t>ni2607-2701</t>
  </si>
  <si>
    <t>sn2607-2701</t>
  </si>
  <si>
    <t>单笔最小开仓手数汇总表</t>
  </si>
  <si>
    <t>具体合约</t>
  </si>
  <si>
    <t>单笔最小开仓量</t>
  </si>
  <si>
    <t>5手</t>
  </si>
  <si>
    <t>其他</t>
  </si>
  <si>
    <t>各合约</t>
  </si>
  <si>
    <t>1手</t>
  </si>
  <si>
    <t>10手</t>
  </si>
  <si>
    <t>MA607</t>
  </si>
  <si>
    <t>4手</t>
  </si>
  <si>
    <t>PX607</t>
  </si>
  <si>
    <t>2手</t>
  </si>
  <si>
    <t>其他交易所</t>
  </si>
  <si>
    <t>所有品种</t>
  </si>
  <si>
    <t>注：数据整理于各期货交易所，以交易所最新公告为准。
最小开仓手数仅针对开仓，平仓不受此限制。</t>
  </si>
  <si>
    <r>
      <rPr>
        <sz val="20"/>
        <color indexed="8"/>
        <rFont val="宋体"/>
        <charset val="134"/>
      </rPr>
      <t>▷</t>
    </r>
    <r>
      <rPr>
        <sz val="20"/>
        <color indexed="8"/>
        <rFont val="微软雅黑"/>
        <charset val="134"/>
      </rPr>
      <t xml:space="preserve"> 注意：以下异常交易行为的认定标准均以</t>
    </r>
    <r>
      <rPr>
        <sz val="24"/>
        <color indexed="10"/>
        <rFont val="微软雅黑"/>
        <charset val="134"/>
      </rPr>
      <t>“单一合约”</t>
    </r>
    <r>
      <rPr>
        <sz val="20"/>
        <color indexed="8"/>
        <rFont val="微软雅黑"/>
        <charset val="134"/>
      </rPr>
      <t>为基本对象</t>
    </r>
  </si>
  <si>
    <t>异常交易类型/交易所</t>
  </si>
  <si>
    <t>上期所/上期能源</t>
  </si>
  <si>
    <t>大商所/广期所</t>
  </si>
  <si>
    <t>（一）自成交</t>
  </si>
  <si>
    <t>≥5次</t>
  </si>
  <si>
    <t>同一笔委托拆成多笔成交形成自成交，自成交次数计算方式：</t>
  </si>
  <si>
    <t>正常计算</t>
  </si>
  <si>
    <t>1次</t>
  </si>
  <si>
    <t>1次（大商所）</t>
  </si>
  <si>
    <t>正常计算（广期所）</t>
  </si>
  <si>
    <t>集合竞价期间的自成交</t>
  </si>
  <si>
    <t>（二）频繁报撤单</t>
  </si>
  <si>
    <t>股指期货(IF IC IH IM)≥400次
国债期货(TS TF T TL)≥500次
股指期权(IO MO HO)≥500次</t>
  </si>
  <si>
    <t>≥500次</t>
  </si>
  <si>
    <t>（三）大额报撤单</t>
  </si>
  <si>
    <t>撤单次数≥100次，且单笔撤单量达到或超过交易所规定限价指令每次最大下单数量80%</t>
  </si>
  <si>
    <t>撤单次数≥50次，且单笔撤单量≥300手</t>
  </si>
  <si>
    <t>撤单次数≥50次，且单笔撤单量超过合约最大下单手数的80%</t>
  </si>
  <si>
    <t>撤单次数≥50次，且单笔撤单量≥800手</t>
  </si>
  <si>
    <t>监管措施
（自成交、频繁报撤单、大额报撤单）</t>
  </si>
  <si>
    <r>
      <rPr>
        <sz val="16"/>
        <color indexed="8"/>
        <rFont val="微软雅黑"/>
        <charset val="134"/>
      </rPr>
      <t>1. 股指期货：发生</t>
    </r>
    <r>
      <rPr>
        <sz val="16"/>
        <color indexed="8"/>
        <rFont val="微软雅黑"/>
        <charset val="134"/>
      </rPr>
      <t>1次对客户采取限制开仓不少于1个月的自律管理措施
2. 其他期货品种：     
第一次，对客户进行教育、引导、劝阻及制止
第二次，交易所将客户列入重点关注名单
第三次，对客户采取限制开仓不少于1个月的自律管理措施</t>
    </r>
  </si>
  <si>
    <t xml:space="preserve">  豁免情形</t>
  </si>
  <si>
    <r>
      <rPr>
        <b/>
        <sz val="16"/>
        <rFont val="微软雅黑"/>
        <charset val="134"/>
      </rPr>
      <t>除国债期货：</t>
    </r>
    <r>
      <rPr>
        <sz val="16"/>
        <rFont val="微软雅黑"/>
        <charset val="134"/>
      </rPr>
      <t>因（1）套期保值交易、（2）市价指令自动形成的</t>
    </r>
    <r>
      <rPr>
        <u/>
        <sz val="16"/>
        <rFont val="微软雅黑"/>
        <charset val="134"/>
      </rPr>
      <t>自成交、频繁报撤单、大额报撤单行为不构成异常交易行为</t>
    </r>
    <r>
      <rPr>
        <sz val="16"/>
        <rFont val="微软雅黑"/>
        <charset val="134"/>
      </rPr>
      <t xml:space="preserve">；（3）因其他限价指令形成的频繁报撤单行为。
</t>
    </r>
    <r>
      <rPr>
        <b/>
        <sz val="16"/>
        <rFont val="微软雅黑"/>
        <charset val="134"/>
      </rPr>
      <t>国债期货</t>
    </r>
    <r>
      <rPr>
        <sz val="16"/>
        <rFont val="微软雅黑"/>
        <charset val="134"/>
      </rPr>
      <t>：因（1）套期保值交易、市价指令自动形成的</t>
    </r>
    <r>
      <rPr>
        <u/>
        <sz val="16"/>
        <rFont val="微软雅黑"/>
        <charset val="134"/>
      </rPr>
      <t>自成交、频繁报撤单、大额报撤单行为</t>
    </r>
    <r>
      <rPr>
        <sz val="16"/>
        <rFont val="微软雅黑"/>
        <charset val="134"/>
      </rPr>
      <t>；（2）因其他限价指令形成的</t>
    </r>
    <r>
      <rPr>
        <u/>
        <sz val="16"/>
        <rFont val="微软雅黑"/>
        <charset val="134"/>
      </rPr>
      <t>频繁报撤单行为</t>
    </r>
    <r>
      <rPr>
        <sz val="16"/>
        <rFont val="微软雅黑"/>
        <charset val="134"/>
      </rPr>
      <t>；（3）套利交易所产生的</t>
    </r>
    <r>
      <rPr>
        <u/>
        <sz val="16"/>
        <rFont val="微软雅黑"/>
        <charset val="134"/>
      </rPr>
      <t xml:space="preserve">频繁报撤单和大额报撤单行为, </t>
    </r>
    <r>
      <rPr>
        <sz val="16"/>
        <rFont val="微软雅黑"/>
        <charset val="134"/>
      </rPr>
      <t>不构成异常交易行为。</t>
    </r>
  </si>
  <si>
    <t>因（1）套期保值交易 产生的自成交、频繁报撤单、大额报撤单行为不构成异常交易行为。</t>
  </si>
  <si>
    <t>因（1）套期保值交易（套期保值属性指令）、（2）市价指令、（3）止损（盈）指令、（4）套利指令 形成的自成交、频繁报撤单、大额报撤单行为不构成异常交易行为。</t>
  </si>
  <si>
    <t>因（1）套期保值交易、（2）市价指令、（3）套利指令 产生的自成交、频繁报撤单、大额报撤单行为不构成异常交易行为。</t>
  </si>
  <si>
    <t>实施申报费收费的合约上产生的频繁报撤单行为不构成异常交易行为（由附加FOK和FAK属性的限价指令产生的频繁报撤单除外）</t>
  </si>
  <si>
    <t>做市交易产生的频繁报撤单行为不构成异常交易行为</t>
  </si>
  <si>
    <t>（四）停板价位频繁报撤单</t>
  </si>
  <si>
    <t xml:space="preserve"> - </t>
  </si>
  <si>
    <t>≥100次</t>
  </si>
  <si>
    <t>监管措施
（停板价位频繁报撤单）</t>
  </si>
  <si>
    <t>-</t>
  </si>
  <si>
    <r>
      <rPr>
        <sz val="16"/>
        <color indexed="8"/>
        <rFont val="微软雅黑"/>
        <charset val="134"/>
      </rPr>
      <t xml:space="preserve">1.一般情况下：同频繁报撤监管措施；
2.视为停板价位频繁报撤单情节严重的：
（即，当某个交易日某一合约出现涨（跌）停板后，客户当日在涨（跌）停板价位买（卖）单撤销定单次数100次以上且撤销定单手数合计10000手以上的）
</t>
    </r>
    <r>
      <rPr>
        <sz val="16"/>
        <color indexed="8"/>
        <rFont val="微软雅黑"/>
        <charset val="134"/>
      </rPr>
      <t>直接限制开仓</t>
    </r>
    <r>
      <rPr>
        <sz val="16"/>
        <color indexed="8"/>
        <rFont val="微软雅黑"/>
        <charset val="134"/>
      </rPr>
      <t>，限制开仓时间不少于1个月</t>
    </r>
  </si>
  <si>
    <t>（五）日内过度交易</t>
  </si>
  <si>
    <t>根据《中国金融期货交易所风险控制管理办法》相关规定：
1.股指期货（IF/IC/IH/IM)：
单个交易日单个合约的开仓交易量不得超500手
2.股指期权(IO/MO/HO)：
品种日内开仓交易最大数量：200手
单个月份期权合约日内开仓交易最大数量：100手
深度虚值合约日内开仓交易最大数量：30手
PS：中金所有前端风控，可保障单账户不超过开仓限额，实控组无法保障。</t>
  </si>
  <si>
    <t>一、上期所
1.螺纹钢：各月份合约上单个交易日开仓量不得超过32000手
2.燃料油：FU2607合约上单个交易日开仓量不得超过1500手，其他月份合约上单个交易日开仓量不得超过6000手
3.白银：AG2607-AG2701合约上单个交易日开仓量不得超过800手，其他月份合约上单个交易日开仓量不得超过7000手
4.热轧卷板：各月份合约上单个交易日开仓量不得超过10000手
5.纸浆：各月份合约上单个交易日开仓量不得超过8000手
6.天然橡胶：各月份合约上单个交易日开仓量不得超过6000手
7.铝：各月份合约上单个交易日开仓量不得超过4000手
8.锌：各月份合约上单个交易日开仓量不得超过3000手
9.黄金：各月份合约上单个交易日开仓量不得超过2800手
10.铜：各月份合约上单个交易日开仓量不得超过2000手
11.锡：SN2607-SN2701合约上单个交易日开仓量不得超过200手，其他月份合约上单个交易日开仓量不得超过800手
12.镍：NI2607-NI2701合约上单个交易日开仓量不得超过2500手
二、能源中心
1.原油：SC2607合约上单个交易日开仓量不得超过400手，其他月份合约上单个交易日开仓量不得超过1600手
2.集运指数（欧线）期货：EC2606-2610、EC2612、EC2703合约上单个交易日开仓量不得超过50手；其他月份合约上单个交易日开仓量不得超过200手
3.低硫燃料油：LU2607合约上单个交易日开仓量不得超过1500手，其他月份合约上单个交易日开仓量不得超过6000手
PS：上期所和能源中心有前端风控，可保障单账户不超过开仓限额，实控组无法保障。</t>
  </si>
  <si>
    <t>一、大商所
1.豆粕：各月份合约上单日开仓量不得超过20000手
2.聚氯乙烯/聚氯乙烯月均价：各月份合约上单日开仓量不得超过18000手
3.豆油：各月份合约上单日开仓量不得超过15000手
4.棕榈油/液化石油气/聚丙烯/聚丙烯月均价：各月份合约上单日开仓量不得超过10000手
5.玉米/聚乙烯/聚乙烯月均价：各月份合约上单日开仓量不得超过8000手
6.生猪：各月份合约上单日开仓量不得超过1000手
7.铁矿石：单日单合约开仓量不得超过2000手
8.焦煤：各月份合约上单日开仓量不得超过2000手
9.焦炭：各月份合约上单日开仓量不得超过500手
PS：大商所有前端风控，可保障单账户和实控组账户不超过开仓限额。</t>
  </si>
  <si>
    <t>1.PTA：单个交易日单个合约开仓量不得超过30000手
2.甲醇：单个交易日单个合约开仓量不得超过25000手
3.玻璃：单个交易日单个合约开仓量不得超过25000手
4.菜粕：单个交易日单个合约开仓量不得超过15000手
5.菜油/白糖/棉花/纯碱/锰硅：各月份合约上单日开仓交易的最大数量为10000手
6.动力煤（当前上市所有合约）：单个交易日单个合约开仓量不得超过20手
PS：郑商所有前端风控，可保障单账户不超过开仓限额，实控组无法保障。</t>
  </si>
  <si>
    <r>
      <t>二、广期所
1.工业硅期货：单个交易日，各月份合约单个合约开仓量不得超过10000手
2.多晶硅期货：单个交易日，</t>
    </r>
    <r>
      <rPr>
        <sz val="16"/>
        <color rgb="FFFF0000"/>
        <rFont val="微软雅黑"/>
        <charset val="134"/>
      </rPr>
      <t>PS2608-PS2707单个合约开仓量不得超过200手</t>
    </r>
    <r>
      <rPr>
        <sz val="16"/>
        <rFont val="微软雅黑"/>
        <charset val="134"/>
      </rPr>
      <t>；其他月份合约单个合约开仓量不得超过10000手
3.碳酸锂期货：单个交易日，</t>
    </r>
    <r>
      <rPr>
        <sz val="16"/>
        <color rgb="FFFF0000"/>
        <rFont val="微软雅黑"/>
        <charset val="134"/>
      </rPr>
      <t>LC2608-LC2707单个合约开仓量不得超过400手</t>
    </r>
    <r>
      <rPr>
        <sz val="16"/>
        <rFont val="微软雅黑"/>
        <charset val="134"/>
      </rPr>
      <t>；其他月份合约单个合约开仓量不得超过10000手
4.铂/钯期货：单个交易日，PT2607-PT2702、PD2607-PD2702单个合约开仓量不得超过300手
PS：广期所有前端风控，可保障单账户和实控组账户不超过开仓限额。</t>
    </r>
  </si>
  <si>
    <t xml:space="preserve">
监管措施
（日内过度交易）</t>
  </si>
  <si>
    <t>第一次，限制开仓5个交易日的措施；
第二次，限制开仓10个交易日的措施；
第三次及以上，限制开仓1个月的措施；
情节严重的，按《中国金融期货交易所风险控制管理办法》《中国金融期货交易所违规违约处理办法》的有关规定处理。</t>
  </si>
  <si>
    <t>第一次，限制开仓不少于5个交易日的措施；
第二次，限制开仓不少于1个月的措施；
第三次及以上，限制开仓不少于2个月的措施；
情节严重的，按《上海期货交易所违规处理办法》的有关规定处理。</t>
  </si>
  <si>
    <t>对于超过交易限额的非期货公司会员或者客户，交易所要求客户报告相关情况并采取暂停客户开仓不低于5个交易日的监管措施。累计2个交易日超过交易限额的，交易所将采取暂停客户开仓不低于1个月的监管措施。
情节严重的，按照《郑州商品交易所违规处理办法》有关规定处理。</t>
  </si>
  <si>
    <t>（六）实际控制关系账户组合并持仓超限</t>
  </si>
  <si>
    <t>交易所对已认定的实际控制关系账户组视作同一客户，实际控制关系账户组中的客户持仓合并计算，合并计算后的持仓不得超过交易所规定的持仓限额。</t>
  </si>
  <si>
    <t>监管措施
 （实控账户组合并持仓超限）</t>
  </si>
  <si>
    <t>第一次：交易所将该组实际控制关系账户列入重点关注名单。第二次：交易所对该组实际控制关系账户采取限制开仓不少于10个交易日的自律管理措施。第三次：交易所对该组实际控制关系账户采取限制开仓不少于6个月的自律管理措施。
客户应当在交易所规定的时限内自行平仓。逾期未处理完毕的，由交易所执行强行平仓，并对客户采取限制开仓不少于1个月的自律管理措施。</t>
  </si>
  <si>
    <t>限制开仓方式</t>
  </si>
  <si>
    <r>
      <rPr>
        <sz val="16"/>
        <color indexed="8"/>
        <rFont val="微软雅黑"/>
        <charset val="134"/>
      </rPr>
      <t>各类异常交易行为次数分开统计；
限制开仓</t>
    </r>
    <r>
      <rPr>
        <sz val="16"/>
        <color indexed="8"/>
        <rFont val="微软雅黑"/>
        <charset val="134"/>
      </rPr>
      <t>品种</t>
    </r>
  </si>
  <si>
    <t>各类异常交易行为次数分开统计；
所有品种违规次数合并计算，对第三次违规合约的品种进行限制开仓</t>
  </si>
  <si>
    <r>
      <rPr>
        <sz val="16"/>
        <color indexed="8"/>
        <rFont val="微软雅黑"/>
        <charset val="134"/>
      </rPr>
      <t>各类异常交易行为次数分开统计；
所有品种违规次数合并计算，对第三次违规的</t>
    </r>
    <r>
      <rPr>
        <sz val="16"/>
        <color indexed="8"/>
        <rFont val="微软雅黑"/>
        <charset val="134"/>
      </rPr>
      <t>合约</t>
    </r>
    <r>
      <rPr>
        <sz val="16"/>
        <color indexed="8"/>
        <rFont val="微软雅黑"/>
        <charset val="134"/>
      </rPr>
      <t>进行限制开仓</t>
    </r>
  </si>
  <si>
    <r>
      <rPr>
        <sz val="16"/>
        <rFont val="微软雅黑"/>
        <charset val="134"/>
      </rPr>
      <t>各类异常交易行为次数分开统计；
所有品种违规次数合并计算，日内过度交易类异常交易对违规品种进行限制开仓，其余类型的异常交易行为对违规的</t>
    </r>
    <r>
      <rPr>
        <sz val="16"/>
        <rFont val="微软雅黑"/>
        <charset val="134"/>
      </rPr>
      <t>合约</t>
    </r>
    <r>
      <rPr>
        <sz val="16"/>
        <rFont val="微软雅黑"/>
        <charset val="134"/>
      </rPr>
      <t>进行限制开仓</t>
    </r>
  </si>
  <si>
    <t>《…异常交易管理办法》部分内容</t>
  </si>
  <si>
    <t>…单个交易日在单品种多个合约上因自成交、频繁报撤单、大额报撤单达到交易所处理标准的，按照一次认定。</t>
  </si>
  <si>
    <r>
      <rPr>
        <sz val="16"/>
        <color indexed="8"/>
        <rFont val="微软雅黑"/>
        <charset val="134"/>
      </rPr>
      <t>…</t>
    </r>
    <r>
      <rPr>
        <sz val="16"/>
        <color indexed="63"/>
        <rFont val="微软雅黑"/>
        <charset val="134"/>
      </rPr>
      <t>单个交易</t>
    </r>
    <r>
      <rPr>
        <sz val="16"/>
        <color indexed="63"/>
        <rFont val="微软雅黑"/>
        <charset val="134"/>
      </rPr>
      <t>日在</t>
    </r>
    <r>
      <rPr>
        <sz val="16"/>
        <color indexed="63"/>
        <rFont val="微软雅黑"/>
        <charset val="134"/>
      </rPr>
      <t>两个及以上期货合约或者两个及以上期权合约</t>
    </r>
    <r>
      <rPr>
        <sz val="16"/>
        <color indexed="63"/>
        <rFont val="微软雅黑"/>
        <charset val="134"/>
      </rPr>
      <t>因自成交、频繁报撤单、大额报撤单达到交易所异常交易行为处理标准的，</t>
    </r>
    <r>
      <rPr>
        <sz val="16"/>
        <color indexed="63"/>
        <rFont val="微软雅黑"/>
        <charset val="134"/>
      </rPr>
      <t>同一种异常交易行为</t>
    </r>
    <r>
      <rPr>
        <sz val="16"/>
        <color indexed="63"/>
        <rFont val="微软雅黑"/>
        <charset val="134"/>
      </rPr>
      <t>按照发生一次异常交易行为认定。</t>
    </r>
  </si>
  <si>
    <r>
      <rPr>
        <sz val="16"/>
        <color indexed="8"/>
        <rFont val="微软雅黑"/>
        <charset val="134"/>
      </rPr>
      <t>…</t>
    </r>
    <r>
      <rPr>
        <sz val="16"/>
        <color indexed="63"/>
        <rFont val="微软雅黑"/>
        <charset val="134"/>
      </rPr>
      <t>单个交易日</t>
    </r>
    <r>
      <rPr>
        <sz val="16"/>
        <color indexed="63"/>
        <rFont val="微软雅黑"/>
        <charset val="134"/>
      </rPr>
      <t>在</t>
    </r>
    <r>
      <rPr>
        <sz val="16"/>
        <color indexed="63"/>
        <rFont val="微软雅黑"/>
        <charset val="134"/>
      </rPr>
      <t>多个期货合约或者多个期权合约</t>
    </r>
    <r>
      <rPr>
        <sz val="16"/>
        <color indexed="63"/>
        <rFont val="微软雅黑"/>
        <charset val="134"/>
      </rPr>
      <t>上自成交、频繁报撤单或大额报撤单行为达到交易所处理标准的，分别认定为出现一次自成交、频繁报撤单、大额报撤单行为达到交易所处理标准。</t>
    </r>
  </si>
  <si>
    <r>
      <rPr>
        <sz val="16"/>
        <color indexed="8"/>
        <rFont val="微软雅黑"/>
        <charset val="134"/>
      </rPr>
      <t>…</t>
    </r>
    <r>
      <rPr>
        <sz val="16"/>
        <color indexed="63"/>
        <rFont val="微软雅黑"/>
        <charset val="134"/>
      </rPr>
      <t>单个交易日</t>
    </r>
    <r>
      <rPr>
        <sz val="16"/>
        <color indexed="63"/>
        <rFont val="微软雅黑"/>
        <charset val="134"/>
      </rPr>
      <t>在</t>
    </r>
    <r>
      <rPr>
        <sz val="16"/>
        <color indexed="63"/>
        <rFont val="微软雅黑"/>
        <charset val="134"/>
      </rPr>
      <t>两个以上合约</t>
    </r>
    <r>
      <rPr>
        <sz val="16"/>
        <color indexed="63"/>
        <rFont val="微软雅黑"/>
        <charset val="134"/>
      </rPr>
      <t>因自成交、频繁报撤单、大额报撤单或者实际控制关系账户合并持仓超限达到异常交易行为处理标准的，</t>
    </r>
    <r>
      <rPr>
        <sz val="16"/>
        <color indexed="63"/>
        <rFont val="微软雅黑"/>
        <charset val="134"/>
      </rPr>
      <t>同一种异常交易行为</t>
    </r>
    <r>
      <rPr>
        <sz val="16"/>
        <color indexed="63"/>
        <rFont val="微软雅黑"/>
        <charset val="134"/>
      </rPr>
      <t>按照发生一次认定。</t>
    </r>
  </si>
  <si>
    <t>各交易所保证金优惠规则</t>
  </si>
  <si>
    <t>保证金优惠政策</t>
  </si>
  <si>
    <t>优惠政策描述</t>
  </si>
  <si>
    <t>组合类型</t>
  </si>
  <si>
    <t>组合规则</t>
  </si>
  <si>
    <t>保证金收取规则</t>
  </si>
  <si>
    <t>盘中优惠方式</t>
  </si>
  <si>
    <t>结算后优惠方式</t>
  </si>
  <si>
    <t>大商所
广期所</t>
  </si>
  <si>
    <t>组合策略保证金</t>
  </si>
  <si>
    <t>符合优惠规则的双边持仓按照规定比例组成持仓组合，组合中的持仓按照交易所规定的组合保证金收取</t>
  </si>
  <si>
    <t>期货对锁</t>
  </si>
  <si>
    <t>在同一期货品种同一月份合约上建立数量相等、方向相反的头寸</t>
  </si>
  <si>
    <t>期货高腿保证金</t>
  </si>
  <si>
    <r>
      <rPr>
        <sz val="12"/>
        <color rgb="FF333333"/>
        <rFont val="微软雅黑"/>
        <charset val="134"/>
      </rPr>
      <t>1、部分组合盘中使用SP（期货跨期、</t>
    </r>
    <r>
      <rPr>
        <sz val="12"/>
        <rFont val="微软雅黑"/>
        <charset val="134"/>
      </rPr>
      <t>期货不同交割方式套利</t>
    </r>
    <r>
      <rPr>
        <sz val="12"/>
        <color rgb="FF333333"/>
        <rFont val="微软雅黑"/>
        <charset val="134"/>
      </rPr>
      <t>）、SPC（期货跨品种）套利指令直接建立组合，实时优惠；
2、盘中先建立单腿合约，再通过交易端申请组合可以实时优惠，也可以申请组合解除实时拆散组合，解除优惠。</t>
    </r>
  </si>
  <si>
    <t>1、结算时交易所根据公布的组合优先级自动进行组合优惠；
2、客户可通过会员申请保留组合资格，交易所审批通过后，结算时将保留客户的盘中组合持仓，且不将剩余单腿持仓进行自动组合。</t>
  </si>
  <si>
    <t>1、大商所组合规则详见交易所官网：首页 &gt; 数据中心 &gt; 业务数据 &gt; 业务参数&gt; 交易参数 ；
2、广期所组合规则详见交易所官网：首页 &gt; 业务/服务 &gt; 业务参数 &gt; 交易参数\结算参数；
3、期权合约仅部分月份支持组合；
4、新合约上市首日盘中不参与组合，结算时参与组合。</t>
  </si>
  <si>
    <t>期货跨期</t>
  </si>
  <si>
    <t>在同一期货品种的不同月份合约上建立数量相等、方向相反的头寸</t>
  </si>
  <si>
    <t>期货不同交割方式套利</t>
  </si>
  <si>
    <t>在同一品种实物交割期货合约和月均价期货合约上建立数量相等、方向相反的头寸</t>
  </si>
  <si>
    <t>期货跨品种
（广期所无）</t>
  </si>
  <si>
    <t>在不同期货品种合约上建立数量相等、方向相反的头寸</t>
  </si>
  <si>
    <t>卖出期权期货组合</t>
  </si>
  <si>
    <t>卖出看涨期权，同时买入标的期货合约</t>
  </si>
  <si>
    <t>期货保证金+期权权利金</t>
  </si>
  <si>
    <t>卖出看跌期权，同时卖出标的期货合约</t>
  </si>
  <si>
    <t>期权跨式</t>
  </si>
  <si>
    <t>卖出相同标的期货合约相同执行价格的看涨期权和看跌期权</t>
  </si>
  <si>
    <t>max(看涨期权保证金，看跌期权保证金)+另一腿权利金</t>
  </si>
  <si>
    <t>期权宽跨式</t>
  </si>
  <si>
    <t>卖出相同标的期货合约低执行价格的看跌期权和高执行价格的看涨期权</t>
  </si>
  <si>
    <t>期权对锁</t>
  </si>
  <si>
    <t>在同一期权合约上建立数量相等、方向相反的头寸</t>
  </si>
  <si>
    <t>0.2*卖期权保证金</t>
  </si>
  <si>
    <t>买入期权垂直价差</t>
  </si>
  <si>
    <t>买进低执行价格的看涨期权，同时卖出相同标的期货合约的高执行价格的看涨期权</t>
  </si>
  <si>
    <t>买进高执行价格的看跌期权，同时卖出相同标的期货合约的低执行价格的看跌期权</t>
  </si>
  <si>
    <t>卖出期权垂直价差</t>
  </si>
  <si>
    <t>卖出低执行价格的看涨期权，同时买进相同标的期货合约的高执行价格的看涨期权</t>
  </si>
  <si>
    <t>min(执行价格之差，卖期权保证金)</t>
  </si>
  <si>
    <t>卖出高执行价格的看跌期权，同时买进相同标的期货合约的低执行价格的看跌期权</t>
  </si>
  <si>
    <t>买入期权期货组合（广期所无）</t>
  </si>
  <si>
    <t>买入看涨期权，同时卖出标的期货合约</t>
  </si>
  <si>
    <t>0.8*期货保证金</t>
  </si>
  <si>
    <t>买入看跌期权，同时买入标的期货合约</t>
  </si>
  <si>
    <t>1、期货对锁持仓盘中自动实时优惠；
2、部分组合盘中使用SPD（期货跨期）、IPS（期货跨品种）、STD（期权跨式，需附加FOK、FAK使用）、STG（期权宽跨式，需附加FOK、FAK使用）套利指令直接建立组合，实时优惠。</t>
  </si>
  <si>
    <t>1、每个交易日下午指定时间前（期货组合14:30前，期权组合14点前）向期货公司提交组合申请的持仓，结算时优惠；
2、备兑组合结算后自动优惠；
3、未通过套利指令建仓、未申请组合的持仓结算时不自动组合。</t>
  </si>
  <si>
    <t>1、跨品种：硅铁&amp;锰硅、棉花&amp;棉纱、纯碱&amp;玻璃、PTA&amp;短纤、PTA&amp;瓶片、PTA&amp;对二甲苯。</t>
  </si>
  <si>
    <t>期货跨品种</t>
  </si>
  <si>
    <t>备兑组合</t>
  </si>
  <si>
    <t>卖出看涨期权，同时买入对应标的期货合约</t>
  </si>
  <si>
    <t>卖出看跌期权，同时卖出对应标的期货合约</t>
  </si>
  <si>
    <r>
      <rPr>
        <b/>
        <sz val="12"/>
        <rFont val="微软雅黑"/>
        <charset val="134"/>
      </rPr>
      <t>产品组单向大边保证金</t>
    </r>
    <r>
      <rPr>
        <sz val="12"/>
        <rFont val="微软雅黑"/>
        <charset val="134"/>
      </rPr>
      <t xml:space="preserve">
</t>
    </r>
    <r>
      <rPr>
        <sz val="10"/>
        <rFont val="微软雅黑"/>
        <charset val="134"/>
      </rPr>
      <t>（股指期货为权益组、国债期货为利率组）</t>
    </r>
  </si>
  <si>
    <t>符合优惠规则的双边持仓按照保证金较大的一边收取，保证金较少的一边予以优惠</t>
  </si>
  <si>
    <t>盘中实时优惠（产品组内的双边持仓只收取保证金较高的单边，保证金较少的单边免收）
委托时按照持仓和未成交委托综合判断保证金小的一边可开仓手数，如超过此手数则需补足保证金差额部分，可用资金需覆盖手续费。</t>
  </si>
  <si>
    <t>与盘中优惠规则一致</t>
  </si>
  <si>
    <t>1、国债期货合约在交割月前一交易日结算时取消优惠；股指期货无限制；
2、中金所股指期权无保证金优惠。</t>
  </si>
  <si>
    <t>上期所
能源中心</t>
  </si>
  <si>
    <t>产品单向大边保证金</t>
  </si>
  <si>
    <t>盘中实时优惠（品种内的双边持仓只收取保证金较高的单边，保证金较少的单边免收）
委托时按照持仓和未成交委托综合判断保证金小的一边可开仓手数，如超过此手数则需补足保证金差额部分，可用资金需覆盖手续费。</t>
  </si>
  <si>
    <t>1、集运指数（欧线）品种无保证金优惠；
2、其余品种合约进入最后交易日前五个交易日闭市后取消优惠；
3、上期所、能源中心期权无保证金优惠。</t>
  </si>
  <si>
    <t>上交所
深交所</t>
  </si>
  <si>
    <t>跨式空头</t>
  </si>
  <si>
    <t>由一个认购期权义务仓与一个相同合约标的、相同到期日、相同合约单位、相同行权价格的认沽期权义务仓组成</t>
  </si>
  <si>
    <t>max(认购期权保证金，认沽期权保证金)+另一腿权利金</t>
  </si>
  <si>
    <t>盘中单腿开仓，再通过交易端申请组合可以实时享受优惠，也可以申请组合解除实时拆散组合，解除优惠。</t>
  </si>
  <si>
    <t>盘中未申请组合的，结算时交易所不会自动组合。</t>
  </si>
  <si>
    <t>1、到期月份的认购牛市价差策略、认沽熊市价差策略、认购熊市价差策略、认沽牛市价差策略组合于期权到期日前倒数第二个交易日收市后自动解除；
2、期权合约未被组合占用的双边持仓，于每个交易日收市后自动进行对冲了结；
3、除备兑策略外的期权组合，进行单腿平仓时，需要先解除组合，否则不能平仓；
4、通过交易端申请的方式，深交所支持备兑仓与普通认购义务仓互相转化；上交所仅支持普通认购义务仓转为备兑仓，不支持备兑仓转为普通认购义务仓。</t>
  </si>
  <si>
    <t>宽跨式空头</t>
  </si>
  <si>
    <t>由一个较高行权价格的认购期权义务仓，与一个相同合约标的、相同到期日、相同合约单位、较低行权价格的认沽期权义务仓组成</t>
  </si>
  <si>
    <t>认购牛市价差策略</t>
  </si>
  <si>
    <t>由一个认购期权权利仓与一个相同合约标的、相同到期日、相同合约单位的认购期权义务仓组成，其中义务仓的行权价格高于权利仓的行权价格</t>
  </si>
  <si>
    <t>零</t>
  </si>
  <si>
    <t>认沽熊市价差策略</t>
  </si>
  <si>
    <t>由一个认沽期权权利仓与一个相同合约标的、相同到期日、相同合约单位的认沽期权义务仓组成，其中义务仓的行权价格低于权利仓的行权价格</t>
  </si>
  <si>
    <t>认购熊市价差策略</t>
  </si>
  <si>
    <t>由一个认购期权权利仓与一个相同合约标的、相同到期日、相同合约单位的认购期权义务仓组成，其中义务仓的行权价格低于权利仓的行权价格</t>
  </si>
  <si>
    <t>行权价之差*合约单位</t>
  </si>
  <si>
    <t>认沽牛市价差策略</t>
  </si>
  <si>
    <t>由一个认沽期权权利仓与一个相同合约标的、相同到期日、相同合约单位的认沽期权义务仓组成，其中义务仓的行权价格高于权利仓的行权价格</t>
  </si>
  <si>
    <t>备兑策略</t>
  </si>
  <si>
    <t>持有现货ETF，同时卖出标的为该ETF的备兑性质认购期权</t>
  </si>
  <si>
    <t>备兑开仓不收取保证金，普通仓转备兑仓盘中实时优惠。</t>
  </si>
  <si>
    <t>各交易所期权行权及自对冲规则对比表</t>
  </si>
  <si>
    <t>自动行权条件</t>
  </si>
  <si>
    <t>1、相较于当日结算价为实值；
2、账户可用资金满足行权要求</t>
  </si>
  <si>
    <t>实值额大于行权手续费</t>
  </si>
  <si>
    <t>支持自对冲类型</t>
  </si>
  <si>
    <t>期权自对冲
行权后期货自对冲
履约后期货自对冲</t>
  </si>
  <si>
    <t>期权自对冲，会员服务系统端申请，一次申请，长期有效；交易端申请，当日有效；
行权后期货自对冲，当日有效；
履约后期货自对冲，一次申请，长期有效</t>
  </si>
  <si>
    <t>期权自对冲；行权后期货自对冲；履约后期货自对冲；期货自对冲</t>
  </si>
  <si>
    <t>仅做市商可申请期权每日自对冲，其他客户不支持；
到期日所有客户自动对冲，以净头寸行权履约</t>
  </si>
  <si>
    <t>自对冲申请有效期</t>
  </si>
  <si>
    <t>当日有效</t>
  </si>
  <si>
    <t>会员服务系统端申请，一次申请，长期有效；
交易端申请，当日有效</t>
  </si>
  <si>
    <t>一次申请，长期有效</t>
  </si>
  <si>
    <t>做市商开通自对冲之后，长期有效</t>
  </si>
  <si>
    <t>自对冲申请途径</t>
  </si>
  <si>
    <t>交易端与期货公司会员服务系统均支持提交</t>
  </si>
  <si>
    <t>仅期货公司会员服务系统支持提交</t>
  </si>
  <si>
    <t>做市商日常对冲需通过期货公司会员服务系统申请
所有客户到期日自动对冲无需额外申请</t>
  </si>
  <si>
    <t>行权手续费</t>
  </si>
  <si>
    <t>收取行权手续费，免收期货开仓手续费</t>
  </si>
  <si>
    <t>收取行权手续费，不涉及期货建仓</t>
  </si>
  <si>
    <t>自对冲手续费</t>
  </si>
  <si>
    <t>期权自对冲</t>
  </si>
  <si>
    <t>收取双边期权自对冲手续费</t>
  </si>
  <si>
    <t>收取双边期权平仓手续费</t>
  </si>
  <si>
    <t>免收</t>
  </si>
  <si>
    <t>期货自对冲</t>
  </si>
  <si>
    <t>收取双边期货平仓手续费</t>
  </si>
  <si>
    <t>不涉及</t>
  </si>
  <si>
    <t>交易指令</t>
  </si>
  <si>
    <t>产品类型</t>
  </si>
  <si>
    <t>限价指令</t>
  </si>
  <si>
    <t>市价指令</t>
  </si>
  <si>
    <t>套利</t>
  </si>
  <si>
    <t>互换</t>
  </si>
  <si>
    <t>止损（盈）指令</t>
  </si>
  <si>
    <t>是否支持</t>
  </si>
  <si>
    <t>描述</t>
  </si>
  <si>
    <t>上期所、
能源中心</t>
  </si>
  <si>
    <t>期货</t>
  </si>
  <si>
    <t>支持</t>
  </si>
  <si>
    <t>可附加FOK、FAK</t>
  </si>
  <si>
    <t>须输入保护价；指按当时市场上可执行的最优价格（报价）成交的指令；不参与集合竞价；未成交的市价指令自动撤销或转换为限价指令；可附加FAK、FOK</t>
  </si>
  <si>
    <t>不支持</t>
  </si>
  <si>
    <t>期权</t>
  </si>
  <si>
    <t>可附加FOK、FAK、GIS</t>
  </si>
  <si>
    <t>任意价，指交易所计算机撮合系统执行指令时以涨（跌）停板价格参与交易的买（卖）指令，可附加FAK、FOK</t>
  </si>
  <si>
    <t>跨期套利，跨品种套利，具体支持情况由交易所公布</t>
  </si>
  <si>
    <t>市价/限价止损（盈）指令：当市场价格触及客户预先设定触发价格时，立即转为市价/限价指令的指令，限价止损（盈）指令可附加GIS</t>
  </si>
  <si>
    <t>跨期套利，具体支持情况由交易所公布</t>
  </si>
  <si>
    <t>市价/限价止损（盈）指令：当市场价格触及客户预先设定触发价格时，立即转为市价/限价指令的指令</t>
  </si>
  <si>
    <t>可附加FAK</t>
  </si>
  <si>
    <t>最优价，按市场最优价格成交，可附加FAK</t>
  </si>
  <si>
    <t>跨期套利，跨品种套利</t>
  </si>
  <si>
    <t>期权跨式套利，期权宽跨式套利(必须附加FOK或FAK)</t>
  </si>
  <si>
    <t>部分合约支持</t>
  </si>
  <si>
    <t>仅适用股指期货的当月、下月合约，国债期货最近的季月合约；
最优价，按市场最优价格成交（需附加五档价，最优价，最优价转限价，五档市价转现价等属性）</t>
  </si>
  <si>
    <t>包括普通限价委托、全额即时限价委托等</t>
  </si>
  <si>
    <t>包括市价剩余转限价委托、市价剩余撤销委托、全额即时市价委托等</t>
  </si>
  <si>
    <t>包括普通限价申报、全额成交或撤销限价申报等</t>
  </si>
  <si>
    <t>包括对手方最优价格市价申报、本方最优价格市价申报、最优五档即时成交剩余撤销市价申报、即时成交剩余撤销市价申报。全额成交或撤销市价申报等</t>
  </si>
  <si>
    <t>备注：
（1）限价指令是指按照限定价格或者更优价格成交的指令；
（2）大商所、广期所市价指令是指交易所计算机撮合系统执行指令时以涨（跌）停板价格参与交易的买（卖）指令；中金所、郑商所市价指令是指不限定价格、按照当时市场上可执行的报价成交的指令；市价指令只能和限价指令撮合成交； 
（3）FOK指令是指限价指令中所有数量必须同时成交，否则该指令自动撤销；
（4）FAK指令是指限价指令中无法立即成交部分自动撤销。FOK指令是指限价指令中所有数量必须同时成交，否则该指令自动撤销；
（5）GIS指令是指该指令只在本交易小节有效，本小节结束后，未成交部分立即撤销的指令属性。</t>
  </si>
  <si>
    <t>期货交易所申报费规则对比表</t>
  </si>
  <si>
    <t>具体收取标准（元/笔）</t>
  </si>
  <si>
    <t>共同之处</t>
  </si>
  <si>
    <t>上期所&amp;
能源中心</t>
  </si>
  <si>
    <t>品种</t>
  </si>
  <si>
    <t>信息量</t>
  </si>
  <si>
    <t>OTR≤2</t>
  </si>
  <si>
    <t>OTR＞2</t>
  </si>
  <si>
    <t>1、境内商品期货交易所对信息量笔数超过4000笔的客户收费；
2、按照合约计算信息量；
3、同一客户在不同期货公司开户的，对其所有信息量合并计算收取；
4、做市商做市交易，免收申报费；
5、对于具有实控关系的客户，交易所对其所有信息量合并计算；
6、自2026年6月1日交易时起，境内期货交易所上市的期货及期权品种均将全部实施梯度申报费规则。</t>
  </si>
  <si>
    <t>1、TAS指令的信息量和标的合约信息量合并计算；
2、有成交的报单笔数为0时，视其为1来计算OTR；
3、期权合约申报费按合约月份统计。</t>
  </si>
  <si>
    <t>A组【期货】包括白银、不锈钢、黄金、螺纹钢、铝、镍、铅、热轧卷板、燃料油、石油沥青、铜、天然橡胶、锌、锡、纸浆、低硫燃料油、20号胶、原油</t>
  </si>
  <si>
    <t>信息量≤4000笔</t>
  </si>
  <si>
    <t>4000笔＜信息量≤8000笔</t>
  </si>
  <si>
    <t>8000笔＜信息量≤40000笔</t>
  </si>
  <si>
    <t>信息量＞40000笔</t>
  </si>
  <si>
    <t>B组【期权】包括原油期权、白银期权、黄金期权、螺纹钢期权、铝期权、铜期权、天然橡胶期权、锌期权、丁二烯橡胶期权、铅期权、镍期权、锡期权、氧化铝期权、铸造铝合金期权、石油沥青期权、纸浆期权、燃料油期权、胶版印刷纸期权、20号胶期权、国际铜期权</t>
  </si>
  <si>
    <t>C组【期货】包括丁二烯橡胶、线材、氧化铝、国际铜、集运指数（欧线）、铸造铝合金、胶版印刷纸</t>
  </si>
  <si>
    <t>1、有成交的报单笔数为0时，OTR为极大值；
2、期权合约申报费按合约月份统计。</t>
  </si>
  <si>
    <t>棕榈油期货、豆粕期货、
鸡蛋期货、苯乙烯期货、乙二醇期货、液化石油气期货、聚丙烯期货、聚丙烯月均价期货、聚氯乙烯期货、聚氯乙烯月均价期货</t>
  </si>
  <si>
    <t>信息量＞8000笔</t>
  </si>
  <si>
    <t>玉米期货、线型低密度聚乙烯期货、线型低密度聚乙烯月均价期货、纯苯期货</t>
  </si>
  <si>
    <t>豆油期货、黄大豆1号期货、黄大豆2号期货、纤维板期货、粳米期货、玉米淀粉期货、原木期货</t>
  </si>
  <si>
    <t>全部期权</t>
  </si>
  <si>
    <t>生猪期货、铁矿石期货、
焦煤期货、焦炭期货、胶合板期货</t>
  </si>
  <si>
    <t>1、有成交的报单笔数为0时，按OTR大于2来计算；
2、期权合约申报费按合约月份统计。</t>
  </si>
  <si>
    <t>PTA期货</t>
  </si>
  <si>
    <t>8000笔＜信息量≤20000笔</t>
  </si>
  <si>
    <t>信息量＞20000笔</t>
  </si>
  <si>
    <t>甲醇期货、白糖期货、菜油期货、菜粕期货、
棉花期货、玻璃期货、纯碱期货、硅铁期货、锰硅期货、红枣期货、苹果期货、对二甲苯期货、烧碱期货、尿素期货</t>
  </si>
  <si>
    <r>
      <rPr>
        <sz val="12"/>
        <rFont val="Microsoft YaHei"/>
        <charset val="134"/>
      </rPr>
      <t>短纤期货、花生期货、
普通小麦期货、优质强筋小麦期货、早籼稻期货、晚籼稻期货、粳稻期货、动力煤期货、棉纱期货、油菜籽期货、瓶片期货</t>
    </r>
    <r>
      <rPr>
        <sz val="12"/>
        <rFont val="Microsoft YaHei"/>
        <charset val="134"/>
      </rPr>
      <t>、丙烯期货</t>
    </r>
  </si>
  <si>
    <t>1、有成交的报单笔数为0时，则当日在该期货合约或期权合约月份上其报单成交比（OTR）视为大于2；
2、期权合约申报费按合约月份统计。</t>
  </si>
  <si>
    <t>工业硅期货、多晶硅期货、铂期货、钯期货</t>
  </si>
  <si>
    <t>碳酸锂期货</t>
  </si>
  <si>
    <t>工业硅期权、碳酸锂期权、多晶硅期权、铂期权、钯期权</t>
  </si>
  <si>
    <t>1、有成交的报单笔数为0时，视其为1来计算OTR。
2、期权合约申报费按合约月份统计。</t>
  </si>
  <si>
    <t>国债期货</t>
  </si>
  <si>
    <t>8000笔＜信息量≤12000笔</t>
  </si>
  <si>
    <t>信息量＞12000笔</t>
  </si>
  <si>
    <t>股指期货</t>
  </si>
  <si>
    <t>信息量≤2000笔</t>
  </si>
  <si>
    <t>2000笔＜信息量≤4000笔</t>
  </si>
  <si>
    <t>股指期权</t>
  </si>
  <si>
    <t>注：
1、申报费按照合约计算收取，且在当日结算时收取（盘中预冻结），下一交易日会重新计算；
2、信息量=报单、撤单、询价等交易指令笔数之和；
3、报单成交比（OTR）=（信息量/有成交的报单笔数）- 1。</t>
  </si>
  <si>
    <t>修订日期</t>
  </si>
  <si>
    <t>涉及表格</t>
  </si>
  <si>
    <t>修订内容</t>
  </si>
  <si>
    <t>所有分页</t>
  </si>
  <si>
    <t>发布第一版《国泰君安期货各交易所规则汇总表》</t>
  </si>
  <si>
    <t>完善上期所、能源中心、大商所申报费收取品种所属类别</t>
  </si>
  <si>
    <t>非规则修订</t>
  </si>
  <si>
    <t>上调集运指数公司保证金加收；下调菜油、菜粕、硅铁、锰硅保证金、涨跌停板；
下调工业硅、碳酸锂保证金、涨跌停板，同时增加套保保证金；
下调豆一、豆二、玉米、鸡蛋投机保证金，上调粳米套保保证金</t>
  </si>
  <si>
    <t>保证金及涨跌停板幅度</t>
  </si>
  <si>
    <t>新增ec2502保证金、涨跌停板</t>
  </si>
  <si>
    <t>新增ec2502交易限额</t>
  </si>
  <si>
    <t>调整ec2406-2412合约交易所保证金标准及涨跌停板幅度</t>
  </si>
  <si>
    <t>20240320结算时起生效</t>
  </si>
  <si>
    <t>调整ec2406-2502合约交易限额</t>
  </si>
  <si>
    <t>20240320交易时起生效</t>
  </si>
  <si>
    <t>新增期货自对冲业务</t>
  </si>
  <si>
    <t>20240322交易时起生效</t>
  </si>
  <si>
    <t>调整期权自对冲业务</t>
  </si>
  <si>
    <t>新增GIS指令属性</t>
  </si>
  <si>
    <t>20240325交易时起生效</t>
  </si>
  <si>
    <t>新增股票期权持仓限额、买入额度调整标准</t>
  </si>
  <si>
    <t>新增股票期权组合持仓保证金优惠规则</t>
  </si>
  <si>
    <t>新增cu、au、sc交易限额</t>
  </si>
  <si>
    <t>20240412交易时起生效</t>
  </si>
  <si>
    <t>调整bc,cu,al,au,ag交易所保证金标准及涨跌停板幅度</t>
  </si>
  <si>
    <t>20240417结算时起生效</t>
  </si>
  <si>
    <t>调整SH与PX交易所保证金标准及涨跌停板幅度
调整ec与lc公司加收保证金标准</t>
  </si>
  <si>
    <t>20240408结算时起生效</t>
  </si>
  <si>
    <t>新增UR406-UR409交易限额</t>
  </si>
  <si>
    <t>20240424交易时起生效</t>
  </si>
  <si>
    <t>新增i2409、ec2504交易限额</t>
  </si>
  <si>
    <t>20240426交易时起生效</t>
  </si>
  <si>
    <t>新增SM2406-2409交易限额</t>
  </si>
  <si>
    <t>20240514交易时起生效</t>
  </si>
  <si>
    <t>新增bb交易限额</t>
  </si>
  <si>
    <t>更新cu,al,zn,pb,sn,ao,fu,bc,sc,SM,fb,bb的公司保证金加收</t>
  </si>
  <si>
    <t>20240515结算时起生效</t>
  </si>
  <si>
    <t>新增SM409最小下单手数</t>
  </si>
  <si>
    <t>20240516交易时起生效</t>
  </si>
  <si>
    <t>持仓限额</t>
  </si>
  <si>
    <t>调整b2412及之后合约交易所梯度限仓</t>
  </si>
  <si>
    <t>20240520结算时起生效</t>
  </si>
  <si>
    <t>调整l2412及之后合约交易所梯度限仓</t>
  </si>
  <si>
    <t>更新au,ag的保证金和涨跌停板幅度</t>
  </si>
  <si>
    <t>20240523结算时起生效</t>
  </si>
  <si>
    <t>申报费</t>
  </si>
  <si>
    <t>更新各交易所申报费</t>
  </si>
  <si>
    <t>20240603交易时起生效
国债20240701交易时起生效</t>
  </si>
  <si>
    <t>更新SM部分合约的保证金和涨跌停板幅度</t>
  </si>
  <si>
    <t>20240604结算时起生效</t>
  </si>
  <si>
    <t>更新si合约的保证金和涨跌停板幅度</t>
  </si>
  <si>
    <t>20240606结算时起生效</t>
  </si>
  <si>
    <t>交割规则</t>
  </si>
  <si>
    <t>新增对二甲苯及烧碱的交割规则</t>
  </si>
  <si>
    <t>新增股指期货申报费规则表述</t>
  </si>
  <si>
    <t>《交易所交割业务审核时间点》更新</t>
  </si>
  <si>
    <t>新增玻璃期权、红枣期权</t>
  </si>
  <si>
    <t>更新UR部分合约的保证金和涨跌停板幅度</t>
  </si>
  <si>
    <t>20240621结算时起生效</t>
  </si>
  <si>
    <t>保证金及涨跌停板幅度表、交易限额</t>
  </si>
  <si>
    <t>更新ec2502-2506合约保证金、涨跌停板幅度及ec2506交易限额</t>
  </si>
  <si>
    <t>20240624结算时起</t>
  </si>
  <si>
    <t>更新了中金所豁免异常交易的内容</t>
  </si>
  <si>
    <t>20240701生效</t>
  </si>
  <si>
    <t>更新pb、zn的保证金和涨跌停板幅度</t>
  </si>
  <si>
    <t>20240709结算时起生效</t>
  </si>
  <si>
    <t>更新RM部分合约的保证金和涨跌停板幅度</t>
  </si>
  <si>
    <t>20240722结算时起生效</t>
  </si>
  <si>
    <t>大商所、郑商所、广期所新增申报费品种</t>
  </si>
  <si>
    <t>20241025交易时生效</t>
  </si>
  <si>
    <t>上期所/能源中心/大商所/郑商所/广期所更新异常交易规则，取消FAK/FOK豁免异常交易的情形</t>
  </si>
  <si>
    <t>更新螺纹钢部分合约的保证金和涨跌停板幅度</t>
  </si>
  <si>
    <t>20240731结算时起生效</t>
  </si>
  <si>
    <t>更新菜粕2409合约保证金</t>
  </si>
  <si>
    <t>20240807结算时起生效</t>
  </si>
  <si>
    <t>更新纸浆、花生、棉纱、豆二、聚乙烯等品种的交割要素</t>
  </si>
  <si>
    <t>新增鸡蛋、玉米淀粉和生猪期权</t>
  </si>
  <si>
    <t>保证金及涨跌停板幅度表、交易限额、异常交易规则</t>
  </si>
  <si>
    <t>更新集运指数（欧线）期货新上市合约的保证金、涨跌停板幅度及交易限额</t>
  </si>
  <si>
    <t>2024年8月27日交易起</t>
  </si>
  <si>
    <t>保证金及涨跌停板幅度表等多张参数表</t>
  </si>
  <si>
    <t>新增瓶片合约参数、更新聚氯乙烯期权限仓</t>
  </si>
  <si>
    <t>新增铅期权、镍期权、锡期权、氧化铝期权参数</t>
  </si>
  <si>
    <t>更新棉纱2502之后合约保证金</t>
  </si>
  <si>
    <t>20240902结算时起生效</t>
  </si>
  <si>
    <t>上期所、能源中心修改期权申报费计算维度</t>
  </si>
  <si>
    <t>2024年10月25日交易时起</t>
  </si>
  <si>
    <t>更新原油期货保证金和涨跌停板幅度，菜粕、菜油、锰硅期货部分合约保证金和涨跌停板幅度</t>
  </si>
  <si>
    <t>20240918结算时起生效</t>
  </si>
  <si>
    <t>更新国庆假期后沥青、合成橡胶、燃料油、低硫燃料油保证金和涨跌停板幅度</t>
  </si>
  <si>
    <t>20241011结算时起生效</t>
  </si>
  <si>
    <t>更新氧化铝保证金和涨跌停板幅度</t>
  </si>
  <si>
    <t>20241017结算时起生效</t>
  </si>
  <si>
    <t>20241023结算时起生效</t>
  </si>
  <si>
    <t>20241029结算时起生效</t>
  </si>
  <si>
    <t>更新交易所套保业务审核时间点表格</t>
  </si>
  <si>
    <t>更新PX、SH两品种交割月持仓限额手数</t>
  </si>
  <si>
    <t>20241107交易时起生效</t>
  </si>
  <si>
    <t>更新郑商所硅铁、锰硅、烧碱及对二甲苯品种限仓规则</t>
  </si>
  <si>
    <t>交易时间表、期货合约要素、期权合约要素、保证金及涨跌停板幅度表、限仓规则、交割规则、申报费规则</t>
  </si>
  <si>
    <t>新增原木期货、期权相关规则</t>
  </si>
  <si>
    <t>更新焦煤期货保证金及交易限额</t>
  </si>
  <si>
    <t>20241126交易时起生效</t>
  </si>
  <si>
    <t>更新广期所互换指令支持情况，新增上交所、深交所指令支持情况</t>
  </si>
  <si>
    <t>保证金及涨跌停板幅度表、限仓规则</t>
  </si>
  <si>
    <t>更新铁矿石保证金和涨跌停板幅度；更新铁矿石和棕榈油限仓规则</t>
  </si>
  <si>
    <t>20241206结算时起生效</t>
  </si>
  <si>
    <t>期货合约要素、保证金及涨跌停板幅度表、限仓规则</t>
  </si>
  <si>
    <t>更新广期所碳酸锂期货合约最小变动价位、保证金规则及限仓规则</t>
  </si>
  <si>
    <t>20241217结算时起生效</t>
  </si>
  <si>
    <t>更新苹果2501保证金和涨跌停板调整</t>
  </si>
  <si>
    <t>20241223结算时起生效</t>
  </si>
  <si>
    <t>更新苹果2503-2505保证金和涨跌停板调整</t>
  </si>
  <si>
    <t>20241225结算时起生效</t>
  </si>
  <si>
    <t>新增多晶硅期货、多晶硅期权、瓶片期权相关规则</t>
  </si>
  <si>
    <t>更新原木期货公司加收保证金率</t>
  </si>
  <si>
    <t>20241224结算时起生效</t>
  </si>
  <si>
    <t>期权行权、对冲规则</t>
  </si>
  <si>
    <t>调整期权自对冲、行权后自对冲、履约后自对冲业务</t>
  </si>
  <si>
    <t>20241231结算时起生效</t>
  </si>
  <si>
    <t>期货合约要素、限仓规则</t>
  </si>
  <si>
    <t>bb2509及后续合约交易规则改动</t>
  </si>
  <si>
    <t>bb2509及后续合约生效</t>
  </si>
  <si>
    <t>下调玻璃、纯碱等11个品种的公司保证金加收；</t>
  </si>
  <si>
    <t>20250205结算时起生效</t>
  </si>
  <si>
    <t>下调玻璃、纯碱、红枣、短纤、瓶片的交易所保证金率和涨跌停板幅度；下调多晶硅套保保证金率</t>
  </si>
  <si>
    <t>铁矿、双焦交割单位调整</t>
  </si>
  <si>
    <t>2604及后续合约生效</t>
  </si>
  <si>
    <t>更新大商所豆一、豆粕及豆油品种限仓规则</t>
  </si>
  <si>
    <t>2603及后续合约生效</t>
  </si>
  <si>
    <t>下调乙二醇、苯乙烯、液化石油气的交易所保证金率和涨跌停板幅度</t>
  </si>
  <si>
    <t>20250226结算时起生效</t>
  </si>
  <si>
    <t>期货、期权合约要素表</t>
  </si>
  <si>
    <t>增加上市时间、国际化品种、QFII&amp;RQFII交易品种</t>
  </si>
  <si>
    <t>期货、期权合约要素表、限仓规则、交易限额、交割规则</t>
  </si>
  <si>
    <t>增加品种代码</t>
  </si>
  <si>
    <t>下调氧化铝期货保证金及涨跌停板幅度</t>
  </si>
  <si>
    <t>20250311结算时起生效</t>
  </si>
  <si>
    <t>交易限额表</t>
  </si>
  <si>
    <t>增加菜粕2505-2601期货合约每笔最小开仓量</t>
  </si>
  <si>
    <t>20250311交易时起生效</t>
  </si>
  <si>
    <t>更新菜粕2505-2601期货合约保证金率</t>
  </si>
  <si>
    <t>20250312结算时起生效</t>
  </si>
  <si>
    <t>交易限额、异常交易规则</t>
  </si>
  <si>
    <t>提高工业硅期货各合约交易限额</t>
  </si>
  <si>
    <t>20250328交易时起生效</t>
  </si>
  <si>
    <t>下调氧化铝、工业硅、碳酸锂的交易所保证金率和涨跌停板幅度；上调菜粕RM505-603、菜油OI505-603、玻璃FG505的交易所保证金率和涨跌停板幅度</t>
  </si>
  <si>
    <t>20250407结算时起生效</t>
  </si>
  <si>
    <t>上调黄金、白银、沥青、燃料油、天然橡胶、原油、低硫燃料油的交易所保证金率和涨跌停板幅度</t>
  </si>
  <si>
    <t>20250410结算时起生效</t>
  </si>
  <si>
    <t>上调合成橡胶、20号胶的交易所保证金率和涨跌停板幅度</t>
  </si>
  <si>
    <t>20250411结算时起生效</t>
  </si>
  <si>
    <t>上调PTA、对二甲苯部分合约的交易所保证金率和涨跌停板幅度</t>
  </si>
  <si>
    <t>20250414结算时起生效</t>
  </si>
  <si>
    <t>下调纯碱的公司保证金加收</t>
  </si>
  <si>
    <t>20250506结算时起生效</t>
  </si>
  <si>
    <t>调整黄金、纯碱、硅铁的交易所保证金率和涨跌停板幅度</t>
  </si>
  <si>
    <t>调整白银、氧化铝、集运指数的交易所保证金率和涨跌停板幅度</t>
  </si>
  <si>
    <t>20250603结算时起生效</t>
  </si>
  <si>
    <t>更新PTA-瓶片、PTA-对二甲苯套利组合</t>
  </si>
  <si>
    <t>20250529结算时起生效</t>
  </si>
  <si>
    <t>交易时间表、期货合约要素、期权合约要素、保证金及涨跌停板幅度表、限仓规则、申报费规则</t>
  </si>
  <si>
    <t>新增铸造铝合金期货和期权品种相关规则</t>
  </si>
  <si>
    <t>20250609结算时起生效</t>
  </si>
  <si>
    <t>下调胶合板的交易所保证金率</t>
  </si>
  <si>
    <t>调整RM507-RM601最小下单手数</t>
  </si>
  <si>
    <t>20250620交易时起生效</t>
  </si>
  <si>
    <t>调整红枣期货的交易所保证金率和涨跌停板幅度</t>
  </si>
  <si>
    <t>20250620结算时起生效</t>
  </si>
  <si>
    <t>期货与期权合约要素</t>
  </si>
  <si>
    <t>新增玻璃、纯碱、硅铁、乙二醇、液化石油气、天然橡胶、铅、锡期货与期权为QFII和RQFII可交易品种</t>
  </si>
  <si>
    <t>增加铸造铝合金品种信息、更新黑色品种(rb、hc、ss、wr)仓单有效期规定、更新天然橡胶税率</t>
  </si>
  <si>
    <t>新增各交易所国债质押业务审核时间点</t>
  </si>
  <si>
    <t>生猪、鸡蛋、胶合板、原木四个原适用每日选择交割的品种，均适用优化后的滚动交割；取消了铁矿石品种的提货单交割和纤维板品种的滚动交割</t>
  </si>
  <si>
    <t>交易所交割业务审核时间点修改大商所滚动交割时间</t>
  </si>
  <si>
    <t>修改4个品种(au、ru、sp、nr)集中交割结算价</t>
  </si>
  <si>
    <t>更新大商所对冲类业务规则</t>
  </si>
  <si>
    <t>20250624交易时起生效</t>
  </si>
  <si>
    <t>新增纯苯期货、纯苯期权相关交易规则及参数</t>
  </si>
  <si>
    <t>20250708交易时起生效</t>
  </si>
  <si>
    <t>调整多晶硅的交易所保证金率和涨跌停板幅度</t>
  </si>
  <si>
    <t>20250714结算时起生效</t>
  </si>
  <si>
    <t>调整多晶硅品种和si2509交易限额</t>
  </si>
  <si>
    <t xml:space="preserve"> 20250721交易时起生效</t>
  </si>
  <si>
    <t>新增丙烯期货、丙烯期权相关交易规则及参数</t>
  </si>
  <si>
    <t>20250722交易时起生效</t>
  </si>
  <si>
    <t>调整工业硅期货的交易所保证金率和涨跌停板幅度</t>
  </si>
  <si>
    <t>20250725结算时起生效</t>
  </si>
  <si>
    <t>调整si2509和ps2509的交易限额</t>
  </si>
  <si>
    <t>20250725交易时起生效</t>
  </si>
  <si>
    <t>调整l2602、v2602、pp2602及之后合约交易所梯度限仓</t>
  </si>
  <si>
    <t>20250728结算时起生效</t>
  </si>
  <si>
    <t>调整lc2509的交易限额</t>
  </si>
  <si>
    <t>20250728交易时起生效</t>
  </si>
  <si>
    <t>调整jm2509的交易限额</t>
  </si>
  <si>
    <t>20250729交易时起生效</t>
  </si>
  <si>
    <t>调整si2509-2601，lc2509-2601，ps2509-2601的交易限额</t>
  </si>
  <si>
    <t>20250801交易时起生效</t>
  </si>
  <si>
    <t>调整jm2601的交易限额</t>
  </si>
  <si>
    <t>20250815交易时起生效</t>
  </si>
  <si>
    <t>调整铸造铝合金期货的交易所保证金率和涨跌停板幅度</t>
  </si>
  <si>
    <t>20250828结算时起生效</t>
  </si>
  <si>
    <t>调整SH601的交易限额</t>
  </si>
  <si>
    <t>20250902交易时起生效</t>
  </si>
  <si>
    <t>新增石油沥青期货合约为QFII可交易品种</t>
  </si>
  <si>
    <t>20250910交易时起生效</t>
  </si>
  <si>
    <t>期权合约要素、限仓规则、申报费规则</t>
  </si>
  <si>
    <t>新增石油沥青期权、纸浆期权、燃料油期权相关参数及规则</t>
  </si>
  <si>
    <t>新增胶版印刷纸期货、胶版印刷纸期权相关交易规则及参数</t>
  </si>
  <si>
    <t>调整si2511、ps2511的交易限额</t>
  </si>
  <si>
    <t>20250911交易时起生效</t>
  </si>
  <si>
    <t>新增QFII&amp;RQFII客户可交易日期</t>
  </si>
  <si>
    <t>新增期权品种数量汇总统计，新增QFII&amp;RQFII客户可交易日期</t>
  </si>
  <si>
    <t>调整郑商所期权交易指令每次最大下单量</t>
  </si>
  <si>
    <t>20250917日交易时起生效</t>
  </si>
  <si>
    <t>上调黄金、白银、焦煤的公司保证金加收</t>
  </si>
  <si>
    <t>20250929结算时起生效</t>
  </si>
  <si>
    <t>下调白糖、花生、甲醇、对二甲苯、丙烯期货的交易所保证金率和涨跌停板幅度</t>
  </si>
  <si>
    <t>20251009结算时起生效</t>
  </si>
  <si>
    <t>上调碳酸锂期货的交易所保证金率和涨跌停板幅度</t>
  </si>
  <si>
    <t>调整集运指数（欧线）期货品种的交易限额</t>
  </si>
  <si>
    <t>20251015交易时起生效</t>
  </si>
  <si>
    <t>下调20号胶、集运指数（欧线）、纸浆、胶版印刷纸、镍、锡、丁二烯橡胶、天然橡胶期货的交易所保证金率和涨跌停板幅度</t>
  </si>
  <si>
    <t>20251014结算时起生效</t>
  </si>
  <si>
    <t>交易时间表、保证金及涨跌停板幅度表、限仓规则、交易限额</t>
  </si>
  <si>
    <t>新增QFII&amp;RQFII可交易品种和国际化品种标识</t>
  </si>
  <si>
    <t>调整黄金和白银期货的交易所保证金率和涨跌停板幅度</t>
  </si>
  <si>
    <t>20251021结算时起生效</t>
  </si>
  <si>
    <t>交易时间表、期货合约要素、保证金及涨跌停板幅度表、限仓规则、交易限额、保证金优惠规则、申报费规则</t>
  </si>
  <si>
    <t>新增大商所l、v、pp三品种月均价期货相关交易规则及参数</t>
  </si>
  <si>
    <t>20251029交易时起生效</t>
  </si>
  <si>
    <t>更新广期所对冲类业务规则</t>
  </si>
  <si>
    <t>20251027交易时起生效</t>
  </si>
  <si>
    <t>调整氧化铝期货的交易所保证金率和涨跌停板幅度</t>
  </si>
  <si>
    <t>20251107结算时起生效</t>
  </si>
  <si>
    <t>调整碳酸锂LC2601、LC2602、LC2603、LC2604、LC2605合约交易限额</t>
  </si>
  <si>
    <t>20251124交易时起生效</t>
  </si>
  <si>
    <t>新增铂期货、钯期货、铂期权、钯期权相关交易规则及参数</t>
  </si>
  <si>
    <t>20251127交易时起生效</t>
  </si>
  <si>
    <t>调整ao2603、ru2603及之后期货、期权合约交易所梯度限仓</t>
  </si>
  <si>
    <t>20260101起生效</t>
  </si>
  <si>
    <t>调整多晶硅2601合约的交易所保证金率和交易限额</t>
  </si>
  <si>
    <t>20251203交易时起生效</t>
  </si>
  <si>
    <t>新增郑商所白糖系列期权，大商所玉米、豆粕系列期权相关参数及规则</t>
  </si>
  <si>
    <t>大商所玉米、豆粕系列期权2026/2/2交易时起生效
郑商所白糖系列期权
2025/3/3交易时起生效</t>
  </si>
  <si>
    <t>调整原油、低疏燃料油、燃料油和石油沥青期货的交易所保证金率和涨跌停板幅度</t>
  </si>
  <si>
    <t>20251209结算时起生效</t>
  </si>
  <si>
    <t>调整白银期货AG2602合约的交易所保证金率</t>
  </si>
  <si>
    <t>20251212结算时起生效</t>
  </si>
  <si>
    <t>期权合约要素，限仓规则</t>
  </si>
  <si>
    <t>明确了玉米、豆粕系列期权以及ao2603、ru2603及之后期货、期权合约交易所梯度限仓的生效日期</t>
  </si>
  <si>
    <t>调整铂期货2606-2612、钯期货2606-2612等合约的交易限额</t>
  </si>
  <si>
    <t>20251223交易时起生效</t>
  </si>
  <si>
    <t>调整多晶硅期货2601-2612合约的交易指令每次最小开仓下单数量</t>
  </si>
  <si>
    <t>20251222交易时起生效</t>
  </si>
  <si>
    <t>调整碳酸锂期货2602-2612合约的交易限额</t>
  </si>
  <si>
    <t>调整白银期货2602合约的交易限额</t>
  </si>
  <si>
    <t>20251224交易时起生效</t>
  </si>
  <si>
    <t>调整铂、钯期货的公司、交易所保证金率及涨跌停板幅度</t>
  </si>
  <si>
    <t>20251225结算时起生效</t>
  </si>
  <si>
    <t>调整多晶硅期货2601-2612合约的交易限额</t>
  </si>
  <si>
    <t>20251225交易时起生效</t>
  </si>
  <si>
    <t>调整碳酸锂期货2601-2612合约的交易指令每次最小开仓下单数量、交易限额</t>
  </si>
  <si>
    <t>20251226交易时起生效</t>
  </si>
  <si>
    <t>调整铂期货2606-2612、钯期货2606-2612等合约的交易指令每次最小开仓下单数量、交易限额</t>
  </si>
  <si>
    <t>20251229交易时起生效</t>
  </si>
  <si>
    <t>调整多晶硅期货2601-2612合约的交易指令每次最小开仓下单数量、交易限额</t>
  </si>
  <si>
    <t>调整白银、黄金、铂、钯品种的公司保证金加收标准</t>
  </si>
  <si>
    <t>20251230结算时起生效</t>
  </si>
  <si>
    <t>调整黄金au2601-2604合约、白银ag2601合约、白银ag2603-2604合约的交易所保证金率和涨跌停板幅度</t>
  </si>
  <si>
    <t>20260105结算时起生效</t>
  </si>
  <si>
    <t>调整多晶硅期货的交易所保证金率；调整铂、钯期货的交易所保证金率和涨跌停板幅度</t>
  </si>
  <si>
    <t>更新能源中心、郑商所官网规则页面链接</t>
  </si>
  <si>
    <t>交易时间表、期权合约要素、限仓规则</t>
  </si>
  <si>
    <t>新增焦煤期权相关交易规则</t>
  </si>
  <si>
    <t>20260116上市交易</t>
  </si>
  <si>
    <t>调整白银期货的交易限额</t>
  </si>
  <si>
    <t>20260109交易时起生效</t>
  </si>
  <si>
    <t>调整白银ag2601-2604合约的交易所保证金率和涨跌停板幅度</t>
  </si>
  <si>
    <t>20260109结算时起生效</t>
  </si>
  <si>
    <t>调整铂、钯期货合约的交易所保证金率和涨跌停板幅度</t>
  </si>
  <si>
    <t>20260113结算时起生效</t>
  </si>
  <si>
    <t>调整碳酸锂期货LC2606-LC2612的交易限额</t>
  </si>
  <si>
    <t>20260115交易时起生效</t>
  </si>
  <si>
    <t>新增多晶硅期货PS2701、碳酸锂期货LC2701合约的交易指令每次最小开仓下单数量、交易限额</t>
  </si>
  <si>
    <t>20260119交易时起生效</t>
  </si>
  <si>
    <t>调整锡期货交易保证金比例、涨跌停板幅度</t>
  </si>
  <si>
    <t>20260115结算时起生效</t>
  </si>
  <si>
    <t>调整白银、镍期货交易限额</t>
  </si>
  <si>
    <t>20260120交易时起生效</t>
  </si>
  <si>
    <t>调整碳酸锂期货交易保证金比例、涨跌停板幅度</t>
  </si>
  <si>
    <t>20260121结算时起生效</t>
  </si>
  <si>
    <t>调整铜、铝、白银、黄金、国际铜期货交易保证金比例、涨跌停板幅度</t>
  </si>
  <si>
    <t>20260122结算时起生效</t>
  </si>
  <si>
    <t>调整镍、氧化铝、铅、锌、不锈钢期货交易保证金比例、涨跌停板幅度</t>
  </si>
  <si>
    <t>20260127结算时起生效</t>
  </si>
  <si>
    <t>调整铜、铝、国际铜期货交易保证金比例、涨跌停板幅度</t>
  </si>
  <si>
    <t>20260128结算时起生效</t>
  </si>
  <si>
    <t>调整白银ag2602-ag2701、锡sn2602-sn2701期货合约交易限额</t>
  </si>
  <si>
    <t>20260127交易时起生效</t>
  </si>
  <si>
    <t>调整镍、氧化铝、铅、锌、不锈钢、铸造铝合金、螺纹钢、热轧卷板、黄金期货AU2606/AU2608/AU2610/AU2612/AU2702、白银期货AG2605-AG2701期货交易保证金比例、涨跌停板幅度</t>
  </si>
  <si>
    <t>20260130结算时起生效</t>
  </si>
  <si>
    <t>更新黄金、白银期货公司加收保证金率</t>
  </si>
  <si>
    <t>调整白银期货AG2605-AG2701交易保证金比例、涨跌停板幅度</t>
  </si>
  <si>
    <t>20260203结算时起生效</t>
  </si>
  <si>
    <t>调整白银期货交易保证金比例、涨跌停板幅度</t>
  </si>
  <si>
    <t>20260204结算时起生效</t>
  </si>
  <si>
    <t>调整燃料油、石油沥青、丁二烯橡胶、天然橡胶、纸浆、胶版印刷纸、原油、低硫燃料油、20号胶、铂、钯期货交易保证金比例、涨跌停板幅度</t>
  </si>
  <si>
    <t>20260205结算时起生效</t>
  </si>
  <si>
    <t>调整铜、铝、铅、锌、氧化铝、铸造铝合金、线材、不锈钢、镍、锡、黄金、白银、国际铜期货交易保证金比例、涨跌停板幅度</t>
  </si>
  <si>
    <t>20260209结算时起生效</t>
  </si>
  <si>
    <t>调整甲醇、对二甲苯、PTA、短纤、瓶片期货交易保证金比例、涨跌停板幅度</t>
  </si>
  <si>
    <t>新增多晶硅期货PS2702、碳酸锂期货LC2702、铂期货PT2702、钯期货PD2702合约的交易指令每次最小开仓下单数量、交易限额</t>
  </si>
  <si>
    <t>20260224交易时起生效</t>
  </si>
  <si>
    <t>更新白银期货公司加收保证金率</t>
  </si>
  <si>
    <t>20260212结算时起生效</t>
  </si>
  <si>
    <t>新增CU2702、AL2702、PB2702、ZN2702、AO2702、AD2702、WR2702、SS2702、NI2702、SN2702、AU2605、AG2702、RB2702、HC2702、SP2702、OP2702、FU2703、BU2702、BR2702、SC2903、LU2703、NR2702、BC2702期货合约交易保证金比例、涨跌停板幅度</t>
  </si>
  <si>
    <t>20260224结算时起生效</t>
  </si>
  <si>
    <t>调整碳酸锂、苹果、锰硅、甲醇、对二甲苯、PTA、短纤、瓶片期货合约交易保证金比例、涨跌停板幅度</t>
  </si>
  <si>
    <t>新增甲醇期货2604及2605合约的交易指令每次最小开仓下单量</t>
  </si>
  <si>
    <t>20260304交易时起生效</t>
  </si>
  <si>
    <t>调整sc、ec、fu期货已上市合约的交易限额；新增lu期货已上市合约交易限额</t>
  </si>
  <si>
    <t>调整sc2607、sc2608、sc2609、sc2610、sc2611、sc2612、sc2701、sc2702、sc2703、sc2706、sc2709、sc2712、sc2803、sc2806、sc2809、sc2812、sc2903、lu2604、lu2606、lu2608、lu2609、lu2610、lu2611、lu2612、lu2701、lu2702、lu2703、fu2609、fu2610、fu2611、fu2612、fu2701、fu2702、fu2703期货合约交易保证金比例、涨跌停板幅度</t>
  </si>
  <si>
    <t>20260304结算时起生效</t>
  </si>
  <si>
    <t>调整MA604、MA605、MA606、MA607、fu2605-fu2608、sc2604,、sc2605、sc2606、lu2605、lu2607、ec2604-ec2609、ec2612期货合约交易保证金比例、涨跌停板幅度</t>
  </si>
  <si>
    <t>调整MA608、MA609期货合约交易保证金比例、涨跌停板幅度</t>
  </si>
  <si>
    <t>20260305结算时起生效</t>
  </si>
  <si>
    <t>调整fu2604-fu2608、sc2604-sc2608、lu2604-lu2608期货合约交易保证金比例、涨跌停板幅度</t>
  </si>
  <si>
    <t>调整eb、pg、eg、PL、MA、PR、TA、PF、PX、bu、lu、fu、sc期货合约公司加收保证金比例</t>
  </si>
  <si>
    <t>20260306结算时起生效</t>
  </si>
  <si>
    <t>调整fu2609-fu2703、sc2609-sc2903、lu2609-lu2703、PG2604-PG2606、EB2604-EB2606、EG2604-EG2606期货合约交易保证金比例、涨跌停板幅度</t>
  </si>
  <si>
    <t>20260306</t>
  </si>
  <si>
    <t>调整fu、lu期货已上市合约交易限额</t>
  </si>
  <si>
    <t>20260309交易时起生效</t>
  </si>
  <si>
    <t>调整sc2609-sc2903、lu2604-lu2703、ec2610交易保证金比例、涨跌停板幅度</t>
  </si>
  <si>
    <t>20260309结算时起生效</t>
  </si>
  <si>
    <t>20260309</t>
  </si>
  <si>
    <t>调整SH604-SH606期货合约交易保证金比例、涨跌停板幅度</t>
  </si>
  <si>
    <t>调整fu、lu、sc期货各合约交易限额</t>
  </si>
  <si>
    <t>20260310交易时起生效</t>
  </si>
  <si>
    <t>调整MA、PX、TA、PF、PR、SH、PL、eb、eg、pg、l、v、pp、bz期货各合约交易指令每次最小开仓下单</t>
  </si>
  <si>
    <t>20260310</t>
  </si>
  <si>
    <t>调整sc2701-sc2903、lu2611-lu2703、bu2607-bu2712、br2603、br2606-br2702、eg2604-eg2609、eb2604-eb2609、pg2604-pg2609、bz2604-bz2609、l2604-l2609、v2604-v2609、pp2604-pp2609、l2604f-l2609f、v2604f-v2609f、pp2604f-pp2609f、jm2604-jm2606、y2605、p2604-p2606期货合约交易保证金比例、涨跌停板幅度</t>
  </si>
  <si>
    <t>20260310结算时起生效</t>
  </si>
  <si>
    <t>调整eg2607-eg2609、eb2607-eb2609、pg2607-pg2609期货合约交易保证金比例、涨跌停板幅度</t>
  </si>
  <si>
    <t>20260313结算时起生效</t>
  </si>
  <si>
    <t>调整燃料油、石油沥青、丁二烯橡胶、原油、低硫燃料油期货交易保证金比例、涨跌停板幅度</t>
  </si>
  <si>
    <t>调整TA604-TA609、PF604-PF609、FG604-FG605、MA606-MA609、SA604-SA605、OI605、UR604-UR605、SH604-SH607、PR604-PR609、PL604-PL609、PX604-PX609期货合约交易保证金比例、涨跌停板幅度</t>
  </si>
  <si>
    <t>20260311结算时起生效</t>
  </si>
  <si>
    <t>调整AP604-AP605期货合约交易保证金比例、涨跌停板幅度</t>
  </si>
  <si>
    <t>20260316结算时起生效</t>
  </si>
  <si>
    <t>新增au2704、ag2703、ni2703、sn2703、ru2703、sp2703、op2703、nr2703合约交易保证金比例、涨跌停板幅度</t>
  </si>
  <si>
    <t>调整a,m,RM,y,p,l,pp,v,OI,br期货合约公司加收保证金比例</t>
  </si>
  <si>
    <t>调整MA2605、SH2605合约交易限额</t>
  </si>
  <si>
    <t>20260323交易时起生效</t>
  </si>
  <si>
    <t>调整PT2606-PT2702合约、PD2606-PD2702合约的每次最小开仓下单数量</t>
  </si>
  <si>
    <t>20260324交易时起生效</t>
  </si>
  <si>
    <t>调整pg2604-pg2702，PT, PD期货合约交易保证金比例、涨跌停板幅度</t>
  </si>
  <si>
    <t>20260324结算时起生效</t>
  </si>
  <si>
    <t>调整AP605合约的每次最小开仓下单数量</t>
  </si>
  <si>
    <t>20260325交易时起生效</t>
  </si>
  <si>
    <t>调整ec2703期货合约交易保证金比例、涨跌停板幅度、交易限额</t>
  </si>
  <si>
    <t>20260331交易时起生效</t>
  </si>
  <si>
    <t>调整豆油、棕榈油期货合约的最小变动价位</t>
  </si>
  <si>
    <t>20260410交易时起生效</t>
  </si>
  <si>
    <t>调整多晶硅期货相关合约交易限额、每次最小开仓下单数量</t>
  </si>
  <si>
    <t>20260403交易时起生效</t>
  </si>
  <si>
    <t>调整多晶硅期货相关合约交易保证金比例</t>
  </si>
  <si>
    <t>20260403结算时起生效</t>
  </si>
  <si>
    <t>更新多晶硅期货相关合约限仓规则</t>
  </si>
  <si>
    <t>20260402交易时起生效</t>
  </si>
  <si>
    <t>调整MA605合约交易限额</t>
  </si>
  <si>
    <t>20260414夜盘交易时起生效</t>
  </si>
  <si>
    <t>交易时间表、期权合约要素、限仓规则、申报费规则</t>
  </si>
  <si>
    <t>新增20号胶、国际铜期权相关交易规则</t>
  </si>
  <si>
    <t>20260422上市交易</t>
  </si>
  <si>
    <t>目录、交易限额、单笔最小开仓手数</t>
  </si>
  <si>
    <t>删除原交易限额汇总表中单笔最小开仓手数，新增单笔最小开仓手数汇总表</t>
  </si>
  <si>
    <t>调整甲醇、对二甲苯、PTA、短纤、瓶片、烧碱、丙烯期货部分合约的每次最小开仓下单数量</t>
  </si>
  <si>
    <t>20260427夜盘交易时起生效</t>
  </si>
  <si>
    <t>调整集运指数（欧线）期货品种的最小变动价位</t>
  </si>
  <si>
    <t>20260511交易时起生效</t>
  </si>
  <si>
    <t>调整白银AG2705合约交易保证金比例、涨跌停板幅度</t>
  </si>
  <si>
    <t>20260515结算时起生效</t>
  </si>
  <si>
    <t>交易时间表、期货合约要素、期权合约要素、保证金及涨跌停板幅度表、限仓规则、交易限额、单笔最小开仓手数</t>
  </si>
  <si>
    <t>1、更新境外客户可交易品种（新增对二甲苯、瓶片、短纤期货及期权、PTA期权），5月22日09:00起实施；
2、单笔最小开仓手数汇总表新增QFII&amp;RQFII可交易品种和国际化品种标识</t>
  </si>
  <si>
    <t>20260522日盘连续交易时起生效</t>
  </si>
  <si>
    <t>保证金及涨跌停板幅度表、交易限额、单笔最小开仓手数、异常交易规则</t>
  </si>
  <si>
    <t>1、调整rb2606-2702, hc2606-2702, ss2606-2702期货合约交易保证金比例及涨跌停板幅度；
2、调整lc2705、ps2705合约交易限额、单笔最小开仓手数。</t>
  </si>
  <si>
    <t>20260519结算时起生效</t>
  </si>
  <si>
    <t>期权合约要素、异常交易规则、申报费规则、</t>
  </si>
  <si>
    <t>1、新增大商所黄大豆1号、豆油系列期权相关参数及规则；
2、更新中金所异常交易相关规则变化；
3、新增股指期货/期权相关申报费收取标准。</t>
  </si>
  <si>
    <t>20260601交易时起生效</t>
  </si>
  <si>
    <t>调整燃料油、低硫燃料油、原油期货相关合约交易限额</t>
  </si>
  <si>
    <t>20260602交易时起生效</t>
  </si>
  <si>
    <t>调整燃料油、低硫燃料油、原油期货涨跌停板幅度和交易所保证金比例</t>
  </si>
  <si>
    <t>20260602结算时起生效</t>
  </si>
  <si>
    <t>更新碳酸锂限仓</t>
  </si>
  <si>
    <t>2610及后续合约生效</t>
  </si>
  <si>
    <t>调整玻璃、纯碱期货涨跌停板幅度和交易所保证金比例</t>
  </si>
  <si>
    <t>20260605结算时起生效</t>
  </si>
  <si>
    <t>调整鸡蛋期权限仓标准</t>
  </si>
  <si>
    <t>20260609结算时起生效</t>
  </si>
  <si>
    <t>调整焦炭期货合约交易保证金比例</t>
  </si>
  <si>
    <t>20260612结算时起生效</t>
  </si>
  <si>
    <t>调整焦炭期货合约交易限额</t>
  </si>
  <si>
    <t>20260612交易时起生效</t>
  </si>
  <si>
    <t>交易限额、单笔最小开仓手数、异常交易规则</t>
  </si>
  <si>
    <t>新增ps2706、lc2706合约交易限额和单笔最小开仓手数</t>
  </si>
  <si>
    <t>20260615交易时起生效</t>
  </si>
  <si>
    <t>新增au2609、ag2706合约涨跌停板幅度和交易所保证金比例</t>
  </si>
  <si>
    <t>20260615结算时起生效</t>
  </si>
  <si>
    <t>调整MA608-609和PX608-609单笔最小开仓手数</t>
  </si>
  <si>
    <t>20260623夜盘交易时起生效</t>
  </si>
  <si>
    <t>调整TA608-609、MA608-609、PF608-609、PX608-609、PR608-609、PL608-609合约以及SF和SM全部合约涨跌停板幅度和交易所保证金比例</t>
  </si>
  <si>
    <t>20260624结算时起生效</t>
  </si>
  <si>
    <t>调整燃料油、原油、低硫燃料油相关合约交易限额</t>
  </si>
  <si>
    <t>20260625交易时起生效</t>
  </si>
  <si>
    <t>调整燃料油、原油、低硫燃料油相关合约涨跌停板幅度和交易所保证金比例</t>
  </si>
  <si>
    <t>20260625结算时起生效</t>
  </si>
  <si>
    <t>调整国际铜、黄金、铜、铝、锌、铅、氧化铝、镍、不锈钢相关合约涨跌停板幅度和交易所保证金比例</t>
  </si>
  <si>
    <t>20260702结算时起生效</t>
  </si>
  <si>
    <t>调整上期所能源中心市价指令支持情况</t>
  </si>
  <si>
    <t>交易日20260706交易时起生效</t>
  </si>
  <si>
    <t>期货合约要素、期权合约要素</t>
  </si>
  <si>
    <t>碳酸锂期货、期权品种国际化</t>
  </si>
  <si>
    <t>202600703起生效</t>
  </si>
  <si>
    <t>调整铂、钯合约涨跌停板幅度和交易所保证金比例</t>
  </si>
  <si>
    <t>20260703结算时起生效</t>
  </si>
  <si>
    <t>调整纯苯期货合约涨跌停板幅度和交易保证金比例</t>
  </si>
  <si>
    <t>20260710结算时起生效</t>
  </si>
  <si>
    <t>调整石油沥青、丁二烯橡胶期货合约，天然橡胶、纸浆、胶版印刷纸、20号胶期货部分合约涨跌停板幅度和交易保证金比例</t>
  </si>
  <si>
    <t>新增ps2707、lc2707合约交易限额和单笔最小开仓手数</t>
  </si>
  <si>
    <t>20260715交易时起生效</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</si>
</sst>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00_);[Red]\(0.0000\)"/>
    <numFmt numFmtId="178" formatCode="0.0%"/>
    <numFmt numFmtId="179" formatCode="yyyy/m/d;@"/>
  </numFmts>
  <fonts count="107">
    <font>
      <sz val="11"/>
      <color theme="1"/>
      <name val="等线"/>
      <charset val="134"/>
      <scheme val="minor"/>
    </font>
    <font>
      <sz val="11"/>
      <name val="等线"/>
      <charset val="134"/>
      <scheme val="minor"/>
    </font>
    <font>
      <sz val="11"/>
      <color rgb="FFFF0000"/>
      <name val="等线"/>
      <charset val="134"/>
      <scheme val="minor"/>
    </font>
    <font>
      <sz val="11"/>
      <color theme="1"/>
      <name val="微软雅黑"/>
      <charset val="134"/>
    </font>
    <font>
      <b/>
      <u/>
      <sz val="20"/>
      <color rgb="FF1846F0"/>
      <name val="等线"/>
      <charset val="134"/>
      <scheme val="minor"/>
    </font>
    <font>
      <b/>
      <sz val="18"/>
      <color theme="0"/>
      <name val="微软雅黑"/>
      <charset val="134"/>
    </font>
    <font>
      <b/>
      <sz val="14"/>
      <color theme="0"/>
      <name val="微软雅黑"/>
      <charset val="134"/>
    </font>
    <font>
      <sz val="12"/>
      <color theme="1" tint="0.0494705038605915"/>
      <name val="微软雅黑"/>
      <charset val="134"/>
    </font>
    <font>
      <sz val="12"/>
      <color theme="1"/>
      <name val="微软雅黑"/>
      <charset val="134"/>
    </font>
    <font>
      <sz val="11"/>
      <name val="微软雅黑"/>
      <charset val="134"/>
    </font>
    <font>
      <sz val="11"/>
      <color rgb="FFFF0000"/>
      <name val="微软雅黑"/>
      <charset val="134"/>
    </font>
    <font>
      <sz val="11"/>
      <color rgb="FF000000"/>
      <name val="微软雅黑"/>
      <charset val="134"/>
    </font>
    <font>
      <b/>
      <sz val="20"/>
      <color rgb="FFFFFFFF"/>
      <name val="Microsoft YaHei"/>
      <charset val="134"/>
    </font>
    <font>
      <b/>
      <sz val="14"/>
      <color theme="0"/>
      <name val="Microsoft YaHei"/>
      <charset val="134"/>
    </font>
    <font>
      <b/>
      <sz val="14"/>
      <color rgb="FFFFFFFF"/>
      <name val="Microsoft YaHei"/>
      <charset val="134"/>
    </font>
    <font>
      <b/>
      <sz val="12"/>
      <color rgb="FFFFFFFF"/>
      <name val="Microsoft YaHei"/>
      <charset val="134"/>
    </font>
    <font>
      <sz val="12"/>
      <name val="Microsoft YaHei"/>
      <charset val="134"/>
    </font>
    <font>
      <sz val="12"/>
      <name val="Microsoft YaHei UI"/>
      <charset val="134"/>
    </font>
    <font>
      <sz val="12"/>
      <color rgb="FF000000"/>
      <name val="Microsoft YaHei"/>
      <charset val="134"/>
    </font>
    <font>
      <b/>
      <sz val="14"/>
      <color theme="0"/>
      <name val="Microsoft YaHei UI"/>
      <charset val="134"/>
    </font>
    <font>
      <sz val="12"/>
      <color rgb="FF000000"/>
      <name val="微软雅黑"/>
      <charset val="134"/>
    </font>
    <font>
      <b/>
      <sz val="22"/>
      <color rgb="FFFFFFFF"/>
      <name val="微软雅黑"/>
      <charset val="134"/>
    </font>
    <font>
      <b/>
      <sz val="22"/>
      <color theme="0"/>
      <name val="微软雅黑"/>
      <charset val="134"/>
    </font>
    <font>
      <sz val="12"/>
      <name val="微软雅黑"/>
      <charset val="134"/>
    </font>
    <font>
      <b/>
      <sz val="14"/>
      <color rgb="FFFFFFFF"/>
      <name val="微软雅黑"/>
      <charset val="134"/>
    </font>
    <font>
      <b/>
      <sz val="11"/>
      <color theme="0"/>
      <name val="微软雅黑"/>
      <charset val="134"/>
    </font>
    <font>
      <sz val="13"/>
      <name val="微软雅黑"/>
      <charset val="134"/>
    </font>
    <font>
      <sz val="13"/>
      <color theme="1"/>
      <name val="微软雅黑"/>
      <charset val="134"/>
    </font>
    <font>
      <b/>
      <u/>
      <sz val="20"/>
      <color rgb="FF1846F0"/>
      <name val="微软雅黑"/>
      <charset val="134"/>
    </font>
    <font>
      <b/>
      <sz val="12"/>
      <name val="微软雅黑"/>
      <charset val="134"/>
    </font>
    <font>
      <sz val="12"/>
      <color rgb="FF333333"/>
      <name val="微软雅黑"/>
      <charset val="134"/>
    </font>
    <font>
      <sz val="18"/>
      <color theme="1"/>
      <name val="等线"/>
      <charset val="134"/>
      <scheme val="minor"/>
    </font>
    <font>
      <b/>
      <u/>
      <sz val="26"/>
      <color rgb="FF1846F0"/>
      <name val="等线"/>
      <charset val="134"/>
      <scheme val="minor"/>
    </font>
    <font>
      <b/>
      <sz val="20"/>
      <color rgb="FF000000"/>
      <name val="微软雅黑"/>
      <charset val="134"/>
    </font>
    <font>
      <sz val="11"/>
      <color theme="1"/>
      <name val="宋体"/>
      <charset val="134"/>
    </font>
    <font>
      <b/>
      <sz val="20"/>
      <color theme="0"/>
      <name val="微软雅黑"/>
      <charset val="134"/>
    </font>
    <font>
      <b/>
      <sz val="16"/>
      <color theme="0"/>
      <name val="微软雅黑"/>
      <charset val="134"/>
    </font>
    <font>
      <b/>
      <sz val="16"/>
      <color theme="1"/>
      <name val="微软雅黑"/>
      <charset val="134"/>
    </font>
    <font>
      <b/>
      <sz val="16"/>
      <name val="微软雅黑"/>
      <charset val="134"/>
    </font>
    <font>
      <sz val="16"/>
      <name val="微软雅黑"/>
      <charset val="134"/>
    </font>
    <font>
      <sz val="16"/>
      <color theme="1"/>
      <name val="微软雅黑"/>
      <charset val="134"/>
    </font>
    <font>
      <sz val="18"/>
      <name val="微软雅黑"/>
      <charset val="134"/>
    </font>
    <font>
      <sz val="16"/>
      <color rgb="FF000000"/>
      <name val="微软雅黑"/>
      <charset val="134"/>
    </font>
    <font>
      <sz val="16"/>
      <color rgb="FF333333"/>
      <name val="微软雅黑"/>
      <charset val="134"/>
    </font>
    <font>
      <b/>
      <sz val="20"/>
      <color rgb="FFFFFFFF"/>
      <name val="微软雅黑"/>
      <charset val="134"/>
    </font>
    <font>
      <b/>
      <sz val="13"/>
      <color theme="0"/>
      <name val="微软雅黑"/>
      <charset val="134"/>
    </font>
    <font>
      <sz val="12"/>
      <color rgb="FFFF0000"/>
      <name val="微软雅黑"/>
      <charset val="134"/>
    </font>
    <font>
      <b/>
      <sz val="11"/>
      <color rgb="FFFF0000"/>
      <name val="微软雅黑"/>
      <charset val="134"/>
    </font>
    <font>
      <u/>
      <sz val="20"/>
      <color rgb="FF1846F0"/>
      <name val="等线"/>
      <charset val="134"/>
      <scheme val="minor"/>
    </font>
    <font>
      <b/>
      <sz val="11"/>
      <name val="微软雅黑"/>
      <charset val="134"/>
    </font>
    <font>
      <b/>
      <sz val="11"/>
      <color theme="1"/>
      <name val="微软雅黑"/>
      <charset val="134"/>
    </font>
    <font>
      <b/>
      <u/>
      <sz val="20"/>
      <color rgb="FFFFFFFF"/>
      <name val="微软雅黑"/>
      <charset val="134"/>
    </font>
    <font>
      <b/>
      <u/>
      <sz val="20"/>
      <color theme="0"/>
      <name val="微软雅黑"/>
      <charset val="134"/>
    </font>
    <font>
      <sz val="10.5"/>
      <name val="等线"/>
      <charset val="134"/>
      <scheme val="minor"/>
    </font>
    <font>
      <sz val="10.5"/>
      <name val="微软雅黑"/>
      <charset val="134"/>
    </font>
    <font>
      <sz val="11"/>
      <color theme="0"/>
      <name val="微软雅黑"/>
      <charset val="134"/>
    </font>
    <font>
      <b/>
      <sz val="11"/>
      <color rgb="FFFFFFFF"/>
      <name val="微软雅黑"/>
      <charset val="134"/>
    </font>
    <font>
      <sz val="11"/>
      <color theme="5"/>
      <name val="微软雅黑"/>
      <charset val="134"/>
    </font>
    <font>
      <b/>
      <sz val="11"/>
      <color rgb="FF000000"/>
      <name val="微软雅黑"/>
      <charset val="134"/>
    </font>
    <font>
      <b/>
      <sz val="14"/>
      <color rgb="FFFF0000"/>
      <name val="微软雅黑"/>
      <charset val="134"/>
    </font>
    <font>
      <sz val="11"/>
      <color theme="4" tint="-0.249977111117893"/>
      <name val="微软雅黑"/>
      <charset val="134"/>
    </font>
    <font>
      <sz val="11"/>
      <color theme="8"/>
      <name val="微软雅黑"/>
      <charset val="134"/>
    </font>
    <font>
      <sz val="10"/>
      <color rgb="FFD56409"/>
      <name val="微软雅黑"/>
      <charset val="134"/>
    </font>
    <font>
      <sz val="10"/>
      <color theme="5"/>
      <name val="微软雅黑"/>
      <charset val="134"/>
    </font>
    <font>
      <sz val="11"/>
      <color rgb="FFFFFFFF"/>
      <name val="微软雅黑"/>
      <charset val="134"/>
    </font>
    <font>
      <sz val="10"/>
      <color rgb="FFFFFFFF"/>
      <name val="微软雅黑"/>
      <charset val="134"/>
    </font>
    <font>
      <sz val="11"/>
      <color rgb="FFD56409"/>
      <name val="微软雅黑"/>
      <charset val="134"/>
    </font>
    <font>
      <sz val="11"/>
      <color theme="4"/>
      <name val="微软雅黑"/>
      <charset val="134"/>
    </font>
    <font>
      <sz val="10"/>
      <color rgb="FF000000"/>
      <name val="微软雅黑"/>
      <charset val="134"/>
    </font>
    <font>
      <sz val="10"/>
      <name val="微软雅黑"/>
      <charset val="134"/>
    </font>
    <font>
      <b/>
      <sz val="20"/>
      <name val="微软雅黑"/>
      <charset val="134"/>
    </font>
    <font>
      <sz val="6"/>
      <color rgb="FF000000"/>
      <name val="微软雅黑"/>
      <charset val="134"/>
    </font>
    <font>
      <sz val="6"/>
      <name val="微软雅黑"/>
      <charset val="134"/>
    </font>
    <font>
      <b/>
      <sz val="14"/>
      <name val="微软雅黑"/>
      <charset val="134"/>
    </font>
    <font>
      <sz val="11"/>
      <color rgb="FF212121"/>
      <name val="微软雅黑"/>
      <charset val="134"/>
    </font>
    <font>
      <u/>
      <sz val="12"/>
      <color theme="1"/>
      <name val="微软雅黑"/>
      <charset val="134"/>
    </font>
    <font>
      <b/>
      <sz val="12"/>
      <color theme="0"/>
      <name val="微软雅黑"/>
      <charset val="134"/>
    </font>
    <font>
      <sz val="11"/>
      <color rgb="FF1450B8"/>
      <name val="等线"/>
      <charset val="134"/>
    </font>
    <font>
      <sz val="11"/>
      <color rgb="FF1846F0"/>
      <name val="等线"/>
      <charset val="134"/>
    </font>
    <font>
      <u/>
      <sz val="12"/>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6"/>
      <color indexed="8"/>
      <name val="微软雅黑"/>
      <charset val="134"/>
    </font>
    <font>
      <sz val="16"/>
      <color indexed="63"/>
      <name val="微软雅黑"/>
      <charset val="134"/>
    </font>
    <font>
      <sz val="20"/>
      <color indexed="8"/>
      <name val="宋体"/>
      <charset val="134"/>
    </font>
    <font>
      <sz val="20"/>
      <color indexed="8"/>
      <name val="微软雅黑"/>
      <charset val="134"/>
    </font>
    <font>
      <sz val="24"/>
      <color indexed="10"/>
      <name val="微软雅黑"/>
      <charset val="134"/>
    </font>
    <font>
      <u/>
      <sz val="16"/>
      <name val="微软雅黑"/>
      <charset val="134"/>
    </font>
    <font>
      <sz val="11"/>
      <color indexed="8"/>
      <name val="微软雅黑"/>
      <charset val="134"/>
    </font>
    <font>
      <sz val="16"/>
      <color rgb="FFFF0000"/>
      <name val="微软雅黑"/>
      <charset val="134"/>
    </font>
  </fonts>
  <fills count="70">
    <fill>
      <patternFill patternType="none"/>
    </fill>
    <fill>
      <patternFill patternType="gray125"/>
    </fill>
    <fill>
      <patternFill patternType="solid">
        <fgColor theme="8" tint="-0.249946592608417"/>
        <bgColor rgb="FF000000"/>
      </patternFill>
    </fill>
    <fill>
      <patternFill patternType="solid">
        <fgColor theme="4"/>
        <bgColor rgb="FF000000"/>
      </patternFill>
    </fill>
    <fill>
      <patternFill patternType="solid">
        <fgColor rgb="FF0070C0"/>
        <bgColor indexed="64"/>
      </patternFill>
    </fill>
    <fill>
      <patternFill patternType="solid">
        <fgColor rgb="FFF4AE84"/>
        <bgColor rgb="FF000000"/>
      </patternFill>
    </fill>
    <fill>
      <patternFill patternType="solid">
        <fgColor rgb="FFFFFFFF"/>
        <bgColor indexed="64"/>
      </patternFill>
    </fill>
    <fill>
      <patternFill patternType="solid">
        <fgColor rgb="FF9D5DCF"/>
        <bgColor rgb="FF000000"/>
      </patternFill>
    </fill>
    <fill>
      <patternFill patternType="solid">
        <fgColor rgb="FF00B050"/>
        <bgColor indexed="64"/>
      </patternFill>
    </fill>
    <fill>
      <patternFill patternType="solid">
        <fgColor theme="7"/>
        <bgColor indexed="64"/>
      </patternFill>
    </fill>
    <fill>
      <patternFill patternType="solid">
        <fgColor theme="8"/>
        <bgColor rgb="FF000000"/>
      </patternFill>
    </fill>
    <fill>
      <patternFill patternType="solid">
        <fgColor theme="8" tint="0.398449659718619"/>
        <bgColor rgb="FF000000"/>
      </patternFill>
    </fill>
    <fill>
      <patternFill patternType="solid">
        <fgColor theme="0"/>
        <bgColor rgb="FF000000"/>
      </patternFill>
    </fill>
    <fill>
      <patternFill patternType="solid">
        <fgColor rgb="FFF09056"/>
        <bgColor rgb="FF000000"/>
      </patternFill>
    </fill>
    <fill>
      <patternFill patternType="solid">
        <fgColor theme="5" tint="0.398449659718619"/>
        <bgColor rgb="FF000000"/>
      </patternFill>
    </fill>
    <fill>
      <patternFill patternType="solid">
        <fgColor theme="9"/>
        <bgColor rgb="FF000000"/>
      </patternFill>
    </fill>
    <fill>
      <patternFill patternType="solid">
        <fgColor theme="9" tint="0.398449659718619"/>
        <bgColor rgb="FF000000"/>
      </patternFill>
    </fill>
    <fill>
      <patternFill patternType="solid">
        <fgColor rgb="FF7030A0"/>
        <bgColor rgb="FF000000"/>
      </patternFill>
    </fill>
    <fill>
      <patternFill patternType="solid">
        <fgColor rgb="FFB889DC"/>
        <bgColor rgb="FF000000"/>
      </patternFill>
    </fill>
    <fill>
      <patternFill patternType="solid">
        <fgColor theme="7"/>
        <bgColor rgb="FF000000"/>
      </patternFill>
    </fill>
    <fill>
      <patternFill patternType="solid">
        <fgColor rgb="FFFFCB3D"/>
        <bgColor rgb="FF000000"/>
      </patternFill>
    </fill>
    <fill>
      <patternFill patternType="solid">
        <fgColor theme="4" tint="0.398998992889187"/>
        <bgColor indexed="64"/>
      </patternFill>
    </fill>
    <fill>
      <patternFill patternType="solid">
        <fgColor theme="9" tint="0.398998992889187"/>
        <bgColor indexed="64"/>
      </patternFill>
    </fill>
    <fill>
      <patternFill patternType="solid">
        <fgColor rgb="FF0070C0"/>
        <bgColor rgb="FF000000"/>
      </patternFill>
    </fill>
    <fill>
      <patternFill patternType="solid">
        <fgColor rgb="FF00B050"/>
        <bgColor rgb="FF000000"/>
      </patternFill>
    </fill>
    <fill>
      <patternFill patternType="solid">
        <fgColor theme="5"/>
        <bgColor rgb="FF000000"/>
      </patternFill>
    </fill>
    <fill>
      <patternFill patternType="solid">
        <fgColor theme="8" tint="0.398632770775475"/>
        <bgColor rgb="FF000000"/>
      </patternFill>
    </fill>
    <fill>
      <patternFill patternType="solid">
        <fgColor theme="5" tint="0.799340800195319"/>
        <bgColor rgb="FF000000"/>
      </patternFill>
    </fill>
    <fill>
      <patternFill patternType="solid">
        <fgColor theme="9" tint="-0.249946592608417"/>
        <bgColor rgb="FF000000"/>
      </patternFill>
    </fill>
    <fill>
      <patternFill patternType="solid">
        <fgColor theme="9" tint="0.799340800195319"/>
        <bgColor rgb="FF000000"/>
      </patternFill>
    </fill>
    <fill>
      <patternFill patternType="solid">
        <fgColor theme="0" tint="-0.148564104129154"/>
        <bgColor rgb="FF000000"/>
      </patternFill>
    </fill>
    <fill>
      <patternFill patternType="solid">
        <fgColor theme="7" tint="0.799951170384838"/>
        <bgColor indexed="64"/>
      </patternFill>
    </fill>
    <fill>
      <patternFill patternType="solid">
        <fgColor rgb="FF4472C4"/>
        <bgColor rgb="FF000000"/>
      </patternFill>
    </fill>
    <fill>
      <patternFill patternType="solid">
        <fgColor rgb="FFFFC000"/>
        <bgColor rgb="FF000000"/>
      </patternFill>
    </fill>
    <fill>
      <patternFill patternType="solid">
        <fgColor rgb="FFF4E9CC"/>
        <bgColor rgb="FF000000"/>
      </patternFill>
    </fill>
    <fill>
      <patternFill patternType="solid">
        <fgColor theme="7" tint="0.799340800195319"/>
        <bgColor rgb="FF000000"/>
      </patternFill>
    </fill>
    <fill>
      <patternFill patternType="solid">
        <fgColor rgb="FFFDD5CB"/>
        <bgColor rgb="FF000000"/>
      </patternFill>
    </fill>
    <fill>
      <patternFill patternType="solid">
        <fgColor theme="0" tint="-0.148411511581774"/>
        <bgColor rgb="FF000000"/>
      </patternFill>
    </fill>
    <fill>
      <patternFill patternType="solid">
        <fgColor theme="0" tint="-0.14844203009125"/>
        <bgColor rgb="FF000000"/>
      </patternFill>
    </fill>
    <fill>
      <patternFill patternType="solid">
        <fgColor theme="8"/>
        <bgColor indexed="64"/>
      </patternFill>
    </fill>
    <fill>
      <patternFill patternType="solid">
        <fgColor rgb="FFDADDE1"/>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2">
    <border>
      <left/>
      <right/>
      <top/>
      <bottom/>
      <diagonal/>
    </border>
    <border>
      <left style="thin">
        <color auto="1"/>
      </left>
      <right style="thin">
        <color auto="1"/>
      </right>
      <top style="thin">
        <color auto="1"/>
      </top>
      <bottom style="thin">
        <color auto="1"/>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diagonal/>
    </border>
    <border>
      <left/>
      <right style="medium">
        <color auto="1"/>
      </right>
      <top style="thin">
        <color rgb="FF000000"/>
      </top>
      <bottom style="thin">
        <color rgb="FF000000"/>
      </bottom>
      <diagonal/>
    </border>
    <border>
      <left style="medium">
        <color auto="1"/>
      </left>
      <right style="thin">
        <color rgb="FF000000"/>
      </right>
      <top/>
      <bottom/>
      <diagonal/>
    </border>
    <border>
      <left style="thin">
        <color rgb="FF000000"/>
      </left>
      <right style="thin">
        <color auto="1"/>
      </right>
      <top style="thin">
        <color rgb="FF000000"/>
      </top>
      <bottom style="thin">
        <color auto="1"/>
      </bottom>
      <diagonal/>
    </border>
    <border>
      <left style="thin">
        <color auto="1"/>
      </left>
      <right style="thin">
        <color auto="1"/>
      </right>
      <top/>
      <bottom/>
      <diagonal/>
    </border>
    <border>
      <left style="thin">
        <color rgb="FF000000"/>
      </left>
      <right style="thin">
        <color auto="1"/>
      </right>
      <top style="thin">
        <color auto="1"/>
      </top>
      <bottom style="thin">
        <color auto="1"/>
      </bottom>
      <diagonal/>
    </border>
    <border>
      <left style="medium">
        <color auto="1"/>
      </left>
      <right style="thin">
        <color rgb="FF000000"/>
      </right>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auto="1"/>
      </left>
      <right style="thin">
        <color indexed="8"/>
      </right>
      <top style="thin">
        <color rgb="FF000000"/>
      </top>
      <bottom/>
      <diagonal/>
    </border>
    <border>
      <left/>
      <right style="medium">
        <color auto="1"/>
      </right>
      <top style="thin">
        <color rgb="FF000000"/>
      </top>
      <bottom/>
      <diagonal/>
    </border>
    <border>
      <left style="medium">
        <color auto="1"/>
      </left>
      <right style="thin">
        <color indexed="8"/>
      </right>
      <top/>
      <bottom/>
      <diagonal/>
    </border>
    <border>
      <left/>
      <right style="thin">
        <color rgb="FF000000"/>
      </right>
      <top style="thin">
        <color rgb="FF000000"/>
      </top>
      <bottom/>
      <diagonal/>
    </border>
    <border>
      <left/>
      <right style="medium">
        <color auto="1"/>
      </right>
      <top/>
      <bottom/>
      <diagonal/>
    </border>
    <border>
      <left/>
      <right style="thin">
        <color rgb="FF000000"/>
      </right>
      <top/>
      <bottom/>
      <diagonal/>
    </border>
    <border>
      <left/>
      <right style="thin">
        <color rgb="FF000000"/>
      </right>
      <top/>
      <bottom style="thin">
        <color rgb="FF000000"/>
      </bottom>
      <diagonal/>
    </border>
    <border>
      <left style="medium">
        <color auto="1"/>
      </left>
      <right style="thin">
        <color auto="1"/>
      </right>
      <top style="medium">
        <color auto="1"/>
      </top>
      <bottom style="thin">
        <color auto="1"/>
      </bottom>
      <diagonal/>
    </border>
    <border>
      <left style="thin">
        <color rgb="FF000000"/>
      </left>
      <right style="thin">
        <color rgb="FF000000"/>
      </right>
      <top style="medium">
        <color auto="1"/>
      </top>
      <bottom/>
      <diagonal/>
    </border>
    <border>
      <left style="thin">
        <color rgb="FF000000"/>
      </left>
      <right/>
      <top style="medium">
        <color auto="1"/>
      </top>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top style="thin">
        <color rgb="FF00000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top style="thin">
        <color auto="1"/>
      </top>
      <bottom/>
      <diagonal/>
    </border>
    <border>
      <left style="medium">
        <color auto="1"/>
      </left>
      <right/>
      <top style="thin">
        <color auto="1"/>
      </top>
      <bottom style="thin">
        <color auto="1"/>
      </bottom>
      <diagonal/>
    </border>
    <border>
      <left style="thin">
        <color auto="1"/>
      </left>
      <right/>
      <top/>
      <bottom/>
      <diagonal/>
    </border>
    <border>
      <left style="thin">
        <color auto="1"/>
      </left>
      <right/>
      <top/>
      <bottom style="medium">
        <color auto="1"/>
      </bottom>
      <diagonal/>
    </border>
    <border>
      <left/>
      <right style="thin">
        <color auto="1"/>
      </right>
      <top/>
      <bottom style="thin">
        <color auto="1"/>
      </bottom>
      <diagonal/>
    </border>
    <border>
      <left/>
      <right style="thin">
        <color auto="1"/>
      </right>
      <top/>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thin">
        <color auto="1"/>
      </right>
      <top style="medium">
        <color auto="1"/>
      </top>
      <bottom style="thin">
        <color auto="1"/>
      </bottom>
      <diagonal/>
    </border>
    <border>
      <left style="medium">
        <color auto="1"/>
      </left>
      <right/>
      <top/>
      <bottom/>
      <diagonal/>
    </border>
    <border>
      <left/>
      <right style="thin">
        <color auto="1"/>
      </right>
      <top style="medium">
        <color auto="1"/>
      </top>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diagonal/>
    </border>
    <border>
      <left style="thin">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41" borderId="104" applyNumberFormat="0" applyFont="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105" applyNumberFormat="0" applyFill="0" applyAlignment="0" applyProtection="0">
      <alignment vertical="center"/>
    </xf>
    <xf numFmtId="0" fontId="86" fillId="0" borderId="105" applyNumberFormat="0" applyFill="0" applyAlignment="0" applyProtection="0">
      <alignment vertical="center"/>
    </xf>
    <xf numFmtId="0" fontId="87" fillId="0" borderId="106" applyNumberFormat="0" applyFill="0" applyAlignment="0" applyProtection="0">
      <alignment vertical="center"/>
    </xf>
    <xf numFmtId="0" fontId="87" fillId="0" borderId="0" applyNumberFormat="0" applyFill="0" applyBorder="0" applyAlignment="0" applyProtection="0">
      <alignment vertical="center"/>
    </xf>
    <xf numFmtId="0" fontId="88" fillId="42" borderId="107" applyNumberFormat="0" applyAlignment="0" applyProtection="0">
      <alignment vertical="center"/>
    </xf>
    <xf numFmtId="0" fontId="89" fillId="43" borderId="108" applyNumberFormat="0" applyAlignment="0" applyProtection="0">
      <alignment vertical="center"/>
    </xf>
    <xf numFmtId="0" fontId="90" fillId="43" borderId="107" applyNumberFormat="0" applyAlignment="0" applyProtection="0">
      <alignment vertical="center"/>
    </xf>
    <xf numFmtId="0" fontId="91" fillId="44" borderId="109" applyNumberFormat="0" applyAlignment="0" applyProtection="0">
      <alignment vertical="center"/>
    </xf>
    <xf numFmtId="0" fontId="92" fillId="0" borderId="110" applyNumberFormat="0" applyFill="0" applyAlignment="0" applyProtection="0">
      <alignment vertical="center"/>
    </xf>
    <xf numFmtId="0" fontId="93" fillId="0" borderId="111" applyNumberFormat="0" applyFill="0" applyAlignment="0" applyProtection="0">
      <alignment vertical="center"/>
    </xf>
    <xf numFmtId="0" fontId="94" fillId="45" borderId="0" applyNumberFormat="0" applyBorder="0" applyAlignment="0" applyProtection="0">
      <alignment vertical="center"/>
    </xf>
    <xf numFmtId="0" fontId="95" fillId="46" borderId="0" applyNumberFormat="0" applyBorder="0" applyAlignment="0" applyProtection="0">
      <alignment vertical="center"/>
    </xf>
    <xf numFmtId="0" fontId="96" fillId="47" borderId="0" applyNumberFormat="0" applyBorder="0" applyAlignment="0" applyProtection="0">
      <alignment vertical="center"/>
    </xf>
    <xf numFmtId="0" fontId="97" fillId="48" borderId="0" applyNumberFormat="0" applyBorder="0" applyAlignment="0" applyProtection="0">
      <alignment vertical="center"/>
    </xf>
    <xf numFmtId="0" fontId="98" fillId="49" borderId="0" applyNumberFormat="0" applyBorder="0" applyAlignment="0" applyProtection="0">
      <alignment vertical="center"/>
    </xf>
    <xf numFmtId="0" fontId="98" fillId="50" borderId="0" applyNumberFormat="0" applyBorder="0" applyAlignment="0" applyProtection="0">
      <alignment vertical="center"/>
    </xf>
    <xf numFmtId="0" fontId="97" fillId="51" borderId="0" applyNumberFormat="0" applyBorder="0" applyAlignment="0" applyProtection="0">
      <alignment vertical="center"/>
    </xf>
    <xf numFmtId="0" fontId="97" fillId="52" borderId="0" applyNumberFormat="0" applyBorder="0" applyAlignment="0" applyProtection="0">
      <alignment vertical="center"/>
    </xf>
    <xf numFmtId="0" fontId="98" fillId="53" borderId="0" applyNumberFormat="0" applyBorder="0" applyAlignment="0" applyProtection="0">
      <alignment vertical="center"/>
    </xf>
    <xf numFmtId="0" fontId="98" fillId="54" borderId="0" applyNumberFormat="0" applyBorder="0" applyAlignment="0" applyProtection="0">
      <alignment vertical="center"/>
    </xf>
    <xf numFmtId="0" fontId="97" fillId="55" borderId="0" applyNumberFormat="0" applyBorder="0" applyAlignment="0" applyProtection="0">
      <alignment vertical="center"/>
    </xf>
    <xf numFmtId="0" fontId="97" fillId="56" borderId="0" applyNumberFormat="0" applyBorder="0" applyAlignment="0" applyProtection="0">
      <alignment vertical="center"/>
    </xf>
    <xf numFmtId="0" fontId="98" fillId="57" borderId="0" applyNumberFormat="0" applyBorder="0" applyAlignment="0" applyProtection="0">
      <alignment vertical="center"/>
    </xf>
    <xf numFmtId="0" fontId="98" fillId="58" borderId="0" applyNumberFormat="0" applyBorder="0" applyAlignment="0" applyProtection="0">
      <alignment vertical="center"/>
    </xf>
    <xf numFmtId="0" fontId="97" fillId="59" borderId="0" applyNumberFormat="0" applyBorder="0" applyAlignment="0" applyProtection="0">
      <alignment vertical="center"/>
    </xf>
    <xf numFmtId="0" fontId="97" fillId="9" borderId="0" applyNumberFormat="0" applyBorder="0" applyAlignment="0" applyProtection="0">
      <alignment vertical="center"/>
    </xf>
    <xf numFmtId="0" fontId="98" fillId="60" borderId="0" applyNumberFormat="0" applyBorder="0" applyAlignment="0" applyProtection="0">
      <alignment vertical="center"/>
    </xf>
    <xf numFmtId="0" fontId="98" fillId="61" borderId="0" applyNumberFormat="0" applyBorder="0" applyAlignment="0" applyProtection="0">
      <alignment vertical="center"/>
    </xf>
    <xf numFmtId="0" fontId="97" fillId="62" borderId="0" applyNumberFormat="0" applyBorder="0" applyAlignment="0" applyProtection="0">
      <alignment vertical="center"/>
    </xf>
    <xf numFmtId="0" fontId="97" fillId="39" borderId="0" applyNumberFormat="0" applyBorder="0" applyAlignment="0" applyProtection="0">
      <alignment vertical="center"/>
    </xf>
    <xf numFmtId="0" fontId="98" fillId="63" borderId="0" applyNumberFormat="0" applyBorder="0" applyAlignment="0" applyProtection="0">
      <alignment vertical="center"/>
    </xf>
    <xf numFmtId="0" fontId="98" fillId="64" borderId="0" applyNumberFormat="0" applyBorder="0" applyAlignment="0" applyProtection="0">
      <alignment vertical="center"/>
    </xf>
    <xf numFmtId="0" fontId="97" fillId="65" borderId="0" applyNumberFormat="0" applyBorder="0" applyAlignment="0" applyProtection="0">
      <alignment vertical="center"/>
    </xf>
    <xf numFmtId="0" fontId="97" fillId="66" borderId="0" applyNumberFormat="0" applyBorder="0" applyAlignment="0" applyProtection="0">
      <alignment vertical="center"/>
    </xf>
    <xf numFmtId="0" fontId="98" fillId="67" borderId="0" applyNumberFormat="0" applyBorder="0" applyAlignment="0" applyProtection="0">
      <alignment vertical="center"/>
    </xf>
    <xf numFmtId="0" fontId="98" fillId="68" borderId="0" applyNumberFormat="0" applyBorder="0" applyAlignment="0" applyProtection="0">
      <alignment vertical="center"/>
    </xf>
    <xf numFmtId="0" fontId="97" fillId="69" borderId="0" applyNumberFormat="0" applyBorder="0" applyAlignment="0" applyProtection="0">
      <alignment vertical="center"/>
    </xf>
    <xf numFmtId="0" fontId="0" fillId="0" borderId="0">
      <alignment vertical="center"/>
    </xf>
  </cellStyleXfs>
  <cellXfs count="980">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31" fontId="9"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lignment vertical="center"/>
    </xf>
    <xf numFmtId="0" fontId="4" fillId="0" borderId="0" xfId="0" applyFont="1" applyAlignment="1">
      <alignment horizontal="center" vertical="center"/>
    </xf>
    <xf numFmtId="0" fontId="0" fillId="0" borderId="0" xfId="0" applyAlignment="1"/>
    <xf numFmtId="0" fontId="12" fillId="2" borderId="2" xfId="0" applyFont="1" applyFill="1" applyBorder="1" applyAlignment="1">
      <alignment horizontal="center" vertical="center"/>
    </xf>
    <xf numFmtId="0" fontId="0" fillId="0" borderId="3" xfId="0" applyBorder="1" applyAlignment="1"/>
    <xf numFmtId="0" fontId="0" fillId="0" borderId="4" xfId="0" applyBorder="1" applyAlignment="1"/>
    <xf numFmtId="0" fontId="13" fillId="4" borderId="5" xfId="0" applyFont="1" applyFill="1" applyBorder="1" applyAlignment="1">
      <alignment horizontal="center" vertical="center"/>
    </xf>
    <xf numFmtId="0" fontId="14" fillId="4" borderId="6" xfId="0" applyFont="1" applyFill="1" applyBorder="1" applyAlignment="1">
      <alignment horizontal="center" vertical="center" wrapText="1"/>
    </xf>
    <xf numFmtId="0" fontId="0" fillId="0" borderId="6" xfId="0" applyBorder="1" applyAlignment="1"/>
    <xf numFmtId="0" fontId="0" fillId="0" borderId="7" xfId="0" applyBorder="1" applyAlignment="1"/>
    <xf numFmtId="0" fontId="13" fillId="4" borderId="8"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10" xfId="0" applyFont="1" applyFill="1" applyBorder="1" applyAlignment="1">
      <alignment horizontal="center" vertical="center" wrapText="1"/>
    </xf>
    <xf numFmtId="0" fontId="15" fillId="4" borderId="7"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11" xfId="0" applyFont="1" applyFill="1" applyBorder="1" applyAlignment="1">
      <alignment horizontal="center" vertical="center"/>
    </xf>
    <xf numFmtId="0" fontId="16" fillId="0" borderId="12" xfId="0" applyFont="1" applyBorder="1" applyAlignment="1">
      <alignment horizontal="center" vertical="center" wrapText="1"/>
    </xf>
    <xf numFmtId="0" fontId="16" fillId="0" borderId="13" xfId="0" applyFont="1" applyBorder="1" applyAlignment="1">
      <alignment horizontal="left" vertical="center" wrapText="1"/>
    </xf>
    <xf numFmtId="0" fontId="13" fillId="4" borderId="14" xfId="0" applyFont="1" applyFill="1" applyBorder="1" applyAlignment="1">
      <alignment horizontal="center" vertical="center" wrapText="1"/>
    </xf>
    <xf numFmtId="0" fontId="16" fillId="0" borderId="1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 fillId="0" borderId="13" xfId="0" applyFont="1" applyBorder="1" applyAlignment="1">
      <alignment horizontal="left"/>
    </xf>
    <xf numFmtId="0" fontId="17" fillId="0" borderId="17" xfId="0" applyFont="1" applyBorder="1" applyAlignment="1">
      <alignment horizontal="center" vertical="center" wrapText="1"/>
    </xf>
    <xf numFmtId="0" fontId="13" fillId="4" borderId="18" xfId="0" applyFont="1" applyFill="1" applyBorder="1" applyAlignment="1">
      <alignment horizontal="center" vertical="center" wrapText="1"/>
    </xf>
    <xf numFmtId="0" fontId="17" fillId="0" borderId="19" xfId="0" applyFont="1" applyBorder="1" applyAlignment="1">
      <alignment horizontal="center" vertical="center" wrapText="1"/>
    </xf>
    <xf numFmtId="0" fontId="13" fillId="5" borderId="5" xfId="0" applyFont="1" applyFill="1" applyBorder="1" applyAlignment="1">
      <alignment horizontal="center" vertical="center"/>
    </xf>
    <xf numFmtId="0" fontId="15" fillId="4" borderId="20" xfId="0" applyFont="1" applyFill="1" applyBorder="1" applyAlignment="1">
      <alignment horizontal="center" vertical="center"/>
    </xf>
    <xf numFmtId="0" fontId="15" fillId="4" borderId="21" xfId="0" applyFont="1" applyFill="1" applyBorder="1" applyAlignment="1">
      <alignment horizontal="center" vertical="center"/>
    </xf>
    <xf numFmtId="0" fontId="0" fillId="0" borderId="5" xfId="0" applyBorder="1" applyAlignment="1"/>
    <xf numFmtId="0" fontId="16" fillId="6" borderId="20" xfId="0" applyFont="1" applyFill="1" applyBorder="1" applyAlignment="1">
      <alignment horizontal="center" vertical="center" wrapText="1"/>
    </xf>
    <xf numFmtId="0" fontId="18" fillId="0" borderId="8" xfId="0" applyFont="1" applyBorder="1" applyAlignment="1">
      <alignment horizontal="center" vertical="center" wrapText="1"/>
    </xf>
    <xf numFmtId="0" fontId="1" fillId="0" borderId="13" xfId="0" applyFont="1" applyBorder="1" applyAlignment="1">
      <alignment horizontal="left" wrapText="1"/>
    </xf>
    <xf numFmtId="0" fontId="16" fillId="6" borderId="22"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6" fillId="6" borderId="23" xfId="0" applyFont="1" applyFill="1" applyBorder="1" applyAlignment="1">
      <alignment horizontal="center" vertical="center" wrapText="1"/>
    </xf>
    <xf numFmtId="0" fontId="1" fillId="0" borderId="8" xfId="0" applyFont="1" applyBorder="1" applyAlignment="1">
      <alignment wrapText="1"/>
    </xf>
    <xf numFmtId="0" fontId="16" fillId="0" borderId="8" xfId="0" applyFont="1" applyBorder="1" applyAlignment="1">
      <alignment horizontal="center" vertical="center"/>
    </xf>
    <xf numFmtId="0" fontId="16" fillId="0" borderId="11" xfId="0" applyFont="1" applyBorder="1" applyAlignment="1">
      <alignment horizontal="center" vertical="center"/>
    </xf>
    <xf numFmtId="0" fontId="16" fillId="6" borderId="8" xfId="0" applyFont="1" applyFill="1" applyBorder="1" applyAlignment="1">
      <alignment horizontal="center" vertical="center"/>
    </xf>
    <xf numFmtId="0" fontId="1" fillId="0" borderId="8" xfId="0" applyFont="1" applyBorder="1" applyAlignment="1"/>
    <xf numFmtId="0" fontId="16" fillId="6" borderId="11" xfId="0" applyFont="1" applyFill="1" applyBorder="1" applyAlignment="1">
      <alignment horizontal="center" vertical="center"/>
    </xf>
    <xf numFmtId="0" fontId="13" fillId="7" borderId="24" xfId="0" applyFont="1" applyFill="1" applyBorder="1" applyAlignment="1">
      <alignment horizontal="center" vertical="center"/>
    </xf>
    <xf numFmtId="0" fontId="16" fillId="0" borderId="25" xfId="0" applyFont="1" applyBorder="1" applyAlignment="1">
      <alignment horizontal="left" vertical="center" wrapText="1"/>
    </xf>
    <xf numFmtId="0" fontId="13" fillId="7" borderId="26" xfId="0" applyFont="1" applyFill="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left" vertical="center" wrapText="1"/>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6" borderId="27" xfId="0" applyFont="1" applyFill="1" applyBorder="1" applyAlignment="1">
      <alignment horizontal="center" vertical="center" wrapText="1"/>
    </xf>
    <xf numFmtId="0" fontId="16" fillId="6" borderId="29" xfId="0" applyFont="1" applyFill="1" applyBorder="1" applyAlignment="1">
      <alignment horizontal="center" vertical="center" wrapText="1"/>
    </xf>
    <xf numFmtId="0" fontId="16" fillId="6" borderId="30" xfId="0" applyFont="1" applyFill="1" applyBorder="1" applyAlignment="1">
      <alignment horizontal="center" vertical="center" wrapText="1"/>
    </xf>
    <xf numFmtId="0" fontId="13" fillId="8" borderId="31" xfId="0" applyFont="1" applyFill="1" applyBorder="1" applyAlignment="1">
      <alignment horizontal="center" vertical="center"/>
    </xf>
    <xf numFmtId="0" fontId="15" fillId="4" borderId="32" xfId="0" applyFont="1" applyFill="1" applyBorder="1" applyAlignment="1">
      <alignment horizontal="center" vertical="center"/>
    </xf>
    <xf numFmtId="0" fontId="15" fillId="4" borderId="33" xfId="0" applyFont="1" applyFill="1" applyBorder="1" applyAlignment="1">
      <alignment horizontal="center" vertical="center"/>
    </xf>
    <xf numFmtId="0" fontId="16" fillId="0" borderId="34" xfId="0" applyFont="1" applyBorder="1" applyAlignment="1">
      <alignment horizontal="left" vertical="center" wrapText="1"/>
    </xf>
    <xf numFmtId="0" fontId="13" fillId="8" borderId="35" xfId="0" applyFont="1" applyFill="1" applyBorder="1" applyAlignment="1">
      <alignment horizontal="center" vertical="center"/>
    </xf>
    <xf numFmtId="0" fontId="16" fillId="6" borderId="7" xfId="0" applyFont="1" applyFill="1" applyBorder="1" applyAlignment="1">
      <alignment horizontal="center" vertical="center" wrapText="1"/>
    </xf>
    <xf numFmtId="0" fontId="16" fillId="0" borderId="36" xfId="0" applyFont="1" applyBorder="1" applyAlignment="1">
      <alignment horizontal="left" vertical="center" wrapText="1"/>
    </xf>
    <xf numFmtId="0" fontId="16" fillId="6" borderId="7" xfId="0" applyFont="1" applyFill="1" applyBorder="1" applyAlignment="1">
      <alignment horizontal="center" vertical="center"/>
    </xf>
    <xf numFmtId="0" fontId="1" fillId="0" borderId="7" xfId="0" applyFont="1" applyBorder="1" applyAlignment="1"/>
    <xf numFmtId="0" fontId="19" fillId="9" borderId="37" xfId="0" applyFont="1" applyFill="1" applyBorder="1" applyAlignment="1">
      <alignment horizontal="center" vertical="center"/>
    </xf>
    <xf numFmtId="0" fontId="17" fillId="0" borderId="25" xfId="0" applyFont="1" applyBorder="1" applyAlignment="1">
      <alignment horizontal="center" vertical="center" wrapText="1"/>
    </xf>
    <xf numFmtId="0" fontId="19" fillId="9" borderId="38" xfId="0" applyFont="1" applyFill="1" applyBorder="1" applyAlignment="1">
      <alignment horizontal="center" vertical="center"/>
    </xf>
    <xf numFmtId="0" fontId="17" fillId="0" borderId="39" xfId="0" applyFont="1" applyBorder="1" applyAlignment="1">
      <alignment horizontal="center" vertical="center"/>
    </xf>
    <xf numFmtId="0" fontId="17" fillId="0" borderId="28" xfId="0" applyFont="1" applyBorder="1" applyAlignment="1">
      <alignment horizontal="center" vertical="center" wrapText="1"/>
    </xf>
    <xf numFmtId="0" fontId="17" fillId="0" borderId="0" xfId="0" applyFont="1" applyAlignment="1">
      <alignment horizontal="center" vertical="center"/>
    </xf>
    <xf numFmtId="0" fontId="16" fillId="6" borderId="21" xfId="0" applyFont="1" applyFill="1" applyBorder="1" applyAlignment="1">
      <alignment horizontal="center" vertical="center" wrapText="1"/>
    </xf>
    <xf numFmtId="0" fontId="20" fillId="0" borderId="40" xfId="0" applyFont="1" applyBorder="1" applyAlignment="1">
      <alignment vertical="center" wrapText="1"/>
    </xf>
    <xf numFmtId="0" fontId="0" fillId="0" borderId="41" xfId="0" applyBorder="1" applyAlignment="1"/>
    <xf numFmtId="0" fontId="0" fillId="0" borderId="42" xfId="0" applyBorder="1" applyAlignment="1"/>
    <xf numFmtId="0" fontId="6" fillId="0" borderId="0" xfId="0" applyFont="1">
      <alignment vertical="center"/>
    </xf>
    <xf numFmtId="0" fontId="21" fillId="2" borderId="31" xfId="0" applyFont="1" applyFill="1" applyBorder="1" applyAlignment="1">
      <alignment horizontal="center" vertical="center" wrapText="1"/>
    </xf>
    <xf numFmtId="0" fontId="22" fillId="2" borderId="43" xfId="0" applyFont="1" applyFill="1" applyBorder="1" applyAlignment="1">
      <alignment horizontal="center" vertical="center" wrapText="1"/>
    </xf>
    <xf numFmtId="0" fontId="22" fillId="2" borderId="35"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6" fillId="10" borderId="35"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35" xfId="0" applyFont="1" applyFill="1" applyBorder="1" applyAlignment="1">
      <alignment horizontal="center" vertical="center" textRotation="255" wrapText="1"/>
    </xf>
    <xf numFmtId="0" fontId="6" fillId="11" borderId="1" xfId="0" applyFont="1" applyFill="1" applyBorder="1" applyAlignment="1">
      <alignment horizontal="center" vertical="center"/>
    </xf>
    <xf numFmtId="0" fontId="8" fillId="12" borderId="1" xfId="0" applyFont="1" applyFill="1" applyBorder="1" applyAlignment="1">
      <alignment horizontal="center" vertical="center"/>
    </xf>
    <xf numFmtId="0" fontId="8" fillId="12" borderId="1" xfId="0" applyFont="1" applyFill="1" applyBorder="1" applyAlignment="1">
      <alignment horizontal="center" vertical="center" wrapText="1"/>
    </xf>
    <xf numFmtId="0" fontId="20" fillId="12" borderId="44" xfId="0" applyFont="1" applyFill="1" applyBorder="1" applyAlignment="1">
      <alignment horizontal="center" vertical="center" wrapText="1"/>
    </xf>
    <xf numFmtId="0" fontId="6" fillId="10" borderId="35" xfId="0" applyFont="1" applyFill="1" applyBorder="1" applyAlignment="1">
      <alignment horizontal="center" vertical="center" textRotation="255"/>
    </xf>
    <xf numFmtId="0" fontId="20" fillId="12" borderId="45" xfId="0" applyFont="1" applyFill="1" applyBorder="1" applyAlignment="1">
      <alignment horizontal="center" vertical="center"/>
    </xf>
    <xf numFmtId="0" fontId="20" fillId="12" borderId="45" xfId="0" applyFont="1" applyFill="1" applyBorder="1" applyAlignment="1">
      <alignment horizontal="center" vertical="center" wrapText="1"/>
    </xf>
    <xf numFmtId="0" fontId="6" fillId="13" borderId="35" xfId="0" applyFont="1" applyFill="1" applyBorder="1" applyAlignment="1">
      <alignment horizontal="center" vertical="center" textRotation="255"/>
    </xf>
    <xf numFmtId="0" fontId="6" fillId="14" borderId="1" xfId="0" applyFont="1" applyFill="1" applyBorder="1" applyAlignment="1">
      <alignment horizontal="center" vertical="center"/>
    </xf>
    <xf numFmtId="0" fontId="23" fillId="12" borderId="1" xfId="0" applyFont="1" applyFill="1" applyBorder="1" applyAlignment="1">
      <alignment horizontal="center" vertical="center" wrapText="1"/>
    </xf>
    <xf numFmtId="0" fontId="6" fillId="15" borderId="35" xfId="0" applyFont="1" applyFill="1" applyBorder="1" applyAlignment="1">
      <alignment horizontal="center" vertical="center" textRotation="255"/>
    </xf>
    <xf numFmtId="0" fontId="6" fillId="16" borderId="1" xfId="0" applyFont="1" applyFill="1" applyBorder="1" applyAlignment="1">
      <alignment horizontal="center" vertical="center"/>
    </xf>
    <xf numFmtId="0" fontId="6" fillId="17" borderId="35" xfId="0" applyFont="1" applyFill="1" applyBorder="1" applyAlignment="1">
      <alignment horizontal="center" vertical="center" textRotation="255"/>
    </xf>
    <xf numFmtId="0" fontId="6" fillId="18" borderId="1" xfId="0" applyFont="1" applyFill="1" applyBorder="1" applyAlignment="1">
      <alignment horizontal="center" vertical="center"/>
    </xf>
    <xf numFmtId="0" fontId="6" fillId="19" borderId="35" xfId="0" applyFont="1" applyFill="1" applyBorder="1" applyAlignment="1">
      <alignment horizontal="center" vertical="center" textRotation="255"/>
    </xf>
    <xf numFmtId="0" fontId="6" fillId="20" borderId="1" xfId="0" applyFont="1" applyFill="1" applyBorder="1" applyAlignment="1">
      <alignment horizontal="center" vertical="center"/>
    </xf>
    <xf numFmtId="0" fontId="8" fillId="0" borderId="1" xfId="0" applyFont="1" applyBorder="1" applyAlignment="1">
      <alignment horizontal="center" vertical="center"/>
    </xf>
    <xf numFmtId="0" fontId="6" fillId="21" borderId="37" xfId="0" applyFont="1" applyFill="1" applyBorder="1" applyAlignment="1">
      <alignment horizontal="center" vertical="center" textRotation="255" wrapText="1" readingOrder="1"/>
    </xf>
    <xf numFmtId="0" fontId="6" fillId="21" borderId="1" xfId="0" applyFont="1" applyFill="1" applyBorder="1" applyAlignment="1">
      <alignment horizontal="center" vertical="center"/>
    </xf>
    <xf numFmtId="0" fontId="23" fillId="0" borderId="44" xfId="0" applyFont="1" applyBorder="1" applyAlignment="1">
      <alignment horizontal="center" vertical="center" wrapText="1"/>
    </xf>
    <xf numFmtId="0" fontId="23" fillId="0" borderId="46" xfId="0" applyFont="1" applyBorder="1" applyAlignment="1">
      <alignment horizontal="center" vertical="center" wrapText="1"/>
    </xf>
    <xf numFmtId="0" fontId="6" fillId="22" borderId="37" xfId="0" applyFont="1" applyFill="1" applyBorder="1" applyAlignment="1">
      <alignment horizontal="center" vertical="center" textRotation="255" wrapText="1" readingOrder="1"/>
    </xf>
    <xf numFmtId="0" fontId="6" fillId="22" borderId="1" xfId="0" applyFont="1" applyFill="1" applyBorder="1" applyAlignment="1">
      <alignment horizontal="center" vertical="center"/>
    </xf>
    <xf numFmtId="0" fontId="3" fillId="0" borderId="40" xfId="0" applyFont="1" applyBorder="1" applyAlignment="1">
      <alignment horizontal="left" vertical="center" wrapText="1"/>
    </xf>
    <xf numFmtId="0" fontId="3" fillId="0" borderId="41" xfId="0" applyFont="1" applyBorder="1" applyAlignment="1">
      <alignment horizontal="left" vertical="center" wrapText="1"/>
    </xf>
    <xf numFmtId="0" fontId="24" fillId="10" borderId="47" xfId="0" applyFont="1" applyFill="1" applyBorder="1" applyAlignment="1">
      <alignment horizontal="center" vertical="center" wrapText="1"/>
    </xf>
    <xf numFmtId="0" fontId="0" fillId="0" borderId="48" xfId="0" applyBorder="1" applyAlignment="1"/>
    <xf numFmtId="0" fontId="23" fillId="12" borderId="1" xfId="0" applyFont="1" applyFill="1" applyBorder="1" applyAlignment="1">
      <alignment horizontal="center" vertical="center"/>
    </xf>
    <xf numFmtId="0" fontId="23" fillId="0" borderId="49" xfId="0" applyFont="1" applyBorder="1" applyAlignment="1">
      <alignment horizontal="center" vertical="center" wrapText="1"/>
    </xf>
    <xf numFmtId="0" fontId="21" fillId="2" borderId="50" xfId="0" applyFont="1" applyFill="1" applyBorder="1" applyAlignment="1">
      <alignment horizontal="center" vertical="center" wrapText="1"/>
    </xf>
    <xf numFmtId="0" fontId="21" fillId="2" borderId="51" xfId="0" applyFont="1" applyFill="1" applyBorder="1" applyAlignment="1">
      <alignment horizontal="center" vertical="center" wrapText="1"/>
    </xf>
    <xf numFmtId="0" fontId="25" fillId="10" borderId="1" xfId="0" applyFont="1" applyFill="1" applyBorder="1" applyAlignment="1">
      <alignment horizontal="center" vertical="center"/>
    </xf>
    <xf numFmtId="0" fontId="6" fillId="23" borderId="1" xfId="0" applyFont="1" applyFill="1" applyBorder="1" applyAlignment="1">
      <alignment horizontal="center" vertical="center" wrapText="1"/>
    </xf>
    <xf numFmtId="0" fontId="6" fillId="24" borderId="1" xfId="0" applyFont="1" applyFill="1" applyBorder="1" applyAlignment="1">
      <alignment horizontal="center" vertical="center" wrapText="1"/>
    </xf>
    <xf numFmtId="0" fontId="6" fillId="25"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26" fillId="0" borderId="47" xfId="0" applyFont="1" applyBorder="1" applyAlignment="1">
      <alignment horizontal="center" vertical="center" wrapText="1"/>
    </xf>
    <xf numFmtId="0" fontId="26" fillId="0" borderId="52"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44" xfId="0" applyFont="1" applyBorder="1" applyAlignment="1">
      <alignment horizontal="center" vertical="center" wrapText="1"/>
    </xf>
    <xf numFmtId="0" fontId="26" fillId="0" borderId="45" xfId="0" applyFont="1" applyBorder="1" applyAlignment="1">
      <alignment horizontal="center" vertical="center" wrapText="1"/>
    </xf>
    <xf numFmtId="0" fontId="6" fillId="10" borderId="40" xfId="0" applyFont="1" applyFill="1" applyBorder="1" applyAlignment="1">
      <alignment horizontal="center" vertical="center" wrapText="1"/>
    </xf>
    <xf numFmtId="0" fontId="6" fillId="10" borderId="41" xfId="0" applyFont="1" applyFill="1" applyBorder="1" applyAlignment="1">
      <alignment horizontal="center" vertical="center" wrapText="1"/>
    </xf>
    <xf numFmtId="0" fontId="26" fillId="0" borderId="41" xfId="0" applyFont="1" applyBorder="1" applyAlignment="1">
      <alignment horizontal="center" vertical="center" wrapText="1"/>
    </xf>
    <xf numFmtId="0" fontId="27" fillId="0" borderId="41" xfId="0" applyFont="1" applyBorder="1" applyAlignment="1">
      <alignment horizontal="center" vertical="center"/>
    </xf>
    <xf numFmtId="0" fontId="26" fillId="0" borderId="53"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55" xfId="0" applyFont="1" applyBorder="1" applyAlignment="1">
      <alignment horizontal="center" vertical="center" wrapText="1"/>
    </xf>
    <xf numFmtId="0" fontId="21" fillId="2" borderId="34" xfId="0" applyFont="1" applyFill="1" applyBorder="1" applyAlignment="1">
      <alignment horizontal="center" vertical="center" wrapText="1"/>
    </xf>
    <xf numFmtId="0" fontId="6" fillId="19" borderId="56" xfId="0" applyFont="1" applyFill="1" applyBorder="1" applyAlignment="1">
      <alignment horizontal="center" vertical="center" wrapText="1"/>
    </xf>
    <xf numFmtId="0" fontId="26" fillId="0" borderId="56" xfId="0" applyFont="1" applyBorder="1" applyAlignment="1">
      <alignment horizontal="center" vertical="center" wrapText="1"/>
    </xf>
    <xf numFmtId="0" fontId="27" fillId="0" borderId="56" xfId="0" applyFont="1" applyBorder="1" applyAlignment="1">
      <alignment horizontal="center" vertical="center"/>
    </xf>
    <xf numFmtId="0" fontId="26" fillId="0" borderId="42" xfId="0" applyFont="1" applyBorder="1" applyAlignment="1">
      <alignment horizontal="center" vertical="center" wrapText="1"/>
    </xf>
    <xf numFmtId="0" fontId="28" fillId="0" borderId="0" xfId="0" applyFont="1" applyAlignment="1">
      <alignment horizontal="center" vertical="center"/>
    </xf>
    <xf numFmtId="0" fontId="21" fillId="2" borderId="31" xfId="0" applyFont="1" applyFill="1" applyBorder="1" applyAlignment="1">
      <alignment horizontal="center" vertical="center"/>
    </xf>
    <xf numFmtId="0" fontId="22" fillId="2" borderId="43" xfId="0" applyFont="1" applyFill="1" applyBorder="1" applyAlignment="1">
      <alignment horizontal="center" vertical="center"/>
    </xf>
    <xf numFmtId="0" fontId="6" fillId="10" borderId="37" xfId="0" applyFont="1" applyFill="1" applyBorder="1" applyAlignment="1">
      <alignment horizontal="center" vertical="center"/>
    </xf>
    <xf numFmtId="9" fontId="6" fillId="10" borderId="44" xfId="0" applyNumberFormat="1" applyFont="1" applyFill="1" applyBorder="1" applyAlignment="1">
      <alignment horizontal="center" vertical="center" wrapText="1"/>
    </xf>
    <xf numFmtId="0" fontId="6" fillId="10" borderId="44" xfId="0" applyFont="1" applyFill="1" applyBorder="1" applyAlignment="1">
      <alignment horizontal="center" vertical="center"/>
    </xf>
    <xf numFmtId="0" fontId="5" fillId="13" borderId="57" xfId="0" applyFont="1" applyFill="1" applyBorder="1" applyAlignment="1">
      <alignment horizontal="center" vertical="center" wrapText="1"/>
    </xf>
    <xf numFmtId="0" fontId="29" fillId="0" borderId="58" xfId="0" applyFont="1" applyBorder="1" applyAlignment="1">
      <alignment horizontal="center" vertical="center" wrapText="1"/>
    </xf>
    <xf numFmtId="0" fontId="23" fillId="0" borderId="58" xfId="0" applyFont="1" applyBorder="1" applyAlignment="1">
      <alignment horizontal="center" vertical="center" wrapText="1"/>
    </xf>
    <xf numFmtId="0" fontId="8" fillId="0" borderId="43" xfId="0" applyFont="1" applyBorder="1" applyAlignment="1">
      <alignment horizontal="center" vertical="center"/>
    </xf>
    <xf numFmtId="0" fontId="30" fillId="0" borderId="43" xfId="0" applyFont="1" applyBorder="1" applyAlignment="1">
      <alignment horizontal="center" vertical="center" wrapText="1"/>
    </xf>
    <xf numFmtId="0" fontId="30" fillId="0" borderId="58" xfId="0" applyFont="1" applyBorder="1" applyAlignment="1">
      <alignment horizontal="center" vertical="center" wrapText="1"/>
    </xf>
    <xf numFmtId="0" fontId="30" fillId="0" borderId="58" xfId="0" applyFont="1" applyBorder="1" applyAlignment="1">
      <alignment horizontal="left" vertical="center" wrapText="1"/>
    </xf>
    <xf numFmtId="0" fontId="5" fillId="13" borderId="38" xfId="0" applyFont="1" applyFill="1" applyBorder="1" applyAlignment="1">
      <alignment horizontal="center" vertical="center" wrapText="1"/>
    </xf>
    <xf numFmtId="0" fontId="29" fillId="0" borderId="16" xfId="0" applyFont="1" applyBorder="1" applyAlignment="1">
      <alignment horizontal="center" vertical="center" wrapText="1"/>
    </xf>
    <xf numFmtId="0" fontId="23" fillId="0" borderId="16"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6" xfId="0" applyFont="1" applyBorder="1" applyAlignment="1">
      <alignment horizontal="center" vertical="center" wrapText="1"/>
    </xf>
    <xf numFmtId="0" fontId="30" fillId="0" borderId="16" xfId="0" applyFont="1" applyBorder="1" applyAlignment="1">
      <alignment horizontal="left" vertical="center" wrapText="1"/>
    </xf>
    <xf numFmtId="0" fontId="23" fillId="0" borderId="1" xfId="0" applyFont="1" applyBorder="1" applyAlignment="1">
      <alignment horizontal="center" vertical="center" wrapText="1"/>
    </xf>
    <xf numFmtId="9" fontId="23" fillId="0" borderId="1" xfId="0" applyNumberFormat="1" applyFont="1" applyBorder="1" applyAlignment="1">
      <alignment horizontal="center" vertical="center" wrapText="1"/>
    </xf>
    <xf numFmtId="9" fontId="23" fillId="0" borderId="1" xfId="0" applyNumberFormat="1" applyFont="1" applyBorder="1" applyAlignment="1" applyProtection="1">
      <alignment horizontal="center" vertical="center" wrapText="1"/>
      <protection locked="0"/>
    </xf>
    <xf numFmtId="0" fontId="5" fillId="13" borderId="59" xfId="0" applyFont="1" applyFill="1" applyBorder="1" applyAlignment="1">
      <alignment horizontal="center" vertical="center" wrapText="1"/>
    </xf>
    <xf numFmtId="0" fontId="29" fillId="0" borderId="60" xfId="0" applyFont="1" applyBorder="1" applyAlignment="1">
      <alignment horizontal="center" vertical="center" wrapText="1"/>
    </xf>
    <xf numFmtId="0" fontId="23" fillId="0" borderId="60" xfId="0" applyFont="1" applyBorder="1" applyAlignment="1">
      <alignment horizontal="center" vertical="center" wrapText="1"/>
    </xf>
    <xf numFmtId="0" fontId="8" fillId="0" borderId="41" xfId="0" applyFont="1" applyBorder="1" applyAlignment="1">
      <alignment horizontal="center" vertical="center"/>
    </xf>
    <xf numFmtId="9" fontId="23" fillId="0" borderId="41" xfId="0" applyNumberFormat="1" applyFont="1" applyBorder="1" applyAlignment="1">
      <alignment horizontal="center" vertical="center" wrapText="1"/>
    </xf>
    <xf numFmtId="0" fontId="30" fillId="0" borderId="60" xfId="0" applyFont="1" applyBorder="1" applyAlignment="1">
      <alignment horizontal="left" vertical="center" wrapText="1"/>
    </xf>
    <xf numFmtId="0" fontId="5" fillId="17" borderId="57" xfId="0" applyFont="1" applyFill="1" applyBorder="1" applyAlignment="1">
      <alignment horizontal="center" vertical="center"/>
    </xf>
    <xf numFmtId="0" fontId="5" fillId="17" borderId="38" xfId="0" applyFont="1" applyFill="1" applyBorder="1" applyAlignment="1">
      <alignment horizontal="center" vertical="center"/>
    </xf>
    <xf numFmtId="0" fontId="5" fillId="17" borderId="59" xfId="0" applyFont="1" applyFill="1" applyBorder="1" applyAlignment="1">
      <alignment horizontal="center" vertical="center"/>
    </xf>
    <xf numFmtId="0" fontId="5" fillId="19" borderId="31" xfId="0" applyFont="1" applyFill="1" applyBorder="1" applyAlignment="1">
      <alignment horizontal="center" vertical="center" wrapText="1"/>
    </xf>
    <xf numFmtId="0" fontId="29" fillId="0" borderId="43"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43" xfId="0" applyFont="1" applyBorder="1" applyAlignment="1">
      <alignment horizontal="left" vertical="center" wrapText="1"/>
    </xf>
    <xf numFmtId="0" fontId="5" fillId="19" borderId="35" xfId="0" applyFont="1" applyFill="1" applyBorder="1" applyAlignment="1">
      <alignment horizontal="center" vertical="center" wrapText="1"/>
    </xf>
    <xf numFmtId="0" fontId="23" fillId="0" borderId="1" xfId="0" applyFont="1" applyBorder="1" applyAlignment="1">
      <alignment horizontal="left" vertical="center" wrapText="1"/>
    </xf>
    <xf numFmtId="0" fontId="5" fillId="19" borderId="40" xfId="0" applyFont="1" applyFill="1" applyBorder="1" applyAlignment="1">
      <alignment horizontal="center" vertical="center" wrapText="1"/>
    </xf>
    <xf numFmtId="0" fontId="23" fillId="0" borderId="41" xfId="0" applyFont="1" applyBorder="1" applyAlignment="1">
      <alignment horizontal="center" vertical="center" wrapText="1"/>
    </xf>
    <xf numFmtId="0" fontId="30" fillId="0" borderId="41" xfId="0" applyFont="1" applyBorder="1" applyAlignment="1">
      <alignment horizontal="center" vertical="center" wrapText="1"/>
    </xf>
    <xf numFmtId="0" fontId="23" fillId="0" borderId="41" xfId="0" applyFont="1" applyBorder="1" applyAlignment="1">
      <alignment horizontal="left" vertical="center" wrapText="1"/>
    </xf>
    <xf numFmtId="0" fontId="5" fillId="3" borderId="31"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8" fillId="0" borderId="44" xfId="0" applyFont="1" applyBorder="1" applyAlignment="1">
      <alignment horizontal="center" vertical="center"/>
    </xf>
    <xf numFmtId="0" fontId="30" fillId="0" borderId="44" xfId="0" applyFont="1" applyBorder="1" applyAlignment="1">
      <alignment horizontal="center" vertical="center" wrapText="1"/>
    </xf>
    <xf numFmtId="0" fontId="23" fillId="0" borderId="44" xfId="0" applyFont="1" applyBorder="1" applyAlignment="1">
      <alignment horizontal="left" vertical="center" wrapText="1"/>
    </xf>
    <xf numFmtId="0" fontId="5" fillId="26" borderId="57" xfId="0" applyFont="1" applyFill="1" applyBorder="1" applyAlignment="1">
      <alignment horizontal="center" vertical="center" wrapText="1"/>
    </xf>
    <xf numFmtId="0" fontId="5" fillId="26" borderId="38" xfId="0" applyFont="1" applyFill="1" applyBorder="1" applyAlignment="1">
      <alignment horizontal="center" vertical="center" wrapText="1"/>
    </xf>
    <xf numFmtId="0" fontId="23" fillId="0" borderId="1" xfId="0" applyFont="1" applyBorder="1" applyAlignment="1">
      <alignment horizontal="center" vertical="center"/>
    </xf>
    <xf numFmtId="0" fontId="5" fillId="26" borderId="61" xfId="0" applyFont="1" applyFill="1" applyBorder="1" applyAlignment="1">
      <alignment horizontal="center" vertical="center" wrapText="1"/>
    </xf>
    <xf numFmtId="0" fontId="23" fillId="0" borderId="41" xfId="0" applyFont="1" applyBorder="1" applyAlignment="1">
      <alignment horizontal="center" vertical="center"/>
    </xf>
    <xf numFmtId="0" fontId="22" fillId="2" borderId="62" xfId="0" applyFont="1" applyFill="1" applyBorder="1" applyAlignment="1">
      <alignment horizontal="center" vertical="center"/>
    </xf>
    <xf numFmtId="0" fontId="6" fillId="10" borderId="63" xfId="0" applyFont="1" applyFill="1" applyBorder="1" applyAlignment="1">
      <alignment horizontal="center" vertical="center"/>
    </xf>
    <xf numFmtId="0" fontId="8" fillId="0" borderId="58" xfId="0" applyFont="1" applyBorder="1" applyAlignment="1">
      <alignment horizontal="left" vertical="center" wrapText="1"/>
    </xf>
    <xf numFmtId="0" fontId="23" fillId="0" borderId="64" xfId="0" applyFont="1" applyBorder="1" applyAlignment="1">
      <alignment horizontal="left" vertical="center" wrapText="1"/>
    </xf>
    <xf numFmtId="0" fontId="8" fillId="0" borderId="16" xfId="0" applyFont="1" applyBorder="1" applyAlignment="1">
      <alignment horizontal="left" vertical="center" wrapText="1"/>
    </xf>
    <xf numFmtId="0" fontId="23" fillId="0" borderId="65" xfId="0" applyFont="1" applyBorder="1" applyAlignment="1">
      <alignment horizontal="left" vertical="center" wrapText="1"/>
    </xf>
    <xf numFmtId="0" fontId="8" fillId="0" borderId="60" xfId="0" applyFont="1" applyBorder="1" applyAlignment="1">
      <alignment horizontal="left" vertical="center" wrapText="1"/>
    </xf>
    <xf numFmtId="0" fontId="23" fillId="0" borderId="66" xfId="0" applyFont="1" applyBorder="1" applyAlignment="1">
      <alignment horizontal="left" vertical="center" wrapText="1"/>
    </xf>
    <xf numFmtId="0" fontId="23" fillId="0" borderId="62" xfId="0" applyFont="1" applyBorder="1" applyAlignment="1">
      <alignment horizontal="left" vertical="center" wrapText="1"/>
    </xf>
    <xf numFmtId="0" fontId="23" fillId="0" borderId="56" xfId="0" applyFont="1" applyBorder="1" applyAlignment="1">
      <alignment horizontal="left" vertical="center" wrapText="1"/>
    </xf>
    <xf numFmtId="0" fontId="23" fillId="0" borderId="42" xfId="0" applyFont="1" applyBorder="1" applyAlignment="1">
      <alignment horizontal="left" vertical="center" wrapText="1"/>
    </xf>
    <xf numFmtId="0" fontId="23" fillId="0" borderId="63" xfId="0" applyFont="1" applyBorder="1" applyAlignment="1">
      <alignment horizontal="left" vertical="center" wrapText="1"/>
    </xf>
    <xf numFmtId="0" fontId="8" fillId="0" borderId="43" xfId="0" applyFont="1" applyBorder="1" applyAlignment="1">
      <alignment vertical="center" wrapText="1"/>
    </xf>
    <xf numFmtId="0" fontId="8" fillId="0" borderId="62" xfId="0" applyFont="1" applyBorder="1" applyAlignment="1" applyProtection="1">
      <alignment horizontal="left" vertical="center" wrapText="1"/>
      <protection locked="0"/>
    </xf>
    <xf numFmtId="0" fontId="8" fillId="0" borderId="1" xfId="0" applyFont="1" applyBorder="1" applyAlignment="1">
      <alignment vertical="center" wrapText="1"/>
    </xf>
    <xf numFmtId="0" fontId="8" fillId="0" borderId="56" xfId="0" applyFont="1" applyBorder="1" applyAlignment="1" applyProtection="1">
      <alignment horizontal="left" vertical="center" wrapText="1"/>
      <protection locked="0"/>
    </xf>
    <xf numFmtId="0" fontId="8" fillId="0" borderId="41" xfId="0" applyFont="1" applyBorder="1" applyAlignment="1">
      <alignment vertical="center" wrapText="1"/>
    </xf>
    <xf numFmtId="0" fontId="8" fillId="0" borderId="42" xfId="0" applyFont="1" applyBorder="1" applyAlignment="1" applyProtection="1">
      <alignment horizontal="left" vertical="center" wrapText="1"/>
      <protection locked="0"/>
    </xf>
    <xf numFmtId="0" fontId="0" fillId="12" borderId="0" xfId="0" applyFill="1" applyAlignment="1"/>
    <xf numFmtId="0" fontId="31" fillId="12" borderId="0" xfId="0" applyFont="1" applyFill="1" applyAlignment="1">
      <alignment horizontal="center" vertical="center"/>
    </xf>
    <xf numFmtId="0" fontId="0" fillId="12" borderId="0" xfId="0" applyFill="1" applyAlignment="1">
      <alignment horizontal="left" vertical="center"/>
    </xf>
    <xf numFmtId="0" fontId="0" fillId="12" borderId="0" xfId="0" applyFill="1">
      <alignment vertical="center"/>
    </xf>
    <xf numFmtId="0" fontId="32" fillId="0" borderId="0" xfId="0" applyFont="1">
      <alignment vertical="center"/>
    </xf>
    <xf numFmtId="0" fontId="4" fillId="0" borderId="0" xfId="0" applyFont="1">
      <alignment vertical="center"/>
    </xf>
    <xf numFmtId="0" fontId="33" fillId="12" borderId="0" xfId="0" applyFont="1" applyFill="1" applyAlignment="1">
      <alignment horizontal="left" vertical="center"/>
    </xf>
    <xf numFmtId="0" fontId="3" fillId="12" borderId="0" xfId="0" applyFont="1" applyFill="1">
      <alignment vertical="center"/>
    </xf>
    <xf numFmtId="0" fontId="34" fillId="12" borderId="0" xfId="0" applyFont="1" applyFill="1">
      <alignment vertical="center"/>
    </xf>
    <xf numFmtId="0" fontId="34" fillId="12" borderId="0" xfId="0" applyFont="1" applyFill="1" applyAlignment="1">
      <alignment horizontal="left" vertical="center"/>
    </xf>
    <xf numFmtId="0" fontId="35" fillId="2" borderId="31" xfId="0" applyFont="1" applyFill="1" applyBorder="1" applyAlignment="1">
      <alignment horizontal="center" vertical="center" wrapText="1"/>
    </xf>
    <xf numFmtId="0" fontId="35" fillId="2" borderId="43" xfId="0" applyFont="1" applyFill="1" applyBorder="1" applyAlignment="1">
      <alignment horizontal="center" vertical="center" wrapText="1"/>
    </xf>
    <xf numFmtId="0" fontId="35" fillId="2" borderId="67" xfId="0" applyFont="1" applyFill="1" applyBorder="1" applyAlignment="1">
      <alignment horizontal="center" vertical="center" wrapText="1"/>
    </xf>
    <xf numFmtId="0" fontId="35" fillId="2" borderId="51" xfId="0" applyFont="1" applyFill="1" applyBorder="1" applyAlignment="1">
      <alignment horizontal="center" vertical="center" wrapText="1"/>
    </xf>
    <xf numFmtId="0" fontId="35" fillId="2" borderId="62" xfId="0" applyFont="1" applyFill="1" applyBorder="1" applyAlignment="1">
      <alignment horizontal="center" vertical="center" wrapText="1"/>
    </xf>
    <xf numFmtId="0" fontId="36" fillId="10" borderId="57" xfId="0" applyFont="1" applyFill="1" applyBorder="1" applyAlignment="1">
      <alignment vertical="center" wrapText="1"/>
    </xf>
    <xf numFmtId="0" fontId="37" fillId="0" borderId="43" xfId="0" applyFont="1" applyBorder="1" applyAlignment="1">
      <alignment horizontal="center" vertical="center" wrapText="1"/>
    </xf>
    <xf numFmtId="0" fontId="37" fillId="0" borderId="67" xfId="0" applyFont="1" applyBorder="1" applyAlignment="1">
      <alignment horizontal="center" vertical="center" wrapText="1"/>
    </xf>
    <xf numFmtId="0" fontId="37" fillId="0" borderId="51" xfId="0" applyFont="1" applyBorder="1" applyAlignment="1">
      <alignment horizontal="center" vertical="center" wrapText="1"/>
    </xf>
    <xf numFmtId="0" fontId="37" fillId="0" borderId="62" xfId="0" applyFont="1" applyBorder="1" applyAlignment="1">
      <alignment horizontal="center" vertical="center" wrapText="1"/>
    </xf>
    <xf numFmtId="0" fontId="37" fillId="0" borderId="35" xfId="0" applyFont="1" applyBorder="1" applyAlignment="1">
      <alignment vertical="center" wrapText="1"/>
    </xf>
    <xf numFmtId="0" fontId="37" fillId="0" borderId="45" xfId="0" applyFont="1" applyBorder="1" applyAlignment="1">
      <alignment horizontal="center" vertical="center" wrapText="1"/>
    </xf>
    <xf numFmtId="0" fontId="38" fillId="0" borderId="45" xfId="0" applyFont="1" applyBorder="1" applyAlignment="1">
      <alignment horizontal="center" vertical="center" wrapText="1"/>
    </xf>
    <xf numFmtId="0" fontId="37" fillId="0" borderId="68" xfId="0" applyFont="1" applyBorder="1" applyAlignment="1">
      <alignment horizontal="center" vertical="center" wrapText="1"/>
    </xf>
    <xf numFmtId="0" fontId="37" fillId="0" borderId="69" xfId="0" applyFont="1" applyBorder="1" applyAlignment="1">
      <alignment horizontal="center" vertical="center" wrapText="1"/>
    </xf>
    <xf numFmtId="0" fontId="36" fillId="10" borderId="35" xfId="0" applyFont="1" applyFill="1" applyBorder="1" applyAlignment="1">
      <alignment horizontal="left"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47" xfId="0" applyFont="1" applyBorder="1" applyAlignment="1">
      <alignment horizontal="center" vertical="center" wrapText="1"/>
    </xf>
    <xf numFmtId="0" fontId="40" fillId="0" borderId="52" xfId="0" applyFont="1" applyBorder="1" applyAlignment="1">
      <alignment horizontal="center" vertical="center" wrapText="1"/>
    </xf>
    <xf numFmtId="0" fontId="40" fillId="0" borderId="56" xfId="0" applyFont="1" applyBorder="1" applyAlignment="1">
      <alignment horizontal="center" vertical="center" wrapText="1"/>
    </xf>
    <xf numFmtId="0" fontId="40" fillId="0" borderId="44" xfId="0" applyFont="1" applyBorder="1" applyAlignment="1">
      <alignment horizontal="center" vertical="center" wrapText="1"/>
    </xf>
    <xf numFmtId="0" fontId="41" fillId="0" borderId="46" xfId="0" applyFont="1" applyBorder="1" applyAlignment="1">
      <alignment horizontal="center" vertical="center" wrapText="1"/>
    </xf>
    <xf numFmtId="0" fontId="41" fillId="0" borderId="70" xfId="0" applyFont="1" applyBorder="1" applyAlignment="1">
      <alignment horizontal="center" vertical="center" wrapText="1"/>
    </xf>
    <xf numFmtId="0" fontId="40" fillId="0" borderId="63" xfId="0" applyFont="1" applyBorder="1" applyAlignment="1">
      <alignment horizontal="center" vertical="center" wrapText="1"/>
    </xf>
    <xf numFmtId="0" fontId="36" fillId="25" borderId="71" xfId="0" applyFont="1" applyFill="1" applyBorder="1" applyAlignment="1">
      <alignment horizontal="center" vertical="center" wrapText="1"/>
    </xf>
    <xf numFmtId="0" fontId="40" fillId="27" borderId="47" xfId="0" applyFont="1" applyFill="1" applyBorder="1" applyAlignment="1">
      <alignment horizontal="center" vertical="center" wrapText="1"/>
    </xf>
    <xf numFmtId="0" fontId="40" fillId="27" borderId="52" xfId="0" applyFont="1" applyFill="1" applyBorder="1" applyAlignment="1">
      <alignment horizontal="center" vertical="center" wrapText="1"/>
    </xf>
    <xf numFmtId="0" fontId="40" fillId="27" borderId="36" xfId="0" applyFont="1" applyFill="1" applyBorder="1" applyAlignment="1">
      <alignment horizontal="center" vertical="center" wrapText="1"/>
    </xf>
    <xf numFmtId="0" fontId="36" fillId="28" borderId="35" xfId="0" applyFont="1" applyFill="1" applyBorder="1" applyAlignment="1">
      <alignment horizontal="center" vertical="center" wrapText="1"/>
    </xf>
    <xf numFmtId="0" fontId="38" fillId="29" borderId="16" xfId="0" applyFont="1" applyFill="1" applyBorder="1" applyAlignment="1">
      <alignment vertical="center" wrapText="1"/>
    </xf>
    <xf numFmtId="0" fontId="39" fillId="29" borderId="16" xfId="0" applyFont="1" applyFill="1" applyBorder="1" applyAlignment="1">
      <alignment horizontal="left" vertical="center" wrapText="1"/>
    </xf>
    <xf numFmtId="0" fontId="39" fillId="29" borderId="72" xfId="0" applyFont="1" applyFill="1" applyBorder="1" applyAlignment="1">
      <alignment horizontal="left" vertical="center" wrapText="1"/>
    </xf>
    <xf numFmtId="0" fontId="39" fillId="29" borderId="0" xfId="0" applyFont="1" applyFill="1" applyAlignment="1">
      <alignment horizontal="left" vertical="center" wrapText="1"/>
    </xf>
    <xf numFmtId="0" fontId="39" fillId="29" borderId="65" xfId="0" applyFont="1" applyFill="1" applyBorder="1" applyAlignment="1">
      <alignment horizontal="left" vertical="center" wrapText="1"/>
    </xf>
    <xf numFmtId="0" fontId="36" fillId="28" borderId="37" xfId="0" applyFont="1" applyFill="1" applyBorder="1" applyAlignment="1">
      <alignment horizontal="center" vertical="center" wrapText="1"/>
    </xf>
    <xf numFmtId="0" fontId="38" fillId="29" borderId="1" xfId="0" applyFont="1" applyFill="1" applyBorder="1" applyAlignment="1">
      <alignment horizontal="center" vertical="center" wrapText="1"/>
    </xf>
    <xf numFmtId="0" fontId="38" fillId="29" borderId="56" xfId="0" applyFont="1" applyFill="1" applyBorder="1" applyAlignment="1">
      <alignment horizontal="center" vertical="center" wrapText="1"/>
    </xf>
    <xf numFmtId="0" fontId="36" fillId="28" borderId="40" xfId="0" applyFont="1" applyFill="1" applyBorder="1" applyAlignment="1">
      <alignment horizontal="center" vertical="center" wrapText="1"/>
    </xf>
    <xf numFmtId="0" fontId="39" fillId="29" borderId="60" xfId="0" applyFont="1" applyFill="1" applyBorder="1" applyAlignment="1">
      <alignment horizontal="center" vertical="center" wrapText="1"/>
    </xf>
    <xf numFmtId="0" fontId="39" fillId="29" borderId="73" xfId="0" applyFont="1" applyFill="1" applyBorder="1" applyAlignment="1">
      <alignment horizontal="center" vertical="center" wrapText="1"/>
    </xf>
    <xf numFmtId="0" fontId="39" fillId="29" borderId="66" xfId="0" applyFont="1" applyFill="1" applyBorder="1" applyAlignment="1">
      <alignment horizontal="center" vertical="center" wrapText="1"/>
    </xf>
    <xf numFmtId="0" fontId="40" fillId="0" borderId="67" xfId="0" applyFont="1" applyBorder="1" applyAlignment="1">
      <alignment horizontal="center" vertical="center" wrapText="1"/>
    </xf>
    <xf numFmtId="0" fontId="40" fillId="0" borderId="51" xfId="0" applyFont="1" applyBorder="1" applyAlignment="1">
      <alignment horizontal="center" vertical="center" wrapText="1"/>
    </xf>
    <xf numFmtId="0" fontId="36" fillId="25" borderId="40" xfId="0" applyFont="1" applyFill="1" applyBorder="1" applyAlignment="1">
      <alignment horizontal="center" vertical="center" wrapText="1"/>
    </xf>
    <xf numFmtId="0" fontId="40" fillId="30" borderId="53" xfId="0" applyFont="1" applyFill="1" applyBorder="1" applyAlignment="1">
      <alignment horizontal="center" vertical="center" wrapText="1"/>
    </xf>
    <xf numFmtId="0" fontId="40" fillId="30" borderId="54" xfId="0" applyFont="1" applyFill="1" applyBorder="1" applyAlignment="1">
      <alignment horizontal="center" vertical="center" wrapText="1"/>
    </xf>
    <xf numFmtId="0" fontId="40" fillId="27" borderId="42" xfId="0" applyFont="1" applyFill="1" applyBorder="1" applyAlignment="1">
      <alignment horizontal="left" vertical="center" wrapText="1"/>
    </xf>
    <xf numFmtId="0" fontId="36" fillId="10" borderId="38" xfId="0" applyFont="1" applyFill="1" applyBorder="1" applyAlignment="1">
      <alignment horizontal="center" vertical="center" wrapText="1"/>
    </xf>
    <xf numFmtId="0" fontId="39" fillId="0" borderId="16" xfId="0" applyFont="1" applyBorder="1" applyAlignment="1">
      <alignment horizontal="left" vertical="center" wrapText="1"/>
    </xf>
    <xf numFmtId="0" fontId="42" fillId="0" borderId="16" xfId="0" applyFont="1" applyBorder="1" applyAlignment="1">
      <alignment horizontal="left" vertical="center" wrapText="1"/>
    </xf>
    <xf numFmtId="0" fontId="39" fillId="0" borderId="68" xfId="0" applyFont="1" applyBorder="1" applyAlignment="1">
      <alignment horizontal="left" vertical="center" wrapText="1"/>
    </xf>
    <xf numFmtId="0" fontId="39" fillId="0" borderId="74" xfId="0" applyFont="1" applyBorder="1" applyAlignment="1">
      <alignment horizontal="left" vertical="center" wrapText="1"/>
    </xf>
    <xf numFmtId="0" fontId="39" fillId="0" borderId="65" xfId="0" applyFont="1" applyBorder="1" applyAlignment="1">
      <alignment horizontal="left" vertical="center" wrapText="1"/>
    </xf>
    <xf numFmtId="0" fontId="39" fillId="0" borderId="72" xfId="0" applyFont="1" applyBorder="1" applyAlignment="1">
      <alignment horizontal="left" vertical="center" wrapText="1"/>
    </xf>
    <xf numFmtId="0" fontId="39" fillId="0" borderId="75" xfId="0" applyFont="1" applyBorder="1" applyAlignment="1">
      <alignment horizontal="left" vertical="center" wrapText="1"/>
    </xf>
    <xf numFmtId="0" fontId="39" fillId="27" borderId="41" xfId="0" applyFont="1" applyFill="1" applyBorder="1" applyAlignment="1">
      <alignment horizontal="left" vertical="center" wrapText="1"/>
    </xf>
    <xf numFmtId="0" fontId="40" fillId="30" borderId="55" xfId="0" applyFont="1" applyFill="1" applyBorder="1" applyAlignment="1">
      <alignment horizontal="center" vertical="center" wrapText="1"/>
    </xf>
    <xf numFmtId="0" fontId="39" fillId="27" borderId="42" xfId="0" applyFont="1" applyFill="1" applyBorder="1" applyAlignment="1">
      <alignment horizontal="left" vertical="center" wrapText="1"/>
    </xf>
    <xf numFmtId="0" fontId="36" fillId="10" borderId="61" xfId="0" applyFont="1" applyFill="1" applyBorder="1" applyAlignment="1">
      <alignment horizontal="left" vertical="center" wrapText="1"/>
    </xf>
    <xf numFmtId="0" fontId="40" fillId="0" borderId="45" xfId="0" applyFont="1" applyBorder="1" applyAlignment="1">
      <alignment horizontal="left" vertical="center" wrapText="1"/>
    </xf>
    <xf numFmtId="0" fontId="39" fillId="0" borderId="53" xfId="0" applyFont="1" applyBorder="1" applyAlignment="1">
      <alignment horizontal="center" vertical="center" wrapText="1"/>
    </xf>
    <xf numFmtId="0" fontId="39" fillId="0" borderId="54" xfId="0" applyFont="1" applyBorder="1" applyAlignment="1">
      <alignment horizontal="center" vertical="center" wrapText="1"/>
    </xf>
    <xf numFmtId="0" fontId="39" fillId="0" borderId="76" xfId="0" applyFont="1" applyBorder="1" applyAlignment="1">
      <alignment horizontal="center" vertical="center" wrapText="1"/>
    </xf>
    <xf numFmtId="0" fontId="36" fillId="25" borderId="38" xfId="0" applyFont="1" applyFill="1" applyBorder="1" applyAlignment="1">
      <alignment horizontal="center" vertical="center" wrapText="1"/>
    </xf>
    <xf numFmtId="0" fontId="40" fillId="27" borderId="75" xfId="0" applyFont="1" applyFill="1" applyBorder="1" applyAlignment="1">
      <alignment horizontal="left" vertical="center" wrapText="1"/>
    </xf>
    <xf numFmtId="0" fontId="39" fillId="30" borderId="44" xfId="0" applyFont="1" applyFill="1" applyBorder="1" applyAlignment="1">
      <alignment horizontal="center" vertical="center" wrapText="1"/>
    </xf>
    <xf numFmtId="0" fontId="39" fillId="30" borderId="46" xfId="0" applyFont="1" applyFill="1" applyBorder="1" applyAlignment="1">
      <alignment horizontal="center" vertical="center" wrapText="1"/>
    </xf>
    <xf numFmtId="0" fontId="39" fillId="30" borderId="49" xfId="0" applyFont="1" applyFill="1" applyBorder="1" applyAlignment="1">
      <alignment horizontal="center" vertical="center" wrapText="1"/>
    </xf>
    <xf numFmtId="0" fontId="39" fillId="30" borderId="63" xfId="0" applyFont="1" applyFill="1" applyBorder="1" applyAlignment="1">
      <alignment horizontal="center" vertical="center" wrapText="1"/>
    </xf>
    <xf numFmtId="0" fontId="40" fillId="0" borderId="41" xfId="0" applyFont="1" applyBorder="1" applyAlignment="1">
      <alignment horizontal="center" vertical="center" wrapText="1"/>
    </xf>
    <xf numFmtId="0" fontId="39" fillId="0" borderId="42" xfId="0" applyFont="1" applyBorder="1" applyAlignment="1">
      <alignment horizontal="center" vertical="center" wrapText="1"/>
    </xf>
    <xf numFmtId="0" fontId="3" fillId="12" borderId="0" xfId="0" applyFont="1" applyFill="1" applyAlignment="1">
      <alignment horizontal="left" vertical="center"/>
    </xf>
    <xf numFmtId="0" fontId="43" fillId="0" borderId="1" xfId="0" applyFont="1" applyBorder="1" applyAlignment="1">
      <alignment horizontal="center" vertical="center" wrapText="1"/>
    </xf>
    <xf numFmtId="0" fontId="40" fillId="0" borderId="48" xfId="0" applyFont="1" applyBorder="1" applyAlignment="1">
      <alignment horizontal="center" vertical="center" wrapText="1"/>
    </xf>
    <xf numFmtId="0" fontId="44" fillId="2" borderId="77" xfId="0" applyFont="1" applyFill="1" applyBorder="1" applyAlignment="1">
      <alignment horizontal="center" vertical="center" wrapText="1"/>
    </xf>
    <xf numFmtId="0" fontId="44" fillId="2" borderId="78" xfId="0" applyFont="1" applyFill="1" applyBorder="1" applyAlignment="1">
      <alignment horizontal="center" vertical="center" wrapText="1"/>
    </xf>
    <xf numFmtId="0" fontId="44" fillId="2" borderId="79" xfId="0" applyFont="1" applyFill="1" applyBorder="1" applyAlignment="1">
      <alignment horizontal="center" vertical="center" wrapText="1"/>
    </xf>
    <xf numFmtId="0" fontId="6" fillId="10" borderId="31" xfId="0" applyFont="1" applyFill="1" applyBorder="1" applyAlignment="1">
      <alignment horizontal="center" vertical="center" wrapText="1"/>
    </xf>
    <xf numFmtId="0" fontId="6" fillId="10" borderId="43" xfId="0" applyFont="1" applyFill="1" applyBorder="1" applyAlignment="1">
      <alignment horizontal="center" vertical="center" wrapText="1"/>
    </xf>
    <xf numFmtId="0" fontId="45" fillId="10" borderId="43" xfId="0" applyFont="1" applyFill="1" applyBorder="1" applyAlignment="1">
      <alignment horizontal="center" vertical="center" wrapText="1"/>
    </xf>
    <xf numFmtId="0" fontId="45" fillId="10" borderId="62" xfId="0" applyFont="1" applyFill="1" applyBorder="1" applyAlignment="1">
      <alignment horizontal="center" vertical="center" wrapText="1"/>
    </xf>
    <xf numFmtId="0" fontId="6" fillId="15" borderId="35" xfId="0" applyFont="1" applyFill="1" applyBorder="1" applyAlignment="1">
      <alignment horizontal="center" vertical="center" wrapText="1"/>
    </xf>
    <xf numFmtId="0" fontId="29"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56" xfId="0" applyFont="1" applyBorder="1" applyAlignment="1">
      <alignment horizontal="center" vertical="center"/>
    </xf>
    <xf numFmtId="0" fontId="9" fillId="0" borderId="1" xfId="0" applyFont="1" applyBorder="1" applyAlignment="1">
      <alignment horizontal="center" vertical="center"/>
    </xf>
    <xf numFmtId="0" fontId="6" fillId="17" borderId="35" xfId="0" applyFont="1" applyFill="1" applyBorder="1" applyAlignment="1">
      <alignment horizontal="center" vertical="center" wrapText="1"/>
    </xf>
    <xf numFmtId="0" fontId="1" fillId="0" borderId="1" xfId="0" applyFont="1" applyBorder="1" applyAlignment="1"/>
    <xf numFmtId="0" fontId="9" fillId="0" borderId="56" xfId="0" applyFont="1" applyBorder="1" applyAlignment="1">
      <alignment horizontal="center" vertical="center"/>
    </xf>
    <xf numFmtId="0" fontId="29" fillId="0" borderId="44" xfId="0" applyFont="1" applyBorder="1" applyAlignment="1">
      <alignment horizontal="center" vertical="center" wrapText="1"/>
    </xf>
    <xf numFmtId="0" fontId="8" fillId="0" borderId="44" xfId="0" applyFont="1" applyBorder="1" applyAlignment="1">
      <alignment horizontal="center" vertical="center" wrapText="1"/>
    </xf>
    <xf numFmtId="0" fontId="3" fillId="0" borderId="44" xfId="0" applyFont="1" applyBorder="1" applyAlignment="1">
      <alignment horizontal="center" vertical="center"/>
    </xf>
    <xf numFmtId="0" fontId="9" fillId="0" borderId="63" xfId="0" applyFont="1" applyBorder="1" applyAlignment="1">
      <alignment horizontal="center" vertical="center"/>
    </xf>
    <xf numFmtId="0" fontId="6" fillId="23" borderId="35" xfId="0" applyFont="1" applyFill="1" applyBorder="1" applyAlignment="1">
      <alignment horizontal="center" vertical="center" wrapText="1"/>
    </xf>
    <xf numFmtId="0" fontId="47" fillId="31" borderId="80" xfId="0" applyFont="1" applyFill="1" applyBorder="1" applyAlignment="1">
      <alignment horizontal="center" vertical="center" wrapText="1"/>
    </xf>
    <xf numFmtId="0" fontId="47" fillId="31" borderId="81" xfId="0" applyFont="1" applyFill="1" applyBorder="1" applyAlignment="1">
      <alignment horizontal="center" vertical="center" wrapText="1"/>
    </xf>
    <xf numFmtId="0" fontId="47" fillId="31" borderId="82" xfId="0" applyFont="1" applyFill="1" applyBorder="1" applyAlignment="1">
      <alignment horizontal="center" vertical="center" wrapText="1"/>
    </xf>
    <xf numFmtId="0" fontId="3" fillId="0" borderId="0" xfId="0" applyFont="1" applyAlignment="1">
      <alignment horizontal="center" vertical="center"/>
    </xf>
    <xf numFmtId="0" fontId="48" fillId="0" borderId="0" xfId="0" applyFont="1" applyAlignment="1">
      <alignment horizontal="center" vertical="center"/>
    </xf>
    <xf numFmtId="0" fontId="44" fillId="2" borderId="31" xfId="0" applyFont="1" applyFill="1" applyBorder="1" applyAlignment="1">
      <alignment horizontal="center" vertical="center" wrapText="1"/>
    </xf>
    <xf numFmtId="0" fontId="44" fillId="2" borderId="43" xfId="0" applyFont="1" applyFill="1" applyBorder="1" applyAlignment="1">
      <alignment horizontal="center" vertical="center" wrapText="1"/>
    </xf>
    <xf numFmtId="0" fontId="6" fillId="10" borderId="37" xfId="0" applyFont="1" applyFill="1" applyBorder="1" applyAlignment="1">
      <alignment horizontal="center" vertical="center" wrapText="1"/>
    </xf>
    <xf numFmtId="0" fontId="24" fillId="32" borderId="44"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6" fillId="19" borderId="31" xfId="0" applyFont="1" applyFill="1" applyBorder="1" applyAlignment="1">
      <alignment horizontal="center" vertical="center" wrapText="1"/>
    </xf>
    <xf numFmtId="0" fontId="29" fillId="0" borderId="43" xfId="0" applyFont="1" applyBorder="1" applyAlignment="1">
      <alignment horizontal="center" vertical="center"/>
    </xf>
    <xf numFmtId="0" fontId="23" fillId="0" borderId="43" xfId="0" applyFont="1" applyBorder="1" applyAlignment="1">
      <alignment horizontal="center" vertical="center"/>
    </xf>
    <xf numFmtId="0" fontId="8" fillId="0" borderId="43" xfId="0" applyFont="1" applyBorder="1" applyAlignment="1">
      <alignment horizontal="center" vertical="center" wrapText="1"/>
    </xf>
    <xf numFmtId="0" fontId="6" fillId="19" borderId="35" xfId="0" applyFont="1" applyFill="1" applyBorder="1" applyAlignment="1">
      <alignment horizontal="center" vertical="center" wrapText="1"/>
    </xf>
    <xf numFmtId="0" fontId="29" fillId="0" borderId="1" xfId="0" applyFont="1" applyBorder="1" applyAlignment="1">
      <alignment horizontal="center" vertical="center"/>
    </xf>
    <xf numFmtId="0" fontId="6" fillId="19" borderId="40" xfId="0" applyFont="1" applyFill="1" applyBorder="1" applyAlignment="1">
      <alignment horizontal="center" vertical="center" wrapText="1"/>
    </xf>
    <xf numFmtId="0" fontId="29" fillId="0" borderId="41" xfId="0" applyFont="1" applyBorder="1" applyAlignment="1">
      <alignment horizontal="center" vertical="center" wrapText="1"/>
    </xf>
    <xf numFmtId="0" fontId="6" fillId="13" borderId="57" xfId="0" applyFont="1" applyFill="1" applyBorder="1" applyAlignment="1">
      <alignment horizontal="center" vertical="center" wrapText="1"/>
    </xf>
    <xf numFmtId="0" fontId="6" fillId="13" borderId="38" xfId="0" applyFont="1" applyFill="1" applyBorder="1" applyAlignment="1">
      <alignment horizontal="center" vertical="center" wrapText="1"/>
    </xf>
    <xf numFmtId="0" fontId="6" fillId="13" borderId="59" xfId="0" applyFont="1" applyFill="1" applyBorder="1" applyAlignment="1">
      <alignment horizontal="center" vertical="center" wrapText="1"/>
    </xf>
    <xf numFmtId="0" fontId="6" fillId="15" borderId="57" xfId="0" applyFont="1" applyFill="1" applyBorder="1" applyAlignment="1">
      <alignment horizontal="center" vertical="center" wrapText="1"/>
    </xf>
    <xf numFmtId="0" fontId="6" fillId="15" borderId="38" xfId="0" applyFont="1" applyFill="1" applyBorder="1" applyAlignment="1">
      <alignment horizontal="center" vertical="center" wrapText="1"/>
    </xf>
    <xf numFmtId="0" fontId="29" fillId="0" borderId="45" xfId="0" applyFont="1" applyBorder="1" applyAlignment="1">
      <alignment horizontal="center" vertical="center" wrapText="1"/>
    </xf>
    <xf numFmtId="0" fontId="6" fillId="15" borderId="59" xfId="0" applyFont="1" applyFill="1" applyBorder="1" applyAlignment="1">
      <alignment horizontal="center" vertical="center" wrapText="1"/>
    </xf>
    <xf numFmtId="0" fontId="6" fillId="17" borderId="83" xfId="0" applyFont="1" applyFill="1" applyBorder="1" applyAlignment="1">
      <alignment horizontal="center" vertical="center" wrapText="1"/>
    </xf>
    <xf numFmtId="0" fontId="29" fillId="0" borderId="84" xfId="0" applyFont="1" applyBorder="1" applyAlignment="1">
      <alignment horizontal="center" vertical="center" wrapText="1"/>
    </xf>
    <xf numFmtId="0" fontId="6" fillId="17" borderId="85" xfId="0" applyFont="1" applyFill="1" applyBorder="1" applyAlignment="1">
      <alignment horizontal="center" vertical="center" wrapText="1"/>
    </xf>
    <xf numFmtId="0" fontId="29" fillId="0" borderId="49" xfId="0" applyFont="1" applyBorder="1" applyAlignment="1">
      <alignment horizontal="center" vertical="center" wrapText="1"/>
    </xf>
    <xf numFmtId="0" fontId="29" fillId="0" borderId="48" xfId="0" applyFont="1" applyBorder="1" applyAlignment="1">
      <alignment horizontal="center" vertical="center" wrapText="1"/>
    </xf>
    <xf numFmtId="0" fontId="6" fillId="17" borderId="80" xfId="0" applyFont="1" applyFill="1" applyBorder="1" applyAlignment="1">
      <alignment horizontal="center" vertical="center" wrapText="1"/>
    </xf>
    <xf numFmtId="0" fontId="29" fillId="0" borderId="55" xfId="0" applyFont="1" applyBorder="1" applyAlignment="1">
      <alignment horizontal="center" vertical="center" wrapText="1"/>
    </xf>
    <xf numFmtId="0" fontId="6" fillId="3" borderId="83" xfId="0" applyFont="1" applyFill="1" applyBorder="1" applyAlignment="1">
      <alignment horizontal="center" vertical="center" wrapText="1"/>
    </xf>
    <xf numFmtId="0" fontId="29" fillId="0" borderId="86" xfId="0" applyFont="1" applyBorder="1" applyAlignment="1">
      <alignment horizontal="center" vertical="center" wrapText="1"/>
    </xf>
    <xf numFmtId="0" fontId="20" fillId="0" borderId="43" xfId="0" applyFont="1" applyBorder="1" applyAlignment="1">
      <alignment horizontal="center" vertical="center" wrapText="1"/>
    </xf>
    <xf numFmtId="0" fontId="6" fillId="3" borderId="85" xfId="0" applyFont="1" applyFill="1" applyBorder="1" applyAlignment="1">
      <alignment horizontal="center" vertical="center" wrapText="1"/>
    </xf>
    <xf numFmtId="0" fontId="29" fillId="0" borderId="75" xfId="0" applyFont="1" applyBorder="1" applyAlignment="1">
      <alignment horizontal="center" vertical="center" wrapText="1"/>
    </xf>
    <xf numFmtId="0" fontId="20" fillId="0" borderId="1" xfId="0" applyFont="1" applyBorder="1" applyAlignment="1">
      <alignment horizontal="center" vertical="center" wrapText="1"/>
    </xf>
    <xf numFmtId="0" fontId="29" fillId="0" borderId="74" xfId="0" applyFont="1" applyBorder="1" applyAlignment="1">
      <alignment horizontal="center" vertical="center" wrapText="1"/>
    </xf>
    <xf numFmtId="0" fontId="23" fillId="0" borderId="45" xfId="0" applyFont="1" applyBorder="1" applyAlignment="1">
      <alignment horizontal="center" vertical="center" wrapText="1"/>
    </xf>
    <xf numFmtId="0" fontId="6" fillId="3" borderId="80" xfId="0" applyFont="1" applyFill="1" applyBorder="1" applyAlignment="1">
      <alignment horizontal="center" vertical="center" wrapText="1"/>
    </xf>
    <xf numFmtId="0" fontId="29" fillId="0" borderId="87" xfId="0" applyFont="1" applyBorder="1" applyAlignment="1">
      <alignment horizontal="center" vertical="center" wrapText="1"/>
    </xf>
    <xf numFmtId="0" fontId="20" fillId="0" borderId="41" xfId="0" applyFont="1" applyBorder="1" applyAlignment="1">
      <alignment horizontal="center" vertical="center" wrapText="1"/>
    </xf>
    <xf numFmtId="0" fontId="6" fillId="10" borderId="83" xfId="0" applyFont="1" applyFill="1" applyBorder="1" applyAlignment="1">
      <alignment horizontal="center" vertical="center" wrapText="1"/>
    </xf>
    <xf numFmtId="0" fontId="6" fillId="10" borderId="85" xfId="0" applyFont="1" applyFill="1" applyBorder="1" applyAlignment="1">
      <alignment horizontal="center" vertical="center" wrapText="1"/>
    </xf>
    <xf numFmtId="0" fontId="44" fillId="2" borderId="62" xfId="0" applyFont="1" applyFill="1" applyBorder="1" applyAlignment="1">
      <alignment horizontal="center" vertical="center" wrapText="1"/>
    </xf>
    <xf numFmtId="0" fontId="45" fillId="10" borderId="44" xfId="0" applyFont="1" applyFill="1" applyBorder="1" applyAlignment="1">
      <alignment horizontal="center" vertical="center" wrapText="1"/>
    </xf>
    <xf numFmtId="0" fontId="45" fillId="10" borderId="63" xfId="0" applyFont="1" applyFill="1" applyBorder="1" applyAlignment="1">
      <alignment horizontal="center" vertical="center" wrapText="1"/>
    </xf>
    <xf numFmtId="14" fontId="8" fillId="0" borderId="43" xfId="0" applyNumberFormat="1" applyFont="1" applyBorder="1" applyAlignment="1">
      <alignment horizontal="center" vertical="center" wrapText="1"/>
    </xf>
    <xf numFmtId="0" fontId="3" fillId="0" borderId="43" xfId="0" applyFont="1" applyBorder="1" applyAlignment="1">
      <alignment horizontal="center" vertical="center"/>
    </xf>
    <xf numFmtId="0" fontId="3" fillId="0" borderId="62" xfId="0" applyFont="1" applyBorder="1" applyAlignment="1">
      <alignment horizontal="center" vertical="center"/>
    </xf>
    <xf numFmtId="14" fontId="8" fillId="0" borderId="1" xfId="0" applyNumberFormat="1" applyFont="1" applyBorder="1" applyAlignment="1">
      <alignment horizontal="center" vertical="center" wrapText="1"/>
    </xf>
    <xf numFmtId="14" fontId="23" fillId="0" borderId="1" xfId="0" applyNumberFormat="1" applyFont="1" applyBorder="1" applyAlignment="1">
      <alignment horizontal="center" vertical="center" wrapText="1"/>
    </xf>
    <xf numFmtId="14" fontId="23" fillId="0" borderId="41" xfId="0" applyNumberFormat="1" applyFont="1" applyBorder="1" applyAlignment="1">
      <alignment horizontal="center" vertical="center" wrapText="1"/>
    </xf>
    <xf numFmtId="0" fontId="8" fillId="0" borderId="41" xfId="0" applyFont="1" applyBorder="1" applyAlignment="1">
      <alignment horizontal="center" vertical="center" wrapText="1"/>
    </xf>
    <xf numFmtId="0" fontId="3" fillId="0" borderId="41" xfId="0" applyFont="1" applyBorder="1" applyAlignment="1">
      <alignment horizontal="center" vertical="center"/>
    </xf>
    <xf numFmtId="0" fontId="3" fillId="0" borderId="42" xfId="0" applyFont="1" applyBorder="1" applyAlignment="1">
      <alignment horizontal="center" vertical="center"/>
    </xf>
    <xf numFmtId="14" fontId="23" fillId="0" borderId="43" xfId="0" applyNumberFormat="1" applyFont="1" applyBorder="1" applyAlignment="1">
      <alignment horizontal="center" vertical="center" wrapText="1"/>
    </xf>
    <xf numFmtId="0" fontId="3" fillId="0" borderId="63" xfId="0" applyFont="1" applyBorder="1" applyAlignment="1">
      <alignment horizontal="center" vertical="center"/>
    </xf>
    <xf numFmtId="0" fontId="3" fillId="0" borderId="45" xfId="0" applyFont="1" applyBorder="1" applyAlignment="1">
      <alignment horizontal="center" vertical="center"/>
    </xf>
    <xf numFmtId="0" fontId="3" fillId="0" borderId="69" xfId="0" applyFont="1" applyBorder="1" applyAlignment="1">
      <alignment horizontal="center" vertical="center"/>
    </xf>
    <xf numFmtId="0" fontId="3" fillId="0" borderId="16" xfId="0" applyFont="1" applyBorder="1" applyAlignment="1">
      <alignment horizontal="center" vertical="center"/>
    </xf>
    <xf numFmtId="0" fontId="3" fillId="0" borderId="65" xfId="0" applyFont="1" applyBorder="1" applyAlignment="1">
      <alignment horizontal="center" vertical="center"/>
    </xf>
    <xf numFmtId="14" fontId="23" fillId="0" borderId="44" xfId="0" applyNumberFormat="1" applyFont="1" applyBorder="1" applyAlignment="1">
      <alignment horizontal="center" vertical="center" wrapText="1"/>
    </xf>
    <xf numFmtId="14" fontId="23" fillId="0" borderId="16" xfId="0" applyNumberFormat="1" applyFont="1" applyBorder="1" applyAlignment="1">
      <alignment horizontal="center" vertical="center" wrapText="1"/>
    </xf>
    <xf numFmtId="14" fontId="23" fillId="0" borderId="45" xfId="0" applyNumberFormat="1" applyFont="1" applyBorder="1" applyAlignment="1">
      <alignment horizontal="center" vertical="center" wrapText="1"/>
    </xf>
    <xf numFmtId="14" fontId="20" fillId="0" borderId="67" xfId="0" applyNumberFormat="1" applyFont="1" applyBorder="1" applyAlignment="1">
      <alignment horizontal="center" vertical="center" wrapText="1"/>
    </xf>
    <xf numFmtId="0" fontId="3" fillId="0" borderId="58" xfId="0" applyFont="1" applyBorder="1" applyAlignment="1">
      <alignment horizontal="center" vertical="center"/>
    </xf>
    <xf numFmtId="0" fontId="3" fillId="0" borderId="64" xfId="0" applyFont="1" applyBorder="1" applyAlignment="1">
      <alignment horizontal="center" vertical="center"/>
    </xf>
    <xf numFmtId="14" fontId="20" fillId="0" borderId="47" xfId="0" applyNumberFormat="1" applyFont="1" applyBorder="1" applyAlignment="1">
      <alignment horizontal="center" vertical="center" wrapText="1"/>
    </xf>
    <xf numFmtId="14" fontId="20" fillId="0" borderId="1" xfId="0" applyNumberFormat="1" applyFont="1" applyBorder="1" applyAlignment="1">
      <alignment horizontal="center" vertical="center" wrapText="1"/>
    </xf>
    <xf numFmtId="0" fontId="3" fillId="0" borderId="75" xfId="0" applyFont="1" applyBorder="1" applyAlignment="1">
      <alignment horizontal="center" vertical="center"/>
    </xf>
    <xf numFmtId="14" fontId="20" fillId="0" borderId="53" xfId="0" applyNumberFormat="1" applyFont="1" applyBorder="1" applyAlignment="1">
      <alignment horizontal="center" vertical="center" wrapText="1"/>
    </xf>
    <xf numFmtId="0" fontId="3" fillId="0" borderId="87" xfId="0" applyFont="1" applyBorder="1" applyAlignment="1">
      <alignment horizontal="center" vertical="center"/>
    </xf>
    <xf numFmtId="0" fontId="3" fillId="0" borderId="66" xfId="0" applyFont="1" applyBorder="1" applyAlignment="1">
      <alignment horizontal="center" vertical="center"/>
    </xf>
    <xf numFmtId="0" fontId="3" fillId="0" borderId="84" xfId="0" applyFont="1" applyBorder="1" applyAlignment="1">
      <alignment horizontal="center" vertical="center"/>
    </xf>
    <xf numFmtId="0" fontId="3" fillId="0" borderId="49" xfId="0" applyFont="1" applyBorder="1" applyAlignment="1">
      <alignment horizontal="center" vertical="center"/>
    </xf>
    <xf numFmtId="0" fontId="3" fillId="0" borderId="74" xfId="0" applyFont="1" applyBorder="1" applyAlignment="1">
      <alignment horizontal="center" vertical="center"/>
    </xf>
    <xf numFmtId="0" fontId="6" fillId="10" borderId="80" xfId="0" applyFont="1" applyFill="1" applyBorder="1" applyAlignment="1">
      <alignment horizontal="center" vertical="center" wrapText="1"/>
    </xf>
    <xf numFmtId="14" fontId="20" fillId="0" borderId="72" xfId="0" applyNumberFormat="1" applyFont="1" applyBorder="1" applyAlignment="1">
      <alignment horizontal="center" vertical="center" wrapText="1"/>
    </xf>
    <xf numFmtId="0" fontId="3" fillId="0" borderId="48" xfId="0" applyFont="1" applyBorder="1" applyAlignment="1">
      <alignment horizontal="center" vertical="center"/>
    </xf>
    <xf numFmtId="14" fontId="20" fillId="0" borderId="68" xfId="0" applyNumberFormat="1" applyFont="1" applyBorder="1" applyAlignment="1">
      <alignment horizontal="center" vertical="center" wrapText="1"/>
    </xf>
    <xf numFmtId="14" fontId="23" fillId="0" borderId="47" xfId="0" applyNumberFormat="1" applyFont="1" applyBorder="1" applyAlignment="1">
      <alignment horizontal="center" vertical="center" wrapText="1"/>
    </xf>
    <xf numFmtId="14" fontId="23" fillId="0" borderId="46" xfId="0" applyNumberFormat="1" applyFont="1" applyBorder="1" applyAlignment="1">
      <alignment horizontal="center" vertical="center" wrapText="1"/>
    </xf>
    <xf numFmtId="14" fontId="23" fillId="0" borderId="53" xfId="0" applyNumberFormat="1" applyFont="1" applyBorder="1" applyAlignment="1">
      <alignment horizontal="center" vertical="center" wrapText="1"/>
    </xf>
    <xf numFmtId="0" fontId="1" fillId="0" borderId="0" xfId="0" applyFont="1">
      <alignment vertical="center"/>
    </xf>
    <xf numFmtId="0" fontId="2" fillId="0" borderId="0" xfId="0" applyFont="1">
      <alignment vertical="center"/>
    </xf>
    <xf numFmtId="0" fontId="44" fillId="2" borderId="31" xfId="0" applyFont="1" applyFill="1" applyBorder="1" applyAlignment="1">
      <alignment horizontal="center" vertical="center"/>
    </xf>
    <xf numFmtId="0" fontId="44" fillId="2" borderId="43" xfId="0" applyFont="1" applyFill="1" applyBorder="1" applyAlignment="1">
      <alignment horizontal="center" vertical="center"/>
    </xf>
    <xf numFmtId="0" fontId="45" fillId="10" borderId="35" xfId="0" applyFont="1" applyFill="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xf>
    <xf numFmtId="0" fontId="5" fillId="10" borderId="37" xfId="0" applyFont="1" applyFill="1" applyBorder="1" applyAlignment="1">
      <alignment horizontal="center" vertical="center" textRotation="255" wrapText="1"/>
    </xf>
    <xf numFmtId="0" fontId="49" fillId="0" borderId="1" xfId="0" applyFont="1" applyBorder="1" applyAlignment="1">
      <alignment horizontal="center" vertical="center" wrapText="1"/>
    </xf>
    <xf numFmtId="0" fontId="3" fillId="0" borderId="1" xfId="0" applyFont="1" applyBorder="1" applyAlignment="1">
      <alignment horizontal="center"/>
    </xf>
    <xf numFmtId="0" fontId="5" fillId="10" borderId="38" xfId="0" applyFont="1" applyFill="1" applyBorder="1" applyAlignment="1">
      <alignment horizontal="center" vertical="center" textRotation="255" wrapText="1"/>
    </xf>
    <xf numFmtId="0" fontId="9" fillId="0" borderId="1" xfId="0" applyFont="1" applyBorder="1" applyAlignment="1">
      <alignment horizontal="center"/>
    </xf>
    <xf numFmtId="0" fontId="9" fillId="0" borderId="0" xfId="0" applyFont="1" applyAlignment="1">
      <alignment horizontal="center" vertical="center"/>
    </xf>
    <xf numFmtId="0" fontId="25" fillId="10" borderId="1" xfId="0" applyFont="1" applyFill="1" applyBorder="1" applyAlignment="1">
      <alignment horizontal="center" vertical="center" wrapText="1"/>
    </xf>
    <xf numFmtId="0" fontId="5" fillId="10" borderId="61" xfId="0" applyFont="1" applyFill="1" applyBorder="1" applyAlignment="1">
      <alignment horizontal="center" vertical="center" textRotation="255" wrapText="1"/>
    </xf>
    <xf numFmtId="0" fontId="5" fillId="3" borderId="37" xfId="0" applyFont="1" applyFill="1" applyBorder="1" applyAlignment="1">
      <alignment horizontal="center" vertical="center" textRotation="255"/>
    </xf>
    <xf numFmtId="0" fontId="25" fillId="10" borderId="1" xfId="0" applyFont="1" applyFill="1" applyBorder="1" applyAlignment="1">
      <alignment horizontal="center"/>
    </xf>
    <xf numFmtId="0" fontId="5" fillId="3" borderId="38" xfId="0" applyFont="1" applyFill="1" applyBorder="1" applyAlignment="1">
      <alignment horizontal="center" vertical="center" textRotation="255"/>
    </xf>
    <xf numFmtId="0" fontId="50" fillId="0" borderId="1" xfId="0" applyFont="1" applyBorder="1" applyAlignment="1">
      <alignment horizontal="center"/>
    </xf>
    <xf numFmtId="0" fontId="44" fillId="2" borderId="62" xfId="0" applyFont="1" applyFill="1" applyBorder="1" applyAlignment="1">
      <alignment horizontal="center" vertical="center"/>
    </xf>
    <xf numFmtId="0" fontId="51" fillId="2" borderId="88" xfId="0" applyFont="1" applyFill="1" applyBorder="1" applyAlignment="1">
      <alignment horizontal="center" vertical="center"/>
    </xf>
    <xf numFmtId="0" fontId="52" fillId="2" borderId="89" xfId="0" applyFont="1" applyFill="1" applyBorder="1" applyAlignment="1">
      <alignment horizontal="center" vertical="center"/>
    </xf>
    <xf numFmtId="0" fontId="45" fillId="10" borderId="56" xfId="0" applyFont="1" applyFill="1" applyBorder="1" applyAlignment="1">
      <alignment horizontal="center" vertical="center" wrapText="1"/>
    </xf>
    <xf numFmtId="0" fontId="45" fillId="10" borderId="88" xfId="0" applyFont="1" applyFill="1" applyBorder="1" applyAlignment="1">
      <alignment horizontal="center" vertical="center" wrapText="1"/>
    </xf>
    <xf numFmtId="0" fontId="45" fillId="10" borderId="89" xfId="0" applyFont="1" applyFill="1" applyBorder="1" applyAlignment="1">
      <alignment horizontal="center" vertical="center" wrapText="1"/>
    </xf>
    <xf numFmtId="0" fontId="9" fillId="0" borderId="56"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45" xfId="0" applyFont="1" applyBorder="1" applyAlignment="1">
      <alignment horizontal="center" vertical="center" wrapText="1"/>
    </xf>
    <xf numFmtId="0" fontId="9" fillId="0" borderId="56" xfId="0" applyFont="1" applyBorder="1" applyAlignment="1">
      <alignment horizontal="center"/>
    </xf>
    <xf numFmtId="0" fontId="9" fillId="0" borderId="35" xfId="0" applyFont="1" applyBorder="1" applyAlignment="1">
      <alignment horizontal="center" vertical="center" wrapText="1"/>
    </xf>
    <xf numFmtId="0" fontId="9" fillId="0" borderId="35" xfId="0" applyFont="1" applyBorder="1" applyAlignment="1">
      <alignment horizontal="left" vertical="center" wrapText="1"/>
    </xf>
    <xf numFmtId="0" fontId="9" fillId="0" borderId="40" xfId="0" applyFont="1" applyBorder="1" applyAlignment="1">
      <alignment horizontal="left" vertical="center" wrapText="1"/>
    </xf>
    <xf numFmtId="0" fontId="9" fillId="0" borderId="41" xfId="0" applyFont="1" applyBorder="1" applyAlignment="1">
      <alignment horizontal="center" vertical="center" wrapText="1"/>
    </xf>
    <xf numFmtId="0" fontId="9" fillId="0" borderId="44" xfId="0" applyFont="1" applyBorder="1" applyAlignment="1">
      <alignment horizontal="center" vertical="center"/>
    </xf>
    <xf numFmtId="0" fontId="44" fillId="0" borderId="0" xfId="0" applyFont="1" applyAlignment="1">
      <alignment horizontal="center" vertical="center"/>
    </xf>
    <xf numFmtId="0" fontId="44" fillId="2" borderId="83" xfId="0" applyFont="1" applyFill="1" applyBorder="1" applyAlignment="1">
      <alignment horizontal="center" vertical="center"/>
    </xf>
    <xf numFmtId="0" fontId="44" fillId="2" borderId="90" xfId="0" applyFont="1" applyFill="1" applyBorder="1" applyAlignment="1">
      <alignment horizontal="center" vertical="center"/>
    </xf>
    <xf numFmtId="0" fontId="45" fillId="10" borderId="31" xfId="0" applyFont="1" applyFill="1" applyBorder="1" applyAlignment="1">
      <alignment horizontal="center" vertical="center" wrapText="1"/>
    </xf>
    <xf numFmtId="0" fontId="25" fillId="10" borderId="56" xfId="0" applyFont="1" applyFill="1" applyBorder="1" applyAlignment="1">
      <alignment horizontal="center" vertical="center" wrapText="1"/>
    </xf>
    <xf numFmtId="0" fontId="9" fillId="0" borderId="0" xfId="0" applyFont="1" applyAlignment="1">
      <alignment horizontal="center" vertical="center" wrapText="1"/>
    </xf>
    <xf numFmtId="0" fontId="3" fillId="0" borderId="44" xfId="0" applyFont="1" applyBorder="1" applyAlignment="1">
      <alignment horizontal="center" vertical="center" wrapText="1"/>
    </xf>
    <xf numFmtId="0" fontId="44" fillId="2" borderId="77" xfId="0" applyFont="1" applyFill="1" applyBorder="1" applyAlignment="1">
      <alignment horizontal="center" vertical="center"/>
    </xf>
    <xf numFmtId="0" fontId="44" fillId="2" borderId="78" xfId="0" applyFont="1" applyFill="1" applyBorder="1" applyAlignment="1">
      <alignment horizontal="center" vertical="center"/>
    </xf>
    <xf numFmtId="0" fontId="3" fillId="0" borderId="16" xfId="0" applyFont="1" applyBorder="1" applyAlignment="1">
      <alignment horizontal="center" vertical="center" wrapText="1"/>
    </xf>
    <xf numFmtId="0" fontId="45" fillId="10" borderId="61" xfId="0" applyFont="1" applyFill="1" applyBorder="1" applyAlignment="1">
      <alignment horizontal="center" vertical="center" wrapText="1"/>
    </xf>
    <xf numFmtId="0" fontId="45" fillId="10" borderId="45" xfId="0" applyFont="1" applyFill="1" applyBorder="1" applyAlignment="1">
      <alignment horizontal="center" vertical="center" wrapText="1"/>
    </xf>
    <xf numFmtId="0" fontId="1" fillId="0" borderId="3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1" xfId="0" applyFont="1" applyBorder="1" applyAlignment="1">
      <alignment horizontal="left" vertical="center" wrapText="1"/>
    </xf>
    <xf numFmtId="0" fontId="53" fillId="0" borderId="0" xfId="0" applyFont="1" applyAlignment="1">
      <alignment horizontal="center" vertical="center" wrapText="1"/>
    </xf>
    <xf numFmtId="0" fontId="53" fillId="0" borderId="0" xfId="0" applyFont="1" applyAlignment="1">
      <alignment horizontal="left" vertical="center" wrapText="1"/>
    </xf>
    <xf numFmtId="0" fontId="3" fillId="0" borderId="45" xfId="0" applyFont="1" applyBorder="1" applyAlignment="1">
      <alignment horizontal="center" vertical="center" wrapText="1"/>
    </xf>
    <xf numFmtId="0" fontId="52" fillId="2" borderId="91" xfId="0" applyFont="1" applyFill="1" applyBorder="1" applyAlignment="1">
      <alignment horizontal="center" vertical="center"/>
    </xf>
    <xf numFmtId="0" fontId="45" fillId="10" borderId="91" xfId="0" applyFont="1" applyFill="1" applyBorder="1" applyAlignment="1">
      <alignment horizontal="center" vertical="center" wrapText="1"/>
    </xf>
    <xf numFmtId="0" fontId="9" fillId="0" borderId="69" xfId="0" applyFont="1" applyBorder="1" applyAlignment="1">
      <alignment horizontal="left" vertical="center" wrapText="1"/>
    </xf>
    <xf numFmtId="0" fontId="9" fillId="0" borderId="56" xfId="0" applyFont="1" applyBorder="1" applyAlignment="1">
      <alignment horizontal="left" vertical="center" wrapText="1"/>
    </xf>
    <xf numFmtId="0" fontId="9" fillId="0" borderId="42" xfId="0" applyFont="1" applyBorder="1" applyAlignment="1">
      <alignment horizontal="left" vertical="center" wrapText="1"/>
    </xf>
    <xf numFmtId="0" fontId="44" fillId="2" borderId="92" xfId="0" applyFont="1" applyFill="1" applyBorder="1" applyAlignment="1">
      <alignment horizontal="center" vertical="center"/>
    </xf>
    <xf numFmtId="0" fontId="54" fillId="0" borderId="56" xfId="0" applyFont="1" applyBorder="1" applyAlignment="1">
      <alignment horizontal="left" vertical="center" wrapText="1"/>
    </xf>
    <xf numFmtId="0" fontId="54" fillId="0" borderId="42" xfId="0" applyFont="1" applyBorder="1" applyAlignment="1">
      <alignment horizontal="left" vertical="center" wrapText="1"/>
    </xf>
    <xf numFmtId="0" fontId="44" fillId="2" borderId="79" xfId="0" applyFont="1" applyFill="1" applyBorder="1" applyAlignment="1">
      <alignment horizontal="center" vertical="center"/>
    </xf>
    <xf numFmtId="0" fontId="45" fillId="10" borderId="69" xfId="0" applyFont="1" applyFill="1" applyBorder="1" applyAlignment="1">
      <alignment horizontal="center" vertical="center" wrapText="1"/>
    </xf>
    <xf numFmtId="0" fontId="1" fillId="0" borderId="56" xfId="0" applyFont="1" applyBorder="1" applyAlignment="1">
      <alignment horizontal="left" vertical="center" wrapText="1"/>
    </xf>
    <xf numFmtId="0" fontId="1" fillId="0" borderId="42" xfId="0" applyFont="1" applyBorder="1" applyAlignment="1">
      <alignment horizontal="left" vertical="center" wrapText="1"/>
    </xf>
    <xf numFmtId="0" fontId="25" fillId="10" borderId="47" xfId="0" applyFont="1" applyFill="1" applyBorder="1" applyAlignment="1">
      <alignment horizontal="center" vertical="center" wrapText="1"/>
    </xf>
    <xf numFmtId="0" fontId="25" fillId="10" borderId="52" xfId="0" applyFont="1" applyFill="1" applyBorder="1" applyAlignment="1">
      <alignment horizontal="center" vertical="center" wrapText="1"/>
    </xf>
    <xf numFmtId="0" fontId="25" fillId="10" borderId="48" xfId="0" applyFont="1" applyFill="1" applyBorder="1" applyAlignment="1">
      <alignment horizontal="center" vertical="center" wrapText="1"/>
    </xf>
    <xf numFmtId="0" fontId="9" fillId="0" borderId="47" xfId="0" applyFont="1" applyBorder="1" applyAlignment="1">
      <alignment horizontal="center" vertical="center"/>
    </xf>
    <xf numFmtId="0" fontId="9" fillId="0" borderId="52" xfId="0" applyFont="1" applyBorder="1" applyAlignment="1">
      <alignment horizontal="center" vertical="center"/>
    </xf>
    <xf numFmtId="0" fontId="9" fillId="0" borderId="48" xfId="0" applyFont="1" applyBorder="1" applyAlignment="1">
      <alignment horizontal="center" vertical="center"/>
    </xf>
    <xf numFmtId="0" fontId="49" fillId="0" borderId="44"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6" xfId="0" applyFont="1" applyBorder="1" applyAlignment="1">
      <alignment horizontal="center" vertical="center"/>
    </xf>
    <xf numFmtId="0" fontId="9" fillId="0" borderId="70" xfId="0" applyFont="1" applyBorder="1" applyAlignment="1">
      <alignment horizontal="center" vertical="center"/>
    </xf>
    <xf numFmtId="0" fontId="9" fillId="0" borderId="49" xfId="0" applyFont="1" applyBorder="1" applyAlignment="1">
      <alignment horizontal="center" vertical="center"/>
    </xf>
    <xf numFmtId="0" fontId="5" fillId="13" borderId="57" xfId="0" applyFont="1" applyFill="1" applyBorder="1" applyAlignment="1">
      <alignment horizontal="center" vertical="center" textRotation="255"/>
    </xf>
    <xf numFmtId="0" fontId="25" fillId="10" borderId="43" xfId="0" applyFont="1" applyFill="1" applyBorder="1" applyAlignment="1">
      <alignment horizontal="center" vertical="center" wrapText="1"/>
    </xf>
    <xf numFmtId="0" fontId="25" fillId="10" borderId="43" xfId="0" applyFont="1" applyFill="1" applyBorder="1" applyAlignment="1">
      <alignment horizontal="center"/>
    </xf>
    <xf numFmtId="0" fontId="5" fillId="13" borderId="38" xfId="0" applyFont="1" applyFill="1" applyBorder="1" applyAlignment="1">
      <alignment horizontal="center" vertical="center" textRotation="255"/>
    </xf>
    <xf numFmtId="3" fontId="9" fillId="0" borderId="1" xfId="0" applyNumberFormat="1" applyFont="1" applyBorder="1" applyAlignment="1">
      <alignment horizontal="center" vertical="center" wrapText="1"/>
    </xf>
    <xf numFmtId="176" fontId="9" fillId="0" borderId="1" xfId="0" applyNumberFormat="1" applyFont="1" applyBorder="1" applyAlignment="1">
      <alignment horizontal="center" vertical="center" wrapText="1"/>
    </xf>
    <xf numFmtId="176" fontId="9" fillId="0" borderId="44" xfId="0" applyNumberFormat="1" applyFont="1" applyBorder="1" applyAlignment="1">
      <alignment horizontal="center" vertical="center" wrapText="1"/>
    </xf>
    <xf numFmtId="0" fontId="49" fillId="0" borderId="45" xfId="0" applyFont="1" applyBorder="1" applyAlignment="1">
      <alignment horizontal="center" vertical="center" wrapText="1"/>
    </xf>
    <xf numFmtId="176" fontId="9" fillId="0" borderId="45" xfId="0" applyNumberFormat="1" applyFont="1" applyBorder="1" applyAlignment="1">
      <alignment horizontal="center" vertical="center" wrapText="1"/>
    </xf>
    <xf numFmtId="3" fontId="25" fillId="10" borderId="1" xfId="0" applyNumberFormat="1" applyFont="1" applyFill="1" applyBorder="1" applyAlignment="1">
      <alignment horizontal="center" vertical="center" wrapText="1"/>
    </xf>
    <xf numFmtId="176" fontId="25" fillId="10" borderId="1" xfId="0" applyNumberFormat="1" applyFont="1" applyFill="1" applyBorder="1" applyAlignment="1">
      <alignment horizontal="center" vertical="center" wrapText="1"/>
    </xf>
    <xf numFmtId="0" fontId="25" fillId="10" borderId="62" xfId="0" applyFont="1" applyFill="1" applyBorder="1" applyAlignment="1">
      <alignment horizontal="center" vertical="center" wrapText="1"/>
    </xf>
    <xf numFmtId="0" fontId="9" fillId="0" borderId="16" xfId="0" applyFont="1" applyBorder="1" applyAlignment="1">
      <alignment horizontal="center" vertical="center" wrapText="1"/>
    </xf>
    <xf numFmtId="0" fontId="5" fillId="13" borderId="59" xfId="0" applyFont="1" applyFill="1" applyBorder="1" applyAlignment="1">
      <alignment horizontal="center" vertical="center" textRotation="255"/>
    </xf>
    <xf numFmtId="0" fontId="49" fillId="0" borderId="41" xfId="0" applyFont="1" applyBorder="1" applyAlignment="1">
      <alignment horizontal="center" vertical="center" wrapText="1"/>
    </xf>
    <xf numFmtId="0" fontId="9" fillId="0" borderId="53" xfId="0" applyFont="1" applyBorder="1" applyAlignment="1">
      <alignment horizontal="center" vertical="center" wrapText="1"/>
    </xf>
    <xf numFmtId="0" fontId="9" fillId="0" borderId="54" xfId="0" applyFont="1" applyBorder="1" applyAlignment="1">
      <alignment horizontal="center" vertical="center" wrapText="1"/>
    </xf>
    <xf numFmtId="0" fontId="9" fillId="0" borderId="55" xfId="0" applyFont="1" applyBorder="1" applyAlignment="1">
      <alignment horizontal="center" vertical="center" wrapText="1"/>
    </xf>
    <xf numFmtId="0" fontId="5" fillId="17" borderId="57" xfId="0" applyFont="1" applyFill="1" applyBorder="1" applyAlignment="1">
      <alignment horizontal="center" vertical="center" textRotation="255"/>
    </xf>
    <xf numFmtId="9" fontId="25" fillId="10" borderId="43" xfId="0" applyNumberFormat="1" applyFont="1" applyFill="1" applyBorder="1" applyAlignment="1">
      <alignment horizontal="center" vertical="center" wrapText="1"/>
    </xf>
    <xf numFmtId="0" fontId="5" fillId="17" borderId="38" xfId="0" applyFont="1" applyFill="1" applyBorder="1" applyAlignment="1">
      <alignment horizontal="center" vertical="center" textRotation="255"/>
    </xf>
    <xf numFmtId="0" fontId="55" fillId="10" borderId="1" xfId="0" applyFont="1" applyFill="1" applyBorder="1" applyAlignment="1">
      <alignment horizontal="center"/>
    </xf>
    <xf numFmtId="9" fontId="25" fillId="10" borderId="1" xfId="0" applyNumberFormat="1" applyFont="1" applyFill="1" applyBorder="1" applyAlignment="1">
      <alignment horizontal="center" vertical="center" wrapText="1"/>
    </xf>
    <xf numFmtId="0" fontId="9" fillId="0" borderId="60" xfId="0" applyFont="1" applyBorder="1" applyAlignment="1">
      <alignment horizontal="center" vertical="center" wrapText="1"/>
    </xf>
    <xf numFmtId="0" fontId="5" fillId="17" borderId="59" xfId="0" applyFont="1" applyFill="1" applyBorder="1" applyAlignment="1">
      <alignment horizontal="center" vertical="center" textRotation="255"/>
    </xf>
    <xf numFmtId="0" fontId="5" fillId="15" borderId="57" xfId="0" applyFont="1" applyFill="1" applyBorder="1" applyAlignment="1">
      <alignment horizontal="center" vertical="center" textRotation="255"/>
    </xf>
    <xf numFmtId="0" fontId="10" fillId="0" borderId="0" xfId="0" applyFont="1" applyAlignment="1">
      <alignment horizontal="center" vertical="center"/>
    </xf>
    <xf numFmtId="0" fontId="5" fillId="15" borderId="38" xfId="0" applyFont="1" applyFill="1" applyBorder="1" applyAlignment="1">
      <alignment horizontal="center" vertical="center" textRotation="255"/>
    </xf>
    <xf numFmtId="177" fontId="9" fillId="0" borderId="1" xfId="0" applyNumberFormat="1" applyFont="1" applyBorder="1" applyAlignment="1">
      <alignment horizontal="center" vertical="center" wrapText="1"/>
    </xf>
    <xf numFmtId="0" fontId="5" fillId="15" borderId="59" xfId="0" applyFont="1" applyFill="1" applyBorder="1" applyAlignment="1">
      <alignment horizontal="center" vertical="center" textRotation="255"/>
    </xf>
    <xf numFmtId="177" fontId="9" fillId="0" borderId="41" xfId="0" applyNumberFormat="1" applyFont="1" applyBorder="1" applyAlignment="1">
      <alignment horizontal="center" vertical="center" wrapText="1"/>
    </xf>
    <xf numFmtId="176" fontId="9" fillId="0" borderId="41" xfId="0" applyNumberFormat="1" applyFont="1" applyBorder="1" applyAlignment="1">
      <alignment horizontal="center" vertical="center" wrapText="1"/>
    </xf>
    <xf numFmtId="0" fontId="5" fillId="33" borderId="57" xfId="0" applyFont="1" applyFill="1" applyBorder="1" applyAlignment="1">
      <alignment horizontal="center" vertical="center" textRotation="255"/>
    </xf>
    <xf numFmtId="0" fontId="5" fillId="33" borderId="38" xfId="0" applyFont="1" applyFill="1" applyBorder="1" applyAlignment="1">
      <alignment horizontal="center" vertical="center" textRotation="255"/>
    </xf>
    <xf numFmtId="0" fontId="50" fillId="0" borderId="1" xfId="0" applyFont="1" applyBorder="1" applyAlignment="1">
      <alignment horizontal="center" vertical="center" wrapText="1"/>
    </xf>
    <xf numFmtId="0" fontId="5" fillId="33" borderId="59" xfId="0" applyFont="1" applyFill="1" applyBorder="1" applyAlignment="1">
      <alignment horizontal="center" vertical="center" textRotation="255"/>
    </xf>
    <xf numFmtId="0" fontId="50" fillId="0" borderId="41" xfId="0" applyFont="1" applyBorder="1" applyAlignment="1">
      <alignment horizontal="center" vertical="center" wrapText="1"/>
    </xf>
    <xf numFmtId="0" fontId="3" fillId="0" borderId="41" xfId="0" applyFont="1" applyBorder="1" applyAlignment="1">
      <alignment horizontal="center" vertical="center" wrapText="1"/>
    </xf>
    <xf numFmtId="0" fontId="10" fillId="0" borderId="41" xfId="0" applyFont="1" applyBorder="1" applyAlignment="1">
      <alignment horizontal="center" vertical="center" wrapText="1"/>
    </xf>
    <xf numFmtId="0" fontId="9" fillId="0" borderId="41" xfId="0" applyFont="1" applyBorder="1" applyAlignment="1">
      <alignment horizontal="center" vertical="center"/>
    </xf>
    <xf numFmtId="0" fontId="9" fillId="0" borderId="42" xfId="0" applyFont="1" applyBorder="1" applyAlignment="1">
      <alignment horizontal="center" vertical="center"/>
    </xf>
    <xf numFmtId="176" fontId="9" fillId="0" borderId="16" xfId="0" applyNumberFormat="1" applyFont="1" applyBorder="1" applyAlignment="1">
      <alignment horizontal="center" vertical="center" wrapText="1"/>
    </xf>
    <xf numFmtId="0" fontId="9" fillId="0" borderId="69" xfId="0" applyFont="1" applyBorder="1" applyAlignment="1">
      <alignment horizontal="center" vertical="center"/>
    </xf>
    <xf numFmtId="0" fontId="3" fillId="0" borderId="60" xfId="0" applyFont="1" applyBorder="1" applyAlignment="1">
      <alignment horizontal="center" vertical="center" wrapText="1"/>
    </xf>
    <xf numFmtId="0" fontId="25" fillId="10" borderId="43" xfId="0" applyFont="1" applyFill="1" applyBorder="1" applyAlignment="1">
      <alignment horizontal="center" vertical="center"/>
    </xf>
    <xf numFmtId="0" fontId="25" fillId="10" borderId="58" xfId="0" applyFont="1" applyFill="1" applyBorder="1" applyAlignment="1">
      <alignment horizontal="center" vertical="center" wrapText="1"/>
    </xf>
    <xf numFmtId="0" fontId="25" fillId="10" borderId="64" xfId="0" applyFont="1" applyFill="1" applyBorder="1" applyAlignment="1">
      <alignment horizontal="center" vertical="center" wrapText="1"/>
    </xf>
    <xf numFmtId="0" fontId="25" fillId="10" borderId="45" xfId="0" applyFont="1" applyFill="1" applyBorder="1" applyAlignment="1">
      <alignment horizontal="center" vertical="center" wrapText="1"/>
    </xf>
    <xf numFmtId="0" fontId="25" fillId="10" borderId="69"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xf>
    <xf numFmtId="0" fontId="23" fillId="0" borderId="0" xfId="0" applyFont="1" applyAlignment="1"/>
    <xf numFmtId="0" fontId="9" fillId="0" borderId="0" xfId="0" applyFont="1" applyAlignment="1"/>
    <xf numFmtId="0" fontId="10" fillId="0" borderId="0" xfId="0" applyFont="1" applyAlignment="1"/>
    <xf numFmtId="0" fontId="44" fillId="2" borderId="88" xfId="0" applyFont="1" applyFill="1" applyBorder="1" applyAlignment="1">
      <alignment horizontal="center" vertical="center" wrapText="1"/>
    </xf>
    <xf numFmtId="0" fontId="44" fillId="2" borderId="89" xfId="0" applyFont="1" applyFill="1" applyBorder="1" applyAlignment="1">
      <alignment horizontal="center" vertical="center" wrapText="1"/>
    </xf>
    <xf numFmtId="0" fontId="25" fillId="10" borderId="93" xfId="0" applyFont="1" applyFill="1" applyBorder="1" applyAlignment="1">
      <alignment horizontal="center" vertical="center" wrapText="1"/>
    </xf>
    <xf numFmtId="0" fontId="25" fillId="10" borderId="84" xfId="0" applyFont="1" applyFill="1" applyBorder="1" applyAlignment="1">
      <alignment horizontal="center" vertical="center" wrapText="1"/>
    </xf>
    <xf numFmtId="0" fontId="25" fillId="10" borderId="94" xfId="0" applyFont="1" applyFill="1" applyBorder="1" applyAlignment="1">
      <alignment horizontal="center" vertical="center" wrapText="1"/>
    </xf>
    <xf numFmtId="0" fontId="56" fillId="10" borderId="1" xfId="0" applyFont="1" applyFill="1" applyBorder="1" applyAlignment="1">
      <alignment horizontal="center" vertical="center" wrapText="1"/>
    </xf>
    <xf numFmtId="0" fontId="25" fillId="10" borderId="95" xfId="0" applyFont="1" applyFill="1" applyBorder="1" applyAlignment="1">
      <alignment horizontal="center" vertical="center" wrapText="1"/>
    </xf>
    <xf numFmtId="0" fontId="25" fillId="10" borderId="55" xfId="0" applyFont="1" applyFill="1" applyBorder="1" applyAlignment="1">
      <alignment horizontal="center" vertical="center" wrapText="1"/>
    </xf>
    <xf numFmtId="0" fontId="25" fillId="10" borderId="41" xfId="0" applyFont="1" applyFill="1" applyBorder="1" applyAlignment="1">
      <alignment horizontal="center" vertical="center" wrapText="1"/>
    </xf>
    <xf numFmtId="0" fontId="6" fillId="10" borderId="96" xfId="0" applyFont="1" applyFill="1" applyBorder="1" applyAlignment="1">
      <alignment horizontal="center" vertical="center" wrapText="1"/>
    </xf>
    <xf numFmtId="0" fontId="49" fillId="0" borderId="84" xfId="0" applyFont="1" applyBorder="1" applyAlignment="1">
      <alignment horizontal="center" vertical="center" wrapText="1"/>
    </xf>
    <xf numFmtId="9" fontId="49" fillId="0" borderId="58" xfId="0" applyNumberFormat="1" applyFont="1" applyBorder="1" applyAlignment="1">
      <alignment horizontal="center" vertical="center" wrapText="1"/>
    </xf>
    <xf numFmtId="9" fontId="9" fillId="0" borderId="58" xfId="0" applyNumberFormat="1" applyFont="1" applyBorder="1" applyAlignment="1">
      <alignment horizontal="center" vertical="center" wrapText="1"/>
    </xf>
    <xf numFmtId="9" fontId="57" fillId="0" borderId="58" xfId="0" applyNumberFormat="1" applyFont="1" applyBorder="1" applyAlignment="1">
      <alignment horizontal="center" vertical="center" wrapText="1"/>
    </xf>
    <xf numFmtId="9" fontId="9" fillId="29" borderId="43" xfId="0" applyNumberFormat="1" applyFont="1" applyFill="1" applyBorder="1" applyAlignment="1">
      <alignment horizontal="center" vertical="center" wrapText="1"/>
    </xf>
    <xf numFmtId="9" fontId="9" fillId="34" borderId="43" xfId="0" applyNumberFormat="1" applyFont="1" applyFill="1" applyBorder="1" applyAlignment="1">
      <alignment horizontal="center" vertical="center" wrapText="1"/>
    </xf>
    <xf numFmtId="0" fontId="6" fillId="10" borderId="97" xfId="0" applyFont="1" applyFill="1" applyBorder="1" applyAlignment="1">
      <alignment horizontal="center" vertical="center" wrapText="1"/>
    </xf>
    <xf numFmtId="0" fontId="49" fillId="0" borderId="48" xfId="0" applyFont="1" applyBorder="1" applyAlignment="1">
      <alignment horizontal="center" vertical="center" wrapText="1"/>
    </xf>
    <xf numFmtId="9" fontId="49" fillId="0" borderId="44" xfId="0" applyNumberFormat="1" applyFont="1" applyBorder="1" applyAlignment="1">
      <alignment horizontal="center" vertical="center" wrapText="1"/>
    </xf>
    <xf numFmtId="9" fontId="9" fillId="0" borderId="44" xfId="0" applyNumberFormat="1" applyFont="1" applyBorder="1" applyAlignment="1">
      <alignment horizontal="center" vertical="center" wrapText="1"/>
    </xf>
    <xf numFmtId="9" fontId="57" fillId="0" borderId="44" xfId="0" applyNumberFormat="1" applyFont="1" applyBorder="1" applyAlignment="1">
      <alignment horizontal="center" vertical="center" wrapText="1"/>
    </xf>
    <xf numFmtId="9" fontId="9" fillId="29" borderId="1" xfId="0" applyNumberFormat="1" applyFont="1" applyFill="1" applyBorder="1" applyAlignment="1">
      <alignment horizontal="center" vertical="center" wrapText="1"/>
    </xf>
    <xf numFmtId="9" fontId="9" fillId="34" borderId="1" xfId="0" applyNumberFormat="1" applyFont="1" applyFill="1" applyBorder="1" applyAlignment="1">
      <alignment horizontal="center" vertical="center" wrapText="1"/>
    </xf>
    <xf numFmtId="9" fontId="49" fillId="0" borderId="45" xfId="0" applyNumberFormat="1" applyFont="1" applyBorder="1" applyAlignment="1">
      <alignment horizontal="center" vertical="center" wrapText="1"/>
    </xf>
    <xf numFmtId="9" fontId="9" fillId="0" borderId="45" xfId="0" applyNumberFormat="1" applyFont="1" applyBorder="1" applyAlignment="1">
      <alignment horizontal="center" vertical="center" wrapText="1"/>
    </xf>
    <xf numFmtId="9" fontId="57" fillId="0" borderId="45" xfId="0" applyNumberFormat="1" applyFont="1" applyBorder="1" applyAlignment="1">
      <alignment horizontal="center" vertical="center" wrapText="1"/>
    </xf>
    <xf numFmtId="178" fontId="9" fillId="0" borderId="44" xfId="0" applyNumberFormat="1" applyFont="1" applyBorder="1" applyAlignment="1">
      <alignment horizontal="center" vertical="center" wrapText="1"/>
    </xf>
    <xf numFmtId="178" fontId="9" fillId="0" borderId="45" xfId="0" applyNumberFormat="1" applyFont="1" applyBorder="1" applyAlignment="1">
      <alignment horizontal="center" vertical="center" wrapText="1"/>
    </xf>
    <xf numFmtId="9" fontId="49" fillId="0" borderId="44" xfId="0" applyNumberFormat="1" applyFont="1" applyBorder="1" applyAlignment="1">
      <alignment horizontal="center" vertical="center"/>
    </xf>
    <xf numFmtId="9" fontId="49" fillId="0" borderId="45" xfId="0" applyNumberFormat="1" applyFont="1" applyBorder="1" applyAlignment="1">
      <alignment horizontal="center" vertical="center"/>
    </xf>
    <xf numFmtId="9" fontId="49" fillId="0" borderId="1" xfId="0" applyNumberFormat="1" applyFont="1" applyBorder="1" applyAlignment="1">
      <alignment horizontal="center" vertical="center" wrapText="1"/>
    </xf>
    <xf numFmtId="9" fontId="49" fillId="0" borderId="16" xfId="0" applyNumberFormat="1" applyFont="1" applyBorder="1" applyAlignment="1">
      <alignment horizontal="center" vertical="center" wrapText="1"/>
    </xf>
    <xf numFmtId="9" fontId="57" fillId="0" borderId="16" xfId="0" applyNumberFormat="1" applyFont="1" applyBorder="1" applyAlignment="1">
      <alignment horizontal="center" vertical="center" wrapText="1"/>
    </xf>
    <xf numFmtId="0" fontId="47" fillId="0" borderId="48" xfId="0" applyFont="1" applyBorder="1" applyAlignment="1">
      <alignment horizontal="center" vertical="center" wrapText="1"/>
    </xf>
    <xf numFmtId="9" fontId="47" fillId="0" borderId="44" xfId="0" applyNumberFormat="1" applyFont="1" applyBorder="1" applyAlignment="1">
      <alignment horizontal="center" vertical="center" wrapText="1"/>
    </xf>
    <xf numFmtId="9" fontId="10" fillId="29" borderId="1" xfId="0" applyNumberFormat="1" applyFont="1" applyFill="1" applyBorder="1" applyAlignment="1">
      <alignment horizontal="center" vertical="center" wrapText="1"/>
    </xf>
    <xf numFmtId="9" fontId="10" fillId="34" borderId="1" xfId="0" applyNumberFormat="1" applyFont="1" applyFill="1" applyBorder="1" applyAlignment="1">
      <alignment horizontal="center" vertical="center" wrapText="1"/>
    </xf>
    <xf numFmtId="9" fontId="57" fillId="12" borderId="44" xfId="0" applyNumberFormat="1" applyFont="1" applyFill="1" applyBorder="1" applyAlignment="1">
      <alignment horizontal="center" vertical="center" wrapText="1"/>
    </xf>
    <xf numFmtId="9" fontId="9" fillId="29" borderId="44" xfId="0" applyNumberFormat="1" applyFont="1" applyFill="1" applyBorder="1" applyAlignment="1">
      <alignment horizontal="center" vertical="center" wrapText="1"/>
    </xf>
    <xf numFmtId="9" fontId="9" fillId="34" borderId="44" xfId="0" applyNumberFormat="1" applyFont="1" applyFill="1" applyBorder="1" applyAlignment="1">
      <alignment horizontal="center" vertical="center" wrapText="1"/>
    </xf>
    <xf numFmtId="9" fontId="57" fillId="12" borderId="16" xfId="0" applyNumberFormat="1" applyFont="1" applyFill="1" applyBorder="1" applyAlignment="1">
      <alignment horizontal="center" vertical="center" wrapText="1"/>
    </xf>
    <xf numFmtId="9" fontId="9" fillId="29" borderId="45" xfId="0" applyNumberFormat="1" applyFont="1" applyFill="1" applyBorder="1" applyAlignment="1">
      <alignment horizontal="center" vertical="center" wrapText="1"/>
    </xf>
    <xf numFmtId="9" fontId="9" fillId="34" borderId="45" xfId="0" applyNumberFormat="1" applyFont="1" applyFill="1" applyBorder="1" applyAlignment="1">
      <alignment horizontal="center" vertical="center" wrapText="1"/>
    </xf>
    <xf numFmtId="0" fontId="6" fillId="10" borderId="98" xfId="0" applyFont="1" applyFill="1" applyBorder="1" applyAlignment="1">
      <alignment horizontal="center" vertical="center" wrapText="1"/>
    </xf>
    <xf numFmtId="0" fontId="49" fillId="0" borderId="55" xfId="0" applyFont="1" applyBorder="1" applyAlignment="1">
      <alignment horizontal="center" vertical="center" wrapText="1"/>
    </xf>
    <xf numFmtId="9" fontId="49" fillId="0" borderId="60" xfId="0" applyNumberFormat="1" applyFont="1" applyBorder="1" applyAlignment="1">
      <alignment horizontal="center" vertical="center" wrapText="1"/>
    </xf>
    <xf numFmtId="9" fontId="57" fillId="12" borderId="60" xfId="0" applyNumberFormat="1" applyFont="1" applyFill="1" applyBorder="1" applyAlignment="1">
      <alignment horizontal="center" vertical="center" wrapText="1"/>
    </xf>
    <xf numFmtId="9" fontId="9" fillId="29" borderId="41" xfId="0" applyNumberFormat="1" applyFont="1" applyFill="1" applyBorder="1" applyAlignment="1">
      <alignment horizontal="center" vertical="center" wrapText="1"/>
    </xf>
    <xf numFmtId="9" fontId="9" fillId="34" borderId="41" xfId="0" applyNumberFormat="1" applyFont="1" applyFill="1" applyBorder="1" applyAlignment="1">
      <alignment horizontal="center" vertical="center" wrapText="1"/>
    </xf>
    <xf numFmtId="0" fontId="6" fillId="3" borderId="97" xfId="0" applyFont="1" applyFill="1" applyBorder="1" applyAlignment="1">
      <alignment horizontal="center" vertical="center" wrapText="1"/>
    </xf>
    <xf numFmtId="0" fontId="47" fillId="0" borderId="74" xfId="0" applyFont="1" applyBorder="1" applyAlignment="1">
      <alignment horizontal="center" vertical="center" wrapText="1"/>
    </xf>
    <xf numFmtId="0" fontId="47" fillId="0" borderId="16" xfId="0" applyFont="1" applyBorder="1" applyAlignment="1">
      <alignment horizontal="center" vertical="center" wrapText="1"/>
    </xf>
    <xf numFmtId="0" fontId="11" fillId="0" borderId="16" xfId="0" applyFont="1" applyBorder="1" applyAlignment="1">
      <alignment horizontal="center" vertical="center" wrapText="1"/>
    </xf>
    <xf numFmtId="9" fontId="10" fillId="29" borderId="45" xfId="0" applyNumberFormat="1" applyFont="1" applyFill="1" applyBorder="1" applyAlignment="1">
      <alignment horizontal="center" vertical="center" wrapText="1"/>
    </xf>
    <xf numFmtId="9" fontId="10" fillId="34" borderId="45" xfId="0" applyNumberFormat="1" applyFont="1" applyFill="1" applyBorder="1" applyAlignment="1">
      <alignment horizontal="center" vertical="center" wrapText="1"/>
    </xf>
    <xf numFmtId="0" fontId="58" fillId="0" borderId="44" xfId="0" applyFont="1" applyBorder="1" applyAlignment="1">
      <alignment horizontal="center" vertical="center" wrapText="1"/>
    </xf>
    <xf numFmtId="0" fontId="11" fillId="0" borderId="44" xfId="0" applyFont="1" applyBorder="1" applyAlignment="1">
      <alignment horizontal="center" vertical="center" wrapText="1"/>
    </xf>
    <xf numFmtId="0" fontId="58" fillId="0" borderId="45" xfId="0" applyFont="1" applyBorder="1" applyAlignment="1">
      <alignment horizontal="center" vertical="center" wrapText="1"/>
    </xf>
    <xf numFmtId="0" fontId="11" fillId="0" borderId="45" xfId="0" applyFont="1" applyBorder="1" applyAlignment="1">
      <alignment horizontal="center" vertical="center" wrapText="1"/>
    </xf>
    <xf numFmtId="0" fontId="49" fillId="0" borderId="16" xfId="0" applyFont="1" applyBorder="1" applyAlignment="1">
      <alignment horizontal="center" vertical="center" wrapText="1"/>
    </xf>
    <xf numFmtId="0" fontId="49" fillId="12" borderId="48" xfId="0" applyFont="1" applyFill="1" applyBorder="1" applyAlignment="1">
      <alignment horizontal="center" vertical="center" wrapText="1"/>
    </xf>
    <xf numFmtId="0" fontId="49" fillId="12" borderId="44" xfId="0" applyFont="1" applyFill="1" applyBorder="1" applyAlignment="1">
      <alignment horizontal="center" vertical="center" wrapText="1"/>
    </xf>
    <xf numFmtId="0" fontId="9" fillId="12" borderId="44" xfId="0" applyFont="1" applyFill="1" applyBorder="1" applyAlignment="1">
      <alignment horizontal="center" vertical="center" wrapText="1"/>
    </xf>
    <xf numFmtId="0" fontId="49" fillId="12" borderId="49" xfId="0" applyFont="1" applyFill="1" applyBorder="1" applyAlignment="1">
      <alignment horizontal="center" vertical="center" wrapText="1"/>
    </xf>
    <xf numFmtId="0" fontId="49" fillId="12" borderId="16" xfId="0" applyFont="1" applyFill="1" applyBorder="1" applyAlignment="1">
      <alignment horizontal="center" vertical="center" wrapText="1"/>
    </xf>
    <xf numFmtId="0" fontId="9" fillId="12" borderId="16" xfId="0" applyFont="1" applyFill="1" applyBorder="1" applyAlignment="1">
      <alignment horizontal="center" vertical="center" wrapText="1"/>
    </xf>
    <xf numFmtId="0" fontId="6" fillId="3" borderId="98" xfId="0" applyFont="1" applyFill="1" applyBorder="1" applyAlignment="1">
      <alignment horizontal="center" vertical="center" wrapText="1"/>
    </xf>
    <xf numFmtId="0" fontId="49" fillId="12" borderId="60" xfId="0" applyFont="1" applyFill="1" applyBorder="1" applyAlignment="1">
      <alignment horizontal="center" vertical="center" wrapText="1"/>
    </xf>
    <xf numFmtId="0" fontId="9" fillId="12" borderId="60" xfId="0" applyFont="1" applyFill="1" applyBorder="1" applyAlignment="1">
      <alignment horizontal="center" vertical="center" wrapText="1"/>
    </xf>
    <xf numFmtId="9" fontId="57" fillId="0" borderId="60" xfId="0" applyNumberFormat="1" applyFont="1" applyBorder="1" applyAlignment="1">
      <alignment horizontal="center" vertical="center" wrapText="1"/>
    </xf>
    <xf numFmtId="0" fontId="6" fillId="17" borderId="94" xfId="0" applyFont="1" applyFill="1" applyBorder="1" applyAlignment="1">
      <alignment horizontal="center" vertical="center" wrapText="1"/>
    </xf>
    <xf numFmtId="9" fontId="49" fillId="12" borderId="48" xfId="0" applyNumberFormat="1" applyFont="1" applyFill="1" applyBorder="1" applyAlignment="1">
      <alignment horizontal="center" vertical="center" wrapText="1"/>
    </xf>
    <xf numFmtId="0" fontId="49" fillId="12" borderId="1" xfId="0" applyFont="1" applyFill="1" applyBorder="1" applyAlignment="1">
      <alignment horizontal="center" vertical="center"/>
    </xf>
    <xf numFmtId="9" fontId="9" fillId="12" borderId="1" xfId="0" applyNumberFormat="1" applyFont="1" applyFill="1" applyBorder="1" applyAlignment="1">
      <alignment horizontal="center" vertical="center" wrapText="1"/>
    </xf>
    <xf numFmtId="9" fontId="57" fillId="0" borderId="1" xfId="0" applyNumberFormat="1" applyFont="1" applyBorder="1" applyAlignment="1">
      <alignment horizontal="center" vertical="center" wrapText="1"/>
    </xf>
    <xf numFmtId="9" fontId="9" fillId="35" borderId="1" xfId="0" applyNumberFormat="1" applyFont="1" applyFill="1" applyBorder="1" applyAlignment="1">
      <alignment horizontal="center" vertical="center" wrapText="1"/>
    </xf>
    <xf numFmtId="9" fontId="49" fillId="0" borderId="48" xfId="0" applyNumberFormat="1" applyFont="1" applyBorder="1" applyAlignment="1">
      <alignment horizontal="center" vertical="center" wrapText="1"/>
    </xf>
    <xf numFmtId="0" fontId="49" fillId="0" borderId="1" xfId="0" applyFont="1" applyBorder="1" applyAlignment="1">
      <alignment horizontal="center" vertical="center"/>
    </xf>
    <xf numFmtId="9" fontId="9" fillId="0" borderId="1" xfId="0" applyNumberFormat="1" applyFont="1" applyBorder="1" applyAlignment="1">
      <alignment horizontal="center" vertical="center" wrapText="1"/>
    </xf>
    <xf numFmtId="0" fontId="59" fillId="17" borderId="94" xfId="0" applyFont="1" applyFill="1" applyBorder="1" applyAlignment="1">
      <alignment horizontal="center" vertical="center" wrapText="1"/>
    </xf>
    <xf numFmtId="0" fontId="56" fillId="10" borderId="41" xfId="0" applyFont="1" applyFill="1" applyBorder="1" applyAlignment="1">
      <alignment horizontal="center" vertical="center" wrapText="1"/>
    </xf>
    <xf numFmtId="9" fontId="9" fillId="36" borderId="43" xfId="0" applyNumberFormat="1" applyFont="1" applyFill="1" applyBorder="1" applyAlignment="1">
      <alignment horizontal="center" vertical="center" wrapText="1"/>
    </xf>
    <xf numFmtId="9" fontId="60" fillId="29" borderId="43" xfId="0" applyNumberFormat="1" applyFont="1" applyFill="1" applyBorder="1" applyAlignment="1">
      <alignment horizontal="center" vertical="center" wrapText="1"/>
    </xf>
    <xf numFmtId="9" fontId="60" fillId="34" borderId="43" xfId="0" applyNumberFormat="1" applyFont="1" applyFill="1" applyBorder="1" applyAlignment="1">
      <alignment horizontal="center" vertical="center" wrapText="1"/>
    </xf>
    <xf numFmtId="9" fontId="60" fillId="36" borderId="43" xfId="0" applyNumberFormat="1" applyFont="1" applyFill="1" applyBorder="1" applyAlignment="1">
      <alignment horizontal="center" vertical="center" wrapText="1"/>
    </xf>
    <xf numFmtId="9" fontId="11" fillId="37" borderId="43" xfId="0" applyNumberFormat="1" applyFont="1" applyFill="1" applyBorder="1" applyAlignment="1">
      <alignment horizontal="center" vertical="center"/>
    </xf>
    <xf numFmtId="9" fontId="9" fillId="36" borderId="1" xfId="0" applyNumberFormat="1" applyFont="1" applyFill="1" applyBorder="1" applyAlignment="1">
      <alignment horizontal="center" vertical="center" wrapText="1"/>
    </xf>
    <xf numFmtId="9" fontId="60" fillId="29" borderId="1" xfId="0" applyNumberFormat="1" applyFont="1" applyFill="1" applyBorder="1" applyAlignment="1">
      <alignment horizontal="center" vertical="center" wrapText="1"/>
    </xf>
    <xf numFmtId="9" fontId="60" fillId="34" borderId="1" xfId="0" applyNumberFormat="1" applyFont="1" applyFill="1" applyBorder="1" applyAlignment="1">
      <alignment horizontal="center" vertical="center" wrapText="1"/>
    </xf>
    <xf numFmtId="9" fontId="60" fillId="36" borderId="1" xfId="0" applyNumberFormat="1" applyFont="1" applyFill="1" applyBorder="1" applyAlignment="1">
      <alignment horizontal="center" vertical="center" wrapText="1"/>
    </xf>
    <xf numFmtId="9" fontId="11" fillId="37" borderId="1" xfId="0" applyNumberFormat="1" applyFont="1" applyFill="1" applyBorder="1" applyAlignment="1">
      <alignment horizontal="center" vertical="center"/>
    </xf>
    <xf numFmtId="9" fontId="11" fillId="38" borderId="1" xfId="0" applyNumberFormat="1" applyFont="1" applyFill="1" applyBorder="1" applyAlignment="1">
      <alignment horizontal="center" vertical="center"/>
    </xf>
    <xf numFmtId="9" fontId="9" fillId="38" borderId="1" xfId="0" applyNumberFormat="1" applyFont="1" applyFill="1" applyBorder="1" applyAlignment="1">
      <alignment horizontal="center" vertical="center"/>
    </xf>
    <xf numFmtId="9" fontId="10" fillId="36" borderId="1" xfId="0" applyNumberFormat="1" applyFont="1" applyFill="1" applyBorder="1" applyAlignment="1">
      <alignment horizontal="center" vertical="center" wrapText="1"/>
    </xf>
    <xf numFmtId="9" fontId="9" fillId="36" borderId="44" xfId="0" applyNumberFormat="1" applyFont="1" applyFill="1" applyBorder="1" applyAlignment="1">
      <alignment horizontal="center" vertical="center" wrapText="1"/>
    </xf>
    <xf numFmtId="9" fontId="60" fillId="29" borderId="44" xfId="0" applyNumberFormat="1" applyFont="1" applyFill="1" applyBorder="1" applyAlignment="1">
      <alignment horizontal="center" vertical="center" wrapText="1"/>
    </xf>
    <xf numFmtId="9" fontId="60" fillId="34" borderId="44" xfId="0" applyNumberFormat="1" applyFont="1" applyFill="1" applyBorder="1" applyAlignment="1">
      <alignment horizontal="center" vertical="center" wrapText="1"/>
    </xf>
    <xf numFmtId="9" fontId="60" fillId="36" borderId="44" xfId="0" applyNumberFormat="1" applyFont="1" applyFill="1" applyBorder="1" applyAlignment="1">
      <alignment horizontal="center" vertical="center" wrapText="1"/>
    </xf>
    <xf numFmtId="0" fontId="25" fillId="39" borderId="1" xfId="0" applyFont="1" applyFill="1" applyBorder="1" applyAlignment="1">
      <alignment horizontal="center" vertical="center" wrapText="1"/>
    </xf>
    <xf numFmtId="9" fontId="9" fillId="36" borderId="45" xfId="0" applyNumberFormat="1" applyFont="1" applyFill="1" applyBorder="1" applyAlignment="1">
      <alignment horizontal="center" vertical="center" wrapText="1"/>
    </xf>
    <xf numFmtId="9" fontId="60" fillId="29" borderId="45" xfId="0" applyNumberFormat="1" applyFont="1" applyFill="1" applyBorder="1" applyAlignment="1">
      <alignment horizontal="center" vertical="center" wrapText="1"/>
    </xf>
    <xf numFmtId="9" fontId="60" fillId="34" borderId="45" xfId="0" applyNumberFormat="1" applyFont="1" applyFill="1" applyBorder="1" applyAlignment="1">
      <alignment horizontal="center" vertical="center" wrapText="1"/>
    </xf>
    <xf numFmtId="9" fontId="60" fillId="36" borderId="45" xfId="0" applyNumberFormat="1" applyFont="1" applyFill="1" applyBorder="1" applyAlignment="1">
      <alignment horizontal="center" vertical="center" wrapText="1"/>
    </xf>
    <xf numFmtId="9" fontId="9" fillId="36" borderId="41" xfId="0" applyNumberFormat="1" applyFont="1" applyFill="1" applyBorder="1" applyAlignment="1">
      <alignment horizontal="center" vertical="center" wrapText="1"/>
    </xf>
    <xf numFmtId="9" fontId="60" fillId="29" borderId="41" xfId="0" applyNumberFormat="1" applyFont="1" applyFill="1" applyBorder="1" applyAlignment="1">
      <alignment horizontal="center" vertical="center" wrapText="1"/>
    </xf>
    <xf numFmtId="9" fontId="60" fillId="34" borderId="41" xfId="0" applyNumberFormat="1" applyFont="1" applyFill="1" applyBorder="1" applyAlignment="1">
      <alignment horizontal="center" vertical="center" wrapText="1"/>
    </xf>
    <xf numFmtId="9" fontId="60" fillId="36" borderId="41" xfId="0" applyNumberFormat="1" applyFont="1" applyFill="1" applyBorder="1" applyAlignment="1">
      <alignment horizontal="center" vertical="center" wrapText="1"/>
    </xf>
    <xf numFmtId="9" fontId="11" fillId="37" borderId="41" xfId="0" applyNumberFormat="1" applyFont="1" applyFill="1" applyBorder="1" applyAlignment="1">
      <alignment horizontal="center" vertical="center"/>
    </xf>
    <xf numFmtId="9" fontId="10" fillId="36" borderId="45" xfId="0" applyNumberFormat="1" applyFont="1" applyFill="1" applyBorder="1" applyAlignment="1">
      <alignment horizontal="center" vertical="center" wrapText="1"/>
    </xf>
    <xf numFmtId="0" fontId="25" fillId="39" borderId="45" xfId="0" applyFont="1" applyFill="1" applyBorder="1" applyAlignment="1">
      <alignment horizontal="center" vertical="center" wrapText="1"/>
    </xf>
    <xf numFmtId="9" fontId="9" fillId="37" borderId="1" xfId="0" applyNumberFormat="1" applyFont="1" applyFill="1" applyBorder="1" applyAlignment="1">
      <alignment horizontal="center" vertical="center"/>
    </xf>
    <xf numFmtId="9" fontId="25" fillId="39" borderId="1" xfId="0" applyNumberFormat="1" applyFont="1" applyFill="1" applyBorder="1" applyAlignment="1">
      <alignment horizontal="center" vertical="center" wrapText="1"/>
    </xf>
    <xf numFmtId="9" fontId="9" fillId="37" borderId="44" xfId="0" applyNumberFormat="1" applyFont="1" applyFill="1" applyBorder="1" applyAlignment="1">
      <alignment horizontal="center" vertical="center"/>
    </xf>
    <xf numFmtId="9" fontId="9" fillId="37" borderId="41" xfId="0" applyNumberFormat="1" applyFont="1" applyFill="1" applyBorder="1" applyAlignment="1">
      <alignment horizontal="center" vertical="center"/>
    </xf>
    <xf numFmtId="0" fontId="56" fillId="10" borderId="43" xfId="0" applyFont="1" applyFill="1" applyBorder="1" applyAlignment="1">
      <alignment horizontal="center" vertical="center" wrapText="1"/>
    </xf>
    <xf numFmtId="9" fontId="61" fillId="29" borderId="1" xfId="0" applyNumberFormat="1" applyFont="1" applyFill="1" applyBorder="1" applyAlignment="1">
      <alignment horizontal="center" vertical="center" wrapText="1"/>
    </xf>
    <xf numFmtId="9" fontId="61" fillId="34" borderId="1" xfId="0" applyNumberFormat="1" applyFont="1" applyFill="1" applyBorder="1" applyAlignment="1">
      <alignment horizontal="center" vertical="center" wrapText="1"/>
    </xf>
    <xf numFmtId="9" fontId="61" fillId="36" borderId="1" xfId="0" applyNumberFormat="1" applyFont="1" applyFill="1" applyBorder="1" applyAlignment="1">
      <alignment horizontal="center" vertical="center" wrapText="1"/>
    </xf>
    <xf numFmtId="9" fontId="11" fillId="40" borderId="1" xfId="0" applyNumberFormat="1" applyFont="1" applyFill="1" applyBorder="1" applyAlignment="1">
      <alignment horizontal="center" vertical="center"/>
    </xf>
    <xf numFmtId="9" fontId="9" fillId="40" borderId="1" xfId="0" applyNumberFormat="1" applyFont="1" applyFill="1" applyBorder="1" applyAlignment="1">
      <alignment horizontal="center" vertical="center"/>
    </xf>
    <xf numFmtId="0" fontId="44" fillId="2" borderId="91" xfId="0" applyFont="1" applyFill="1" applyBorder="1" applyAlignment="1">
      <alignment horizontal="center" vertical="center" wrapText="1"/>
    </xf>
    <xf numFmtId="0" fontId="45" fillId="10" borderId="41" xfId="0" applyFont="1" applyFill="1" applyBorder="1" applyAlignment="1">
      <alignment horizontal="center" vertical="center" wrapText="1"/>
    </xf>
    <xf numFmtId="0" fontId="45" fillId="10" borderId="42" xfId="0" applyFont="1" applyFill="1" applyBorder="1" applyAlignment="1">
      <alignment horizontal="center" vertical="center" wrapText="1"/>
    </xf>
    <xf numFmtId="0" fontId="9" fillId="0" borderId="16" xfId="0" applyFont="1" applyBorder="1" applyAlignment="1">
      <alignment horizontal="center" vertical="center"/>
    </xf>
    <xf numFmtId="0" fontId="9" fillId="0" borderId="65" xfId="0" applyFont="1" applyBorder="1" applyAlignment="1">
      <alignment horizontal="center" vertical="center"/>
    </xf>
    <xf numFmtId="0" fontId="3" fillId="0" borderId="60" xfId="0" applyFont="1" applyBorder="1" applyAlignment="1">
      <alignment horizontal="center" vertical="center"/>
    </xf>
    <xf numFmtId="9" fontId="57" fillId="12" borderId="1" xfId="0" applyNumberFormat="1" applyFont="1" applyFill="1" applyBorder="1" applyAlignment="1">
      <alignment horizontal="center" vertical="center" wrapText="1"/>
    </xf>
    <xf numFmtId="0" fontId="58"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6" fillId="17" borderId="95" xfId="0" applyFont="1" applyFill="1" applyBorder="1" applyAlignment="1">
      <alignment horizontal="center" vertical="center" wrapText="1"/>
    </xf>
    <xf numFmtId="0" fontId="49" fillId="0" borderId="41" xfId="0" applyFont="1" applyBorder="1" applyAlignment="1">
      <alignment horizontal="center" vertical="center"/>
    </xf>
    <xf numFmtId="9" fontId="9" fillId="0" borderId="41" xfId="0" applyNumberFormat="1" applyFont="1" applyBorder="1" applyAlignment="1">
      <alignment horizontal="center" vertical="center" wrapText="1"/>
    </xf>
    <xf numFmtId="9" fontId="57" fillId="12" borderId="41" xfId="0" applyNumberFormat="1" applyFont="1" applyFill="1" applyBorder="1" applyAlignment="1">
      <alignment horizontal="center" vertical="center" wrapText="1"/>
    </xf>
    <xf numFmtId="0" fontId="58" fillId="0" borderId="0" xfId="0" applyFont="1" applyAlignment="1">
      <alignment horizontal="center" vertical="center" wrapText="1"/>
    </xf>
    <xf numFmtId="0" fontId="11" fillId="0" borderId="0" xfId="0" applyFont="1" applyAlignment="1">
      <alignment horizontal="center" vertical="center"/>
    </xf>
    <xf numFmtId="9" fontId="11" fillId="0" borderId="0" xfId="0" applyNumberFormat="1" applyFont="1" applyAlignment="1">
      <alignment horizontal="center" vertical="center"/>
    </xf>
    <xf numFmtId="0" fontId="6" fillId="13" borderId="94" xfId="0" applyFont="1" applyFill="1" applyBorder="1" applyAlignment="1">
      <alignment horizontal="center" vertical="center" wrapText="1"/>
    </xf>
    <xf numFmtId="0" fontId="9" fillId="0" borderId="94" xfId="0" applyFont="1" applyBorder="1" applyAlignment="1"/>
    <xf numFmtId="9" fontId="11" fillId="29" borderId="1" xfId="0" applyNumberFormat="1" applyFont="1" applyFill="1" applyBorder="1" applyAlignment="1">
      <alignment horizontal="center" vertical="center" wrapText="1"/>
    </xf>
    <xf numFmtId="0" fontId="58" fillId="0" borderId="1" xfId="0" applyFont="1" applyBorder="1" applyAlignment="1">
      <alignment horizontal="center" vertical="center" wrapText="1"/>
    </xf>
    <xf numFmtId="0" fontId="57" fillId="0" borderId="1" xfId="0" applyFont="1" applyBorder="1" applyAlignment="1"/>
    <xf numFmtId="9" fontId="50" fillId="0" borderId="48" xfId="0" applyNumberFormat="1" applyFont="1" applyBorder="1" applyAlignment="1">
      <alignment horizontal="center" vertical="center" wrapText="1"/>
    </xf>
    <xf numFmtId="0" fontId="50" fillId="0" borderId="44" xfId="0" applyFont="1" applyBorder="1" applyAlignment="1">
      <alignment horizontal="center" vertical="center" wrapText="1"/>
    </xf>
    <xf numFmtId="9" fontId="3" fillId="29" borderId="1" xfId="0" applyNumberFormat="1" applyFont="1" applyFill="1" applyBorder="1" applyAlignment="1">
      <alignment horizontal="center" vertical="center" wrapText="1"/>
    </xf>
    <xf numFmtId="9" fontId="3" fillId="34" borderId="1" xfId="0" applyNumberFormat="1" applyFont="1" applyFill="1" applyBorder="1" applyAlignment="1">
      <alignment horizontal="center" vertical="center" wrapText="1"/>
    </xf>
    <xf numFmtId="0" fontId="50" fillId="0" borderId="16" xfId="0" applyFont="1" applyBorder="1" applyAlignment="1">
      <alignment horizontal="center" vertical="center" wrapText="1"/>
    </xf>
    <xf numFmtId="0" fontId="50" fillId="0" borderId="45" xfId="0" applyFont="1" applyBorder="1" applyAlignment="1">
      <alignment horizontal="center" vertical="center" wrapText="1"/>
    </xf>
    <xf numFmtId="0" fontId="58" fillId="0" borderId="16" xfId="0" applyFont="1" applyBorder="1" applyAlignment="1">
      <alignment horizontal="center" vertical="center" wrapText="1"/>
    </xf>
    <xf numFmtId="9" fontId="11" fillId="29" borderId="44" xfId="0" applyNumberFormat="1" applyFont="1" applyFill="1" applyBorder="1" applyAlignment="1">
      <alignment horizontal="center" vertical="center" wrapText="1"/>
    </xf>
    <xf numFmtId="0" fontId="3" fillId="0" borderId="48" xfId="0" applyFont="1" applyBorder="1" applyAlignment="1"/>
    <xf numFmtId="9" fontId="11" fillId="29" borderId="45" xfId="0" applyNumberFormat="1" applyFont="1" applyFill="1" applyBorder="1" applyAlignment="1">
      <alignment horizontal="center" vertical="center" wrapText="1"/>
    </xf>
    <xf numFmtId="9" fontId="9" fillId="40" borderId="41" xfId="0" applyNumberFormat="1" applyFont="1" applyFill="1" applyBorder="1" applyAlignment="1">
      <alignment horizontal="center" vertical="center"/>
    </xf>
    <xf numFmtId="9" fontId="10" fillId="0" borderId="0" xfId="0" applyNumberFormat="1" applyFont="1" applyAlignment="1">
      <alignment horizontal="center" vertical="center"/>
    </xf>
    <xf numFmtId="9" fontId="11" fillId="36" borderId="1" xfId="0" applyNumberFormat="1" applyFont="1" applyFill="1" applyBorder="1" applyAlignment="1">
      <alignment horizontal="center" vertical="center" wrapText="1"/>
    </xf>
    <xf numFmtId="9" fontId="11" fillId="40" borderId="46" xfId="0" applyNumberFormat="1" applyFont="1" applyFill="1" applyBorder="1" applyAlignment="1">
      <alignment horizontal="center" vertical="center"/>
    </xf>
    <xf numFmtId="9" fontId="3" fillId="36" borderId="1" xfId="0" applyNumberFormat="1" applyFont="1" applyFill="1" applyBorder="1" applyAlignment="1">
      <alignment horizontal="center" vertical="center" wrapText="1"/>
    </xf>
    <xf numFmtId="9" fontId="3" fillId="40" borderId="46" xfId="0" applyNumberFormat="1" applyFont="1" applyFill="1" applyBorder="1" applyAlignment="1">
      <alignment horizontal="center" vertical="center"/>
    </xf>
    <xf numFmtId="9" fontId="3" fillId="40" borderId="1" xfId="0" applyNumberFormat="1" applyFont="1" applyFill="1" applyBorder="1" applyAlignment="1">
      <alignment horizontal="center" vertical="center"/>
    </xf>
    <xf numFmtId="9" fontId="11" fillId="36" borderId="44" xfId="0" applyNumberFormat="1" applyFont="1" applyFill="1" applyBorder="1" applyAlignment="1">
      <alignment horizontal="center" vertical="center" wrapText="1"/>
    </xf>
    <xf numFmtId="9" fontId="11" fillId="36" borderId="45" xfId="0" applyNumberFormat="1" applyFont="1" applyFill="1" applyBorder="1" applyAlignment="1">
      <alignment horizontal="center" vertical="center" wrapText="1"/>
    </xf>
    <xf numFmtId="9" fontId="11" fillId="40" borderId="1" xfId="0" applyNumberFormat="1" applyFont="1" applyFill="1" applyBorder="1" applyAlignment="1">
      <alignment horizontal="center" vertical="center" wrapText="1"/>
    </xf>
    <xf numFmtId="9" fontId="9" fillId="40" borderId="1" xfId="0" applyNumberFormat="1" applyFont="1" applyFill="1" applyBorder="1" applyAlignment="1">
      <alignment horizontal="center" vertical="center" wrapText="1"/>
    </xf>
    <xf numFmtId="9" fontId="9" fillId="40" borderId="41" xfId="0" applyNumberFormat="1" applyFont="1" applyFill="1" applyBorder="1" applyAlignment="1">
      <alignment horizontal="center" vertical="center" wrapText="1"/>
    </xf>
    <xf numFmtId="9" fontId="11" fillId="40" borderId="49" xfId="0" applyNumberFormat="1" applyFont="1" applyFill="1" applyBorder="1" applyAlignment="1">
      <alignment horizontal="center" vertical="center"/>
    </xf>
    <xf numFmtId="9" fontId="11" fillId="40" borderId="44" xfId="0" applyNumberFormat="1" applyFont="1" applyFill="1" applyBorder="1" applyAlignment="1">
      <alignment horizontal="center" vertical="center"/>
    </xf>
    <xf numFmtId="9" fontId="3" fillId="40" borderId="49" xfId="0" applyNumberFormat="1" applyFont="1" applyFill="1" applyBorder="1" applyAlignment="1">
      <alignment horizontal="center" vertical="center"/>
    </xf>
    <xf numFmtId="9" fontId="3" fillId="40" borderId="44" xfId="0" applyNumberFormat="1" applyFont="1" applyFill="1" applyBorder="1" applyAlignment="1">
      <alignment horizontal="center" vertical="center"/>
    </xf>
    <xf numFmtId="0" fontId="9" fillId="0" borderId="99" xfId="0" applyFont="1" applyBorder="1" applyAlignment="1"/>
    <xf numFmtId="9" fontId="50" fillId="0" borderId="49" xfId="0" applyNumberFormat="1" applyFont="1" applyBorder="1" applyAlignment="1">
      <alignment horizontal="center" vertical="center" wrapText="1"/>
    </xf>
    <xf numFmtId="9" fontId="11" fillId="34" borderId="44" xfId="0" applyNumberFormat="1" applyFont="1" applyFill="1" applyBorder="1" applyAlignment="1">
      <alignment horizontal="center" vertical="center" wrapText="1"/>
    </xf>
    <xf numFmtId="0" fontId="9" fillId="0" borderId="95" xfId="0" applyFont="1" applyBorder="1" applyAlignment="1"/>
    <xf numFmtId="0" fontId="11" fillId="0" borderId="41" xfId="0" applyFont="1" applyBorder="1" applyAlignment="1">
      <alignment horizontal="center" vertical="center" wrapText="1"/>
    </xf>
    <xf numFmtId="9" fontId="57" fillId="0" borderId="41" xfId="0" applyNumberFormat="1" applyFont="1" applyBorder="1" applyAlignment="1">
      <alignment horizontal="center" vertical="center" wrapText="1"/>
    </xf>
    <xf numFmtId="0" fontId="6" fillId="6" borderId="0" xfId="0" applyFont="1" applyFill="1" applyAlignment="1">
      <alignment horizontal="center" vertical="center" wrapText="1"/>
    </xf>
    <xf numFmtId="0" fontId="58" fillId="6" borderId="0" xfId="0" applyFont="1" applyFill="1" applyAlignment="1">
      <alignment horizontal="center" vertical="center" wrapText="1"/>
    </xf>
    <xf numFmtId="0" fontId="11" fillId="6" borderId="0" xfId="0" applyFont="1" applyFill="1" applyAlignment="1">
      <alignment horizontal="center" vertical="center" wrapText="1"/>
    </xf>
    <xf numFmtId="9" fontId="62" fillId="6" borderId="0" xfId="0" applyNumberFormat="1" applyFont="1" applyFill="1" applyAlignment="1">
      <alignment horizontal="center" vertical="center" wrapText="1"/>
    </xf>
    <xf numFmtId="9" fontId="11" fillId="6" borderId="0" xfId="0" applyNumberFormat="1" applyFont="1" applyFill="1" applyAlignment="1">
      <alignment horizontal="center" vertical="center" wrapText="1"/>
    </xf>
    <xf numFmtId="0" fontId="6" fillId="15" borderId="94" xfId="0" applyFont="1" applyFill="1" applyBorder="1" applyAlignment="1">
      <alignment horizontal="center" vertical="center" wrapText="1"/>
    </xf>
    <xf numFmtId="0" fontId="58" fillId="0" borderId="48" xfId="0" applyFont="1" applyBorder="1" applyAlignment="1">
      <alignment horizontal="center" vertical="center" wrapText="1"/>
    </xf>
    <xf numFmtId="9" fontId="63" fillId="0" borderId="1" xfId="0" applyNumberFormat="1" applyFont="1" applyBorder="1" applyAlignment="1">
      <alignment horizontal="center" vertical="center" wrapText="1"/>
    </xf>
    <xf numFmtId="9" fontId="9" fillId="29" borderId="1" xfId="0" applyNumberFormat="1" applyFont="1" applyFill="1" applyBorder="1" applyAlignment="1">
      <alignment vertical="center" wrapText="1"/>
    </xf>
    <xf numFmtId="9" fontId="9" fillId="34" borderId="1" xfId="0" applyNumberFormat="1" applyFont="1" applyFill="1" applyBorder="1" applyAlignment="1">
      <alignment vertical="center" wrapText="1"/>
    </xf>
    <xf numFmtId="9" fontId="57" fillId="0" borderId="47" xfId="0" applyNumberFormat="1" applyFont="1" applyBorder="1" applyAlignment="1">
      <alignment horizontal="center" vertical="center" wrapText="1"/>
    </xf>
    <xf numFmtId="0" fontId="6" fillId="15" borderId="95" xfId="0" applyFont="1" applyFill="1" applyBorder="1" applyAlignment="1">
      <alignment horizontal="center" vertical="center" wrapText="1"/>
    </xf>
    <xf numFmtId="9" fontId="57" fillId="0" borderId="53" xfId="0" applyNumberFormat="1" applyFont="1" applyBorder="1" applyAlignment="1">
      <alignment horizontal="center" vertical="center" wrapText="1"/>
    </xf>
    <xf numFmtId="0" fontId="64" fillId="0" borderId="0" xfId="0" applyFont="1" applyAlignment="1">
      <alignment horizontal="center" vertical="center" wrapText="1"/>
    </xf>
    <xf numFmtId="0" fontId="65" fillId="0" borderId="0" xfId="0" applyFont="1" applyAlignment="1">
      <alignment horizontal="center" vertical="center" wrapText="1"/>
    </xf>
    <xf numFmtId="0" fontId="6" fillId="33" borderId="94" xfId="0" applyFont="1" applyFill="1" applyBorder="1" applyAlignment="1">
      <alignment horizontal="center" vertical="center" wrapText="1"/>
    </xf>
    <xf numFmtId="9" fontId="66" fillId="0" borderId="1" xfId="0" applyNumberFormat="1" applyFont="1" applyBorder="1" applyAlignment="1">
      <alignment horizontal="center" vertical="center" wrapText="1"/>
    </xf>
    <xf numFmtId="9" fontId="67" fillId="29" borderId="1" xfId="0" applyNumberFormat="1" applyFont="1" applyFill="1" applyBorder="1" applyAlignment="1">
      <alignment horizontal="center" vertical="center" wrapText="1"/>
    </xf>
    <xf numFmtId="178" fontId="66" fillId="0" borderId="1" xfId="0" applyNumberFormat="1" applyFont="1" applyBorder="1" applyAlignment="1">
      <alignment horizontal="center" vertical="center" wrapText="1"/>
    </xf>
    <xf numFmtId="178" fontId="11" fillId="29" borderId="1" xfId="0" applyNumberFormat="1" applyFont="1" applyFill="1" applyBorder="1" applyAlignment="1">
      <alignment horizontal="center" vertical="center" wrapText="1"/>
    </xf>
    <xf numFmtId="178" fontId="67" fillId="29" borderId="1" xfId="0" applyNumberFormat="1" applyFont="1" applyFill="1" applyBorder="1" applyAlignment="1">
      <alignment horizontal="center" vertical="center" wrapText="1"/>
    </xf>
    <xf numFmtId="0" fontId="6" fillId="33" borderId="95" xfId="0" applyFont="1" applyFill="1" applyBorder="1" applyAlignment="1">
      <alignment horizontal="center" vertical="center" wrapText="1"/>
    </xf>
    <xf numFmtId="178" fontId="58" fillId="0" borderId="55" xfId="0" applyNumberFormat="1" applyFont="1" applyBorder="1" applyAlignment="1">
      <alignment horizontal="center" vertical="center" wrapText="1"/>
    </xf>
    <xf numFmtId="178" fontId="58" fillId="0" borderId="41" xfId="0" applyNumberFormat="1" applyFont="1" applyBorder="1" applyAlignment="1">
      <alignment horizontal="center" vertical="center" wrapText="1"/>
    </xf>
    <xf numFmtId="178" fontId="66" fillId="0" borderId="41" xfId="0" applyNumberFormat="1" applyFont="1" applyBorder="1" applyAlignment="1">
      <alignment horizontal="center" vertical="center" wrapText="1"/>
    </xf>
    <xf numFmtId="178" fontId="11" fillId="29" borderId="41" xfId="0" applyNumberFormat="1" applyFont="1" applyFill="1" applyBorder="1" applyAlignment="1">
      <alignment horizontal="center" vertical="center" wrapText="1"/>
    </xf>
    <xf numFmtId="178" fontId="67" fillId="29" borderId="41" xfId="0" applyNumberFormat="1" applyFont="1" applyFill="1" applyBorder="1" applyAlignment="1">
      <alignment horizontal="center" vertical="center" wrapText="1"/>
    </xf>
    <xf numFmtId="9" fontId="61" fillId="29" borderId="41" xfId="0" applyNumberFormat="1" applyFont="1" applyFill="1" applyBorder="1" applyAlignment="1">
      <alignment horizontal="center" vertical="center" wrapText="1"/>
    </xf>
    <xf numFmtId="9" fontId="61" fillId="34" borderId="41" xfId="0" applyNumberFormat="1" applyFont="1" applyFill="1" applyBorder="1" applyAlignment="1">
      <alignment horizontal="center" vertical="center" wrapText="1"/>
    </xf>
    <xf numFmtId="9" fontId="61" fillId="36" borderId="41" xfId="0" applyNumberFormat="1" applyFont="1" applyFill="1" applyBorder="1" applyAlignment="1">
      <alignment horizontal="center" vertical="center" wrapText="1"/>
    </xf>
    <xf numFmtId="9" fontId="11" fillId="40" borderId="41" xfId="0" applyNumberFormat="1" applyFont="1" applyFill="1" applyBorder="1" applyAlignment="1">
      <alignment horizontal="center" vertical="center"/>
    </xf>
    <xf numFmtId="9" fontId="67" fillId="6" borderId="0" xfId="0" applyNumberFormat="1" applyFont="1" applyFill="1" applyAlignment="1">
      <alignment horizontal="center" vertical="center" wrapText="1"/>
    </xf>
    <xf numFmtId="9" fontId="68" fillId="6" borderId="0" xfId="0" applyNumberFormat="1" applyFont="1" applyFill="1" applyAlignment="1">
      <alignment horizontal="center" vertical="center"/>
    </xf>
    <xf numFmtId="9" fontId="61" fillId="29" borderId="44" xfId="0" applyNumberFormat="1" applyFont="1" applyFill="1" applyBorder="1" applyAlignment="1">
      <alignment horizontal="center" vertical="center" wrapText="1"/>
    </xf>
    <xf numFmtId="9" fontId="61" fillId="34" borderId="44" xfId="0" applyNumberFormat="1" applyFont="1" applyFill="1" applyBorder="1" applyAlignment="1">
      <alignment horizontal="center" vertical="center" wrapText="1"/>
    </xf>
    <xf numFmtId="9" fontId="61" fillId="36" borderId="44" xfId="0" applyNumberFormat="1" applyFont="1" applyFill="1" applyBorder="1" applyAlignment="1">
      <alignment horizontal="center" vertical="center" wrapText="1"/>
    </xf>
    <xf numFmtId="9" fontId="9" fillId="36" borderId="1" xfId="0" applyNumberFormat="1" applyFont="1" applyFill="1" applyBorder="1" applyAlignment="1">
      <alignment vertical="center" wrapText="1"/>
    </xf>
    <xf numFmtId="9" fontId="61" fillId="29" borderId="45" xfId="0" applyNumberFormat="1" applyFont="1" applyFill="1" applyBorder="1" applyAlignment="1">
      <alignment horizontal="center" vertical="center" wrapText="1"/>
    </xf>
    <xf numFmtId="9" fontId="61" fillId="34" borderId="45" xfId="0" applyNumberFormat="1" applyFont="1" applyFill="1" applyBorder="1" applyAlignment="1">
      <alignment horizontal="center" vertical="center" wrapText="1"/>
    </xf>
    <xf numFmtId="9" fontId="61" fillId="36" borderId="45" xfId="0" applyNumberFormat="1" applyFont="1" applyFill="1" applyBorder="1" applyAlignment="1">
      <alignment horizontal="center" vertical="center" wrapText="1"/>
    </xf>
    <xf numFmtId="9" fontId="9" fillId="40" borderId="48" xfId="0" applyNumberFormat="1" applyFont="1" applyFill="1" applyBorder="1" applyAlignment="1">
      <alignment horizontal="center" vertical="center"/>
    </xf>
    <xf numFmtId="9" fontId="9" fillId="40" borderId="55" xfId="0" applyNumberFormat="1" applyFont="1" applyFill="1" applyBorder="1" applyAlignment="1">
      <alignment horizontal="center" vertical="center"/>
    </xf>
    <xf numFmtId="0" fontId="65" fillId="0" borderId="0" xfId="0" applyFont="1" applyAlignment="1">
      <alignment horizontal="center" vertical="center"/>
    </xf>
    <xf numFmtId="9" fontId="11" fillId="0" borderId="1" xfId="0" applyNumberFormat="1" applyFont="1" applyBorder="1" applyAlignment="1">
      <alignment horizontal="left" vertical="center" wrapText="1"/>
    </xf>
    <xf numFmtId="9" fontId="3" fillId="0" borderId="1" xfId="0" applyNumberFormat="1" applyFont="1" applyBorder="1" applyAlignment="1">
      <alignment horizontal="center" vertical="center"/>
    </xf>
    <xf numFmtId="9" fontId="11" fillId="0" borderId="41" xfId="0" applyNumberFormat="1" applyFont="1" applyBorder="1" applyAlignment="1">
      <alignment horizontal="left" vertical="center" wrapText="1"/>
    </xf>
    <xf numFmtId="9" fontId="3" fillId="0" borderId="41" xfId="0" applyNumberFormat="1" applyFont="1" applyBorder="1" applyAlignment="1">
      <alignment horizontal="center" vertical="center"/>
    </xf>
    <xf numFmtId="0" fontId="11" fillId="0" borderId="0" xfId="0" applyFont="1">
      <alignment vertical="center"/>
    </xf>
    <xf numFmtId="9" fontId="68" fillId="40" borderId="1" xfId="0" applyNumberFormat="1" applyFont="1" applyFill="1" applyBorder="1" applyAlignment="1">
      <alignment horizontal="center" vertical="center"/>
    </xf>
    <xf numFmtId="9" fontId="69" fillId="40" borderId="1" xfId="0" applyNumberFormat="1" applyFont="1" applyFill="1" applyBorder="1" applyAlignment="1">
      <alignment horizontal="center" vertical="center"/>
    </xf>
    <xf numFmtId="0" fontId="10" fillId="0" borderId="56" xfId="0" applyFont="1" applyBorder="1" applyAlignment="1">
      <alignment horizontal="center" vertical="center"/>
    </xf>
    <xf numFmtId="9" fontId="69" fillId="40" borderId="41" xfId="0" applyNumberFormat="1" applyFont="1" applyFill="1" applyBorder="1" applyAlignment="1">
      <alignment horizontal="center" vertical="center"/>
    </xf>
    <xf numFmtId="0" fontId="10" fillId="0" borderId="42" xfId="0" applyFont="1" applyBorder="1" applyAlignment="1">
      <alignment horizontal="center" vertical="center"/>
    </xf>
    <xf numFmtId="0" fontId="10" fillId="0" borderId="0" xfId="0" applyFont="1">
      <alignment vertical="center"/>
    </xf>
    <xf numFmtId="0" fontId="9" fillId="0" borderId="0" xfId="0" applyFont="1">
      <alignment vertical="center"/>
    </xf>
    <xf numFmtId="179" fontId="9" fillId="0" borderId="0" xfId="0" applyNumberFormat="1" applyFont="1">
      <alignment vertical="center"/>
    </xf>
    <xf numFmtId="0" fontId="44" fillId="2" borderId="57" xfId="0" applyFont="1" applyFill="1" applyBorder="1" applyAlignment="1">
      <alignment horizontal="center" vertical="center"/>
    </xf>
    <xf numFmtId="0" fontId="44" fillId="2" borderId="58" xfId="0" applyFont="1" applyFill="1" applyBorder="1" applyAlignment="1">
      <alignment horizontal="center" vertical="center"/>
    </xf>
    <xf numFmtId="9" fontId="25" fillId="10" borderId="100" xfId="0" applyNumberFormat="1" applyFont="1" applyFill="1" applyBorder="1" applyAlignment="1">
      <alignment horizontal="center" vertical="center" wrapText="1"/>
    </xf>
    <xf numFmtId="9" fontId="25" fillId="10" borderId="101" xfId="0" applyNumberFormat="1" applyFont="1" applyFill="1" applyBorder="1" applyAlignment="1">
      <alignment horizontal="center" vertical="center" wrapText="1"/>
    </xf>
    <xf numFmtId="9" fontId="25" fillId="10" borderId="89" xfId="0" applyNumberFormat="1" applyFont="1" applyFill="1" applyBorder="1" applyAlignment="1">
      <alignment horizontal="center" vertical="center" wrapText="1"/>
    </xf>
    <xf numFmtId="9" fontId="25" fillId="19" borderId="93" xfId="0" applyNumberFormat="1" applyFont="1" applyFill="1" applyBorder="1" applyAlignment="1">
      <alignment horizontal="center" vertical="center" wrapText="1"/>
    </xf>
    <xf numFmtId="9" fontId="9" fillId="0" borderId="84" xfId="0" applyNumberFormat="1" applyFont="1" applyBorder="1" applyAlignment="1">
      <alignment horizontal="center" vertical="center" wrapText="1"/>
    </xf>
    <xf numFmtId="9" fontId="9" fillId="0" borderId="43" xfId="0" applyNumberFormat="1" applyFont="1" applyBorder="1" applyAlignment="1">
      <alignment horizontal="center" vertical="center" wrapText="1"/>
    </xf>
    <xf numFmtId="9" fontId="9" fillId="0" borderId="43" xfId="0" applyNumberFormat="1" applyFont="1" applyBorder="1" applyAlignment="1">
      <alignment horizontal="left" vertical="center" wrapText="1"/>
    </xf>
    <xf numFmtId="9" fontId="25" fillId="19" borderId="94" xfId="0" applyNumberFormat="1" applyFont="1" applyFill="1" applyBorder="1" applyAlignment="1">
      <alignment horizontal="center" vertical="center" wrapText="1"/>
    </xf>
    <xf numFmtId="9" fontId="9" fillId="0" borderId="48" xfId="0" applyNumberFormat="1" applyFont="1" applyBorder="1" applyAlignment="1">
      <alignment horizontal="center" vertical="center" wrapText="1"/>
    </xf>
    <xf numFmtId="9" fontId="9" fillId="0" borderId="1" xfId="0" applyNumberFormat="1" applyFont="1" applyBorder="1" applyAlignment="1">
      <alignment horizontal="left" vertical="center" wrapText="1"/>
    </xf>
    <xf numFmtId="9" fontId="25" fillId="19" borderId="95" xfId="0" applyNumberFormat="1" applyFont="1" applyFill="1" applyBorder="1" applyAlignment="1">
      <alignment horizontal="center" vertical="center" wrapText="1"/>
    </xf>
    <xf numFmtId="9" fontId="9" fillId="0" borderId="55" xfId="0" applyNumberFormat="1" applyFont="1" applyBorder="1" applyAlignment="1">
      <alignment horizontal="center" vertical="center" wrapText="1"/>
    </xf>
    <xf numFmtId="9" fontId="9" fillId="0" borderId="41" xfId="0" applyNumberFormat="1" applyFont="1" applyBorder="1" applyAlignment="1">
      <alignment horizontal="left" vertical="center" wrapText="1"/>
    </xf>
    <xf numFmtId="9" fontId="25" fillId="3" borderId="93" xfId="0" applyNumberFormat="1" applyFont="1" applyFill="1" applyBorder="1" applyAlignment="1">
      <alignment horizontal="center" vertical="center" wrapText="1"/>
    </xf>
    <xf numFmtId="9" fontId="25" fillId="3" borderId="94" xfId="0" applyNumberFormat="1" applyFont="1" applyFill="1" applyBorder="1" applyAlignment="1">
      <alignment horizontal="center" vertical="center" wrapText="1"/>
    </xf>
    <xf numFmtId="9" fontId="25" fillId="3" borderId="95" xfId="0" applyNumberFormat="1" applyFont="1" applyFill="1" applyBorder="1" applyAlignment="1">
      <alignment horizontal="center" vertical="center" wrapText="1"/>
    </xf>
    <xf numFmtId="9" fontId="25" fillId="10" borderId="93" xfId="0" applyNumberFormat="1" applyFont="1" applyFill="1" applyBorder="1" applyAlignment="1">
      <alignment horizontal="center" vertical="center" textRotation="255" wrapText="1"/>
    </xf>
    <xf numFmtId="9" fontId="25" fillId="10" borderId="94" xfId="0" applyNumberFormat="1" applyFont="1" applyFill="1" applyBorder="1" applyAlignment="1">
      <alignment horizontal="center" vertical="center" textRotation="255" wrapText="1"/>
    </xf>
    <xf numFmtId="9" fontId="25" fillId="10" borderId="95" xfId="0" applyNumberFormat="1" applyFont="1" applyFill="1" applyBorder="1" applyAlignment="1">
      <alignment horizontal="center" vertical="center" textRotation="255" wrapText="1"/>
    </xf>
    <xf numFmtId="9" fontId="25" fillId="5" borderId="93" xfId="0" applyNumberFormat="1" applyFont="1" applyFill="1" applyBorder="1" applyAlignment="1">
      <alignment horizontal="center" vertical="center" textRotation="255" wrapText="1"/>
    </xf>
    <xf numFmtId="9" fontId="25" fillId="5" borderId="94" xfId="0" applyNumberFormat="1" applyFont="1" applyFill="1" applyBorder="1" applyAlignment="1">
      <alignment horizontal="center" vertical="center" textRotation="255" wrapText="1"/>
    </xf>
    <xf numFmtId="9" fontId="47" fillId="5" borderId="95" xfId="0" applyNumberFormat="1" applyFont="1" applyFill="1" applyBorder="1" applyAlignment="1">
      <alignment horizontal="center" vertical="center" textRotation="255" wrapText="1"/>
    </xf>
    <xf numFmtId="9" fontId="25" fillId="17" borderId="93" xfId="0" applyNumberFormat="1" applyFont="1" applyFill="1" applyBorder="1" applyAlignment="1">
      <alignment horizontal="center" vertical="center" textRotation="255" wrapText="1"/>
    </xf>
    <xf numFmtId="9" fontId="9" fillId="0" borderId="74" xfId="0" applyNumberFormat="1" applyFont="1" applyBorder="1" applyAlignment="1">
      <alignment horizontal="center" vertical="center" wrapText="1"/>
    </xf>
    <xf numFmtId="9" fontId="25" fillId="17" borderId="94" xfId="0" applyNumberFormat="1" applyFont="1" applyFill="1" applyBorder="1" applyAlignment="1">
      <alignment horizontal="center" vertical="center" textRotation="255" wrapText="1"/>
    </xf>
    <xf numFmtId="9" fontId="47" fillId="17" borderId="94" xfId="0" applyNumberFormat="1" applyFont="1" applyFill="1" applyBorder="1" applyAlignment="1">
      <alignment horizontal="center" vertical="center" textRotation="255" wrapText="1"/>
    </xf>
    <xf numFmtId="0" fontId="9" fillId="0" borderId="43" xfId="0" applyFont="1" applyBorder="1" applyAlignment="1">
      <alignment horizontal="center" vertical="center" wrapText="1"/>
    </xf>
    <xf numFmtId="179" fontId="70" fillId="2" borderId="58" xfId="0" applyNumberFormat="1" applyFont="1" applyFill="1" applyBorder="1" applyAlignment="1">
      <alignment horizontal="center" vertical="center"/>
    </xf>
    <xf numFmtId="0" fontId="70" fillId="2" borderId="58" xfId="0" applyFont="1" applyFill="1" applyBorder="1" applyAlignment="1">
      <alignment horizontal="center" vertical="center"/>
    </xf>
    <xf numFmtId="0" fontId="70" fillId="2" borderId="64" xfId="0" applyFont="1" applyFill="1" applyBorder="1" applyAlignment="1">
      <alignment horizontal="center" vertical="center"/>
    </xf>
    <xf numFmtId="0" fontId="25" fillId="10" borderId="89" xfId="0" applyFont="1" applyFill="1" applyBorder="1" applyAlignment="1">
      <alignment horizontal="center" vertical="center" wrapText="1"/>
    </xf>
    <xf numFmtId="179" fontId="25" fillId="10" borderId="89" xfId="0" applyNumberFormat="1" applyFont="1" applyFill="1" applyBorder="1" applyAlignment="1">
      <alignment horizontal="center" vertical="center" wrapText="1"/>
    </xf>
    <xf numFmtId="0" fontId="25" fillId="10" borderId="91" xfId="0" applyFont="1" applyFill="1" applyBorder="1" applyAlignment="1">
      <alignment horizontal="center" vertical="center" wrapText="1"/>
    </xf>
    <xf numFmtId="179" fontId="9" fillId="0" borderId="43" xfId="0" applyNumberFormat="1" applyFont="1" applyBorder="1" applyAlignment="1">
      <alignment horizontal="center" vertical="center" wrapText="1"/>
    </xf>
    <xf numFmtId="9" fontId="9" fillId="0" borderId="62" xfId="0" applyNumberFormat="1" applyFont="1" applyBorder="1" applyAlignment="1">
      <alignment horizontal="center" vertical="center" wrapText="1"/>
    </xf>
    <xf numFmtId="179" fontId="9" fillId="0" borderId="1" xfId="0" applyNumberFormat="1" applyFont="1" applyBorder="1" applyAlignment="1">
      <alignment horizontal="center" vertical="center" wrapText="1"/>
    </xf>
    <xf numFmtId="9" fontId="9" fillId="0" borderId="56" xfId="0" applyNumberFormat="1" applyFont="1" applyBorder="1" applyAlignment="1">
      <alignment horizontal="center" vertical="center" wrapText="1"/>
    </xf>
    <xf numFmtId="179" fontId="9" fillId="0" borderId="41" xfId="0" applyNumberFormat="1" applyFont="1" applyBorder="1" applyAlignment="1">
      <alignment horizontal="center" vertical="center" wrapText="1"/>
    </xf>
    <xf numFmtId="9" fontId="9" fillId="0" borderId="42"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9" fontId="10" fillId="0" borderId="41" xfId="0" applyNumberFormat="1" applyFont="1" applyBorder="1" applyAlignment="1">
      <alignment horizontal="center" vertical="center" wrapText="1"/>
    </xf>
    <xf numFmtId="9" fontId="10" fillId="0" borderId="42" xfId="0" applyNumberFormat="1" applyFont="1" applyBorder="1" applyAlignment="1">
      <alignment horizontal="center" vertical="center" wrapText="1"/>
    </xf>
    <xf numFmtId="179" fontId="9" fillId="0" borderId="45" xfId="0" applyNumberFormat="1" applyFont="1" applyBorder="1" applyAlignment="1">
      <alignment horizontal="center" vertical="center" wrapText="1"/>
    </xf>
    <xf numFmtId="9" fontId="9" fillId="0" borderId="69" xfId="0" applyNumberFormat="1" applyFont="1" applyBorder="1" applyAlignment="1">
      <alignment horizontal="center" vertical="center" wrapText="1"/>
    </xf>
    <xf numFmtId="9" fontId="47" fillId="17" borderId="95" xfId="0" applyNumberFormat="1" applyFont="1" applyFill="1" applyBorder="1" applyAlignment="1">
      <alignment horizontal="center" vertical="center" textRotation="255" wrapText="1"/>
    </xf>
    <xf numFmtId="9" fontId="9" fillId="0" borderId="49" xfId="0" applyNumberFormat="1" applyFont="1" applyBorder="1" applyAlignment="1">
      <alignment horizontal="center" vertical="center" wrapText="1"/>
    </xf>
    <xf numFmtId="9" fontId="25" fillId="15" borderId="93" xfId="0" applyNumberFormat="1" applyFont="1" applyFill="1" applyBorder="1" applyAlignment="1">
      <alignment horizontal="center" vertical="center" wrapText="1"/>
    </xf>
    <xf numFmtId="9" fontId="25" fillId="15" borderId="94" xfId="0" applyNumberFormat="1" applyFont="1" applyFill="1" applyBorder="1" applyAlignment="1">
      <alignment horizontal="center" vertical="center" wrapText="1"/>
    </xf>
    <xf numFmtId="9" fontId="49" fillId="15" borderId="94" xfId="0" applyNumberFormat="1" applyFont="1" applyFill="1" applyBorder="1" applyAlignment="1">
      <alignment horizontal="center" vertical="center" wrapText="1"/>
    </xf>
    <xf numFmtId="9" fontId="49" fillId="15" borderId="95" xfId="0" applyNumberFormat="1" applyFont="1" applyFill="1" applyBorder="1" applyAlignment="1">
      <alignment horizontal="center" vertical="center" wrapText="1"/>
    </xf>
    <xf numFmtId="9" fontId="25" fillId="2" borderId="93" xfId="0" applyNumberFormat="1" applyFont="1" applyFill="1" applyBorder="1" applyAlignment="1">
      <alignment horizontal="center" vertical="center" textRotation="255" wrapText="1"/>
    </xf>
    <xf numFmtId="9" fontId="25" fillId="2" borderId="94" xfId="0" applyNumberFormat="1" applyFont="1" applyFill="1" applyBorder="1" applyAlignment="1">
      <alignment horizontal="center" vertical="center" textRotation="255" wrapText="1"/>
    </xf>
    <xf numFmtId="9" fontId="25" fillId="2" borderId="95" xfId="0" applyNumberFormat="1" applyFont="1" applyFill="1" applyBorder="1" applyAlignment="1">
      <alignment horizontal="center" vertical="center" textRotation="255" wrapText="1"/>
    </xf>
    <xf numFmtId="0" fontId="49" fillId="0" borderId="88" xfId="0" applyFont="1" applyBorder="1" applyAlignment="1">
      <alignment horizontal="center" vertical="center" wrapText="1"/>
    </xf>
    <xf numFmtId="0" fontId="49" fillId="0" borderId="89" xfId="0" applyFont="1" applyBorder="1" applyAlignment="1">
      <alignment horizontal="center" vertical="center" wrapText="1"/>
    </xf>
    <xf numFmtId="9" fontId="71" fillId="0" borderId="0" xfId="0" applyNumberFormat="1" applyFont="1" applyAlignment="1">
      <alignment horizontal="center" vertical="center" wrapText="1"/>
    </xf>
    <xf numFmtId="177" fontId="9" fillId="0" borderId="45" xfId="0" applyNumberFormat="1" applyFont="1" applyBorder="1" applyAlignment="1">
      <alignment horizontal="center" vertical="center" wrapText="1"/>
    </xf>
    <xf numFmtId="177" fontId="9" fillId="0" borderId="44" xfId="0" applyNumberFormat="1" applyFont="1" applyBorder="1" applyAlignment="1">
      <alignment horizontal="center" vertical="center" wrapText="1"/>
    </xf>
    <xf numFmtId="179" fontId="9" fillId="0" borderId="44" xfId="0" applyNumberFormat="1" applyFont="1" applyBorder="1" applyAlignment="1">
      <alignment horizontal="center" vertical="center" wrapText="1"/>
    </xf>
    <xf numFmtId="9" fontId="9" fillId="0" borderId="63" xfId="0" applyNumberFormat="1" applyFont="1" applyBorder="1" applyAlignment="1">
      <alignment horizontal="center" vertical="center" wrapText="1"/>
    </xf>
    <xf numFmtId="0" fontId="49" fillId="0" borderId="91" xfId="0" applyFont="1" applyBorder="1" applyAlignment="1">
      <alignment horizontal="center" vertical="center" wrapText="1"/>
    </xf>
    <xf numFmtId="0" fontId="71" fillId="0" borderId="0" xfId="0" applyFont="1" applyAlignment="1">
      <alignment horizontal="center" vertical="center" wrapText="1"/>
    </xf>
    <xf numFmtId="179" fontId="72" fillId="0" borderId="0" xfId="0" applyNumberFormat="1" applyFont="1" applyAlignment="1">
      <alignment horizontal="center" vertical="center" wrapText="1"/>
    </xf>
    <xf numFmtId="0" fontId="50" fillId="0" borderId="0" xfId="0" applyFont="1">
      <alignment vertical="center"/>
    </xf>
    <xf numFmtId="179" fontId="3" fillId="0" borderId="0" xfId="0" applyNumberFormat="1" applyFont="1">
      <alignment vertical="center"/>
    </xf>
    <xf numFmtId="0" fontId="6" fillId="33" borderId="93" xfId="0" applyFont="1" applyFill="1" applyBorder="1" applyAlignment="1">
      <alignment horizontal="center" vertical="center" wrapText="1"/>
    </xf>
    <xf numFmtId="0" fontId="3" fillId="0" borderId="84" xfId="0" applyFont="1" applyBorder="1" applyAlignment="1">
      <alignment horizontal="center" vertical="center" wrapText="1"/>
    </xf>
    <xf numFmtId="0" fontId="9" fillId="0" borderId="58" xfId="0" applyFont="1" applyBorder="1" applyAlignment="1">
      <alignment horizontal="center" vertical="center" wrapText="1"/>
    </xf>
    <xf numFmtId="0" fontId="3" fillId="0" borderId="58"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55" xfId="0" applyFont="1" applyBorder="1" applyAlignment="1">
      <alignment horizontal="center" vertical="center" wrapText="1"/>
    </xf>
    <xf numFmtId="0" fontId="6" fillId="3" borderId="93" xfId="0" applyFont="1" applyFill="1" applyBorder="1" applyAlignment="1">
      <alignment horizontal="center" vertical="center" wrapText="1"/>
    </xf>
    <xf numFmtId="0" fontId="6" fillId="3" borderId="94" xfId="0" applyFont="1" applyFill="1" applyBorder="1" applyAlignment="1">
      <alignment horizontal="center" vertical="center" wrapText="1"/>
    </xf>
    <xf numFmtId="0" fontId="6" fillId="3" borderId="95" xfId="0" applyFont="1" applyFill="1" applyBorder="1" applyAlignment="1">
      <alignment horizontal="center" vertical="center" wrapText="1"/>
    </xf>
    <xf numFmtId="0" fontId="24" fillId="10" borderId="93" xfId="0" applyFont="1" applyFill="1" applyBorder="1" applyAlignment="1">
      <alignment horizontal="center" vertical="center" wrapText="1"/>
    </xf>
    <xf numFmtId="0" fontId="6" fillId="10" borderId="94" xfId="0" applyFont="1" applyFill="1" applyBorder="1" applyAlignment="1">
      <alignment horizontal="center" vertical="center" wrapText="1"/>
    </xf>
    <xf numFmtId="0" fontId="73" fillId="10" borderId="94" xfId="0" applyFont="1" applyFill="1" applyBorder="1" applyAlignment="1">
      <alignment horizontal="center" vertical="center" wrapText="1"/>
    </xf>
    <xf numFmtId="0" fontId="9" fillId="0" borderId="48" xfId="0" applyFont="1" applyBorder="1" applyAlignment="1">
      <alignment horizontal="center" vertical="center" wrapText="1"/>
    </xf>
    <xf numFmtId="0" fontId="6" fillId="10" borderId="95" xfId="0" applyFont="1" applyFill="1" applyBorder="1" applyAlignment="1">
      <alignment horizontal="center" vertical="center" wrapText="1"/>
    </xf>
    <xf numFmtId="0" fontId="6" fillId="13" borderId="96" xfId="0" applyFont="1" applyFill="1" applyBorder="1" applyAlignment="1">
      <alignment horizontal="center" vertical="center" wrapText="1"/>
    </xf>
    <xf numFmtId="0" fontId="6" fillId="13" borderId="97" xfId="0" applyFont="1" applyFill="1" applyBorder="1" applyAlignment="1">
      <alignment horizontal="center" vertical="center" wrapText="1"/>
    </xf>
    <xf numFmtId="0" fontId="6" fillId="13" borderId="98" xfId="0" applyFont="1" applyFill="1" applyBorder="1" applyAlignment="1">
      <alignment horizontal="center" vertical="center" wrapText="1"/>
    </xf>
    <xf numFmtId="0" fontId="6" fillId="17" borderId="96" xfId="0" applyFont="1" applyFill="1" applyBorder="1" applyAlignment="1">
      <alignment horizontal="center" vertical="center" wrapText="1"/>
    </xf>
    <xf numFmtId="0" fontId="6" fillId="17" borderId="97" xfId="0" applyFont="1" applyFill="1" applyBorder="1" applyAlignment="1">
      <alignment horizontal="center" vertical="center" wrapText="1"/>
    </xf>
    <xf numFmtId="179" fontId="44" fillId="2" borderId="90" xfId="0" applyNumberFormat="1" applyFont="1" applyFill="1" applyBorder="1" applyAlignment="1">
      <alignment horizontal="center" vertical="center"/>
    </xf>
    <xf numFmtId="0" fontId="70" fillId="2" borderId="90" xfId="0" applyFont="1" applyFill="1" applyBorder="1" applyAlignment="1">
      <alignment horizontal="center" vertical="center"/>
    </xf>
    <xf numFmtId="179" fontId="45" fillId="10" borderId="89" xfId="0" applyNumberFormat="1" applyFont="1" applyFill="1" applyBorder="1" applyAlignment="1">
      <alignment horizontal="center" vertical="center" wrapText="1"/>
    </xf>
    <xf numFmtId="0" fontId="45" fillId="10" borderId="102" xfId="0" applyFont="1" applyFill="1" applyBorder="1" applyAlignment="1">
      <alignment horizontal="center" vertical="center" wrapText="1"/>
    </xf>
    <xf numFmtId="0" fontId="74" fillId="0" borderId="1" xfId="0" applyFont="1" applyBorder="1" applyAlignment="1">
      <alignment horizontal="center" vertical="center" wrapText="1"/>
    </xf>
    <xf numFmtId="0" fontId="70" fillId="2" borderId="92" xfId="0" applyFont="1" applyFill="1" applyBorder="1" applyAlignment="1">
      <alignment horizontal="center" vertical="center"/>
    </xf>
    <xf numFmtId="0" fontId="9" fillId="0" borderId="62" xfId="0" applyFont="1" applyBorder="1" applyAlignment="1">
      <alignment horizontal="center" vertical="center" wrapText="1"/>
    </xf>
    <xf numFmtId="0" fontId="9" fillId="0" borderId="42"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56" xfId="0" applyFont="1" applyBorder="1" applyAlignment="1">
      <alignment horizontal="center" vertical="center" wrapText="1"/>
    </xf>
    <xf numFmtId="0" fontId="3" fillId="0" borderId="48"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59" fillId="17" borderId="98" xfId="0" applyFont="1" applyFill="1" applyBorder="1" applyAlignment="1">
      <alignment horizontal="center" vertical="center" wrapText="1"/>
    </xf>
    <xf numFmtId="0" fontId="6" fillId="15" borderId="96" xfId="0" applyFont="1" applyFill="1" applyBorder="1" applyAlignment="1">
      <alignment horizontal="center" vertical="center" wrapText="1"/>
    </xf>
    <xf numFmtId="0" fontId="6" fillId="15" borderId="97" xfId="0" applyFont="1" applyFill="1" applyBorder="1" applyAlignment="1">
      <alignment horizontal="center" vertical="center" wrapText="1"/>
    </xf>
    <xf numFmtId="0" fontId="9" fillId="0" borderId="49" xfId="0" applyFont="1" applyBorder="1" applyAlignment="1">
      <alignment horizontal="center" vertical="center" wrapText="1"/>
    </xf>
    <xf numFmtId="0" fontId="6" fillId="15" borderId="98" xfId="0" applyFont="1" applyFill="1" applyBorder="1" applyAlignment="1">
      <alignment horizontal="center" vertical="center" wrapText="1"/>
    </xf>
    <xf numFmtId="0" fontId="49" fillId="0" borderId="80" xfId="0" applyFont="1" applyBorder="1" applyAlignment="1">
      <alignment horizontal="center" vertical="center" wrapText="1"/>
    </xf>
    <xf numFmtId="0" fontId="49" fillId="0" borderId="81" xfId="0" applyFont="1" applyBorder="1" applyAlignment="1">
      <alignment horizontal="center" vertical="center" wrapText="1"/>
    </xf>
    <xf numFmtId="0" fontId="9" fillId="0" borderId="63" xfId="0" applyFont="1" applyBorder="1" applyAlignment="1">
      <alignment horizontal="center" vertical="center" wrapText="1"/>
    </xf>
    <xf numFmtId="0" fontId="49" fillId="0" borderId="82" xfId="0" applyFont="1" applyBorder="1" applyAlignment="1">
      <alignment horizontal="center" vertical="center" wrapText="1"/>
    </xf>
    <xf numFmtId="0" fontId="45" fillId="10" borderId="93" xfId="0" applyFont="1" applyFill="1" applyBorder="1" applyAlignment="1">
      <alignment horizontal="center" vertical="center"/>
    </xf>
    <xf numFmtId="0" fontId="45" fillId="10" borderId="84" xfId="0" applyFont="1" applyFill="1" applyBorder="1" applyAlignment="1">
      <alignment horizontal="center" vertical="center"/>
    </xf>
    <xf numFmtId="0" fontId="45" fillId="10" borderId="43" xfId="0" applyFont="1" applyFill="1" applyBorder="1" applyAlignment="1">
      <alignment horizontal="center" vertical="center"/>
    </xf>
    <xf numFmtId="0" fontId="45" fillId="10" borderId="95" xfId="0" applyFont="1" applyFill="1" applyBorder="1" applyAlignment="1">
      <alignment horizontal="center" vertical="center"/>
    </xf>
    <xf numFmtId="0" fontId="45" fillId="10" borderId="55" xfId="0" applyFont="1" applyFill="1" applyBorder="1" applyAlignment="1">
      <alignment horizontal="center" vertical="center"/>
    </xf>
    <xf numFmtId="0" fontId="45" fillId="10" borderId="41" xfId="0" applyFont="1" applyFill="1" applyBorder="1" applyAlignment="1">
      <alignment horizontal="center" vertical="center"/>
    </xf>
    <xf numFmtId="0" fontId="24" fillId="10" borderId="103" xfId="0" applyFont="1" applyFill="1" applyBorder="1" applyAlignment="1">
      <alignment horizontal="center" vertical="center"/>
    </xf>
    <xf numFmtId="0" fontId="9" fillId="12" borderId="74" xfId="0" applyFont="1" applyFill="1" applyBorder="1" applyAlignment="1">
      <alignment horizontal="center" vertical="center" wrapText="1"/>
    </xf>
    <xf numFmtId="0" fontId="11" fillId="12" borderId="45" xfId="0" applyFont="1" applyFill="1" applyBorder="1" applyAlignment="1">
      <alignment horizontal="center" vertical="center"/>
    </xf>
    <xf numFmtId="0" fontId="9" fillId="12" borderId="45" xfId="0" applyFont="1" applyFill="1" applyBorder="1" applyAlignment="1">
      <alignment horizontal="center" vertical="center" wrapText="1"/>
    </xf>
    <xf numFmtId="0" fontId="11" fillId="12" borderId="45" xfId="0" applyFont="1" applyFill="1" applyBorder="1" applyAlignment="1">
      <alignment horizontal="center" vertical="center" wrapText="1"/>
    </xf>
    <xf numFmtId="0" fontId="6" fillId="10" borderId="94" xfId="0" applyFont="1" applyFill="1" applyBorder="1" applyAlignment="1">
      <alignment horizontal="center" vertical="center"/>
    </xf>
    <xf numFmtId="0" fontId="9" fillId="12" borderId="48" xfId="0" applyFont="1" applyFill="1" applyBorder="1" applyAlignment="1">
      <alignment horizontal="center" vertical="center" wrapText="1"/>
    </xf>
    <xf numFmtId="0" fontId="11" fillId="12" borderId="1" xfId="0" applyFont="1" applyFill="1" applyBorder="1" applyAlignment="1">
      <alignment horizontal="center" vertical="center"/>
    </xf>
    <xf numFmtId="0" fontId="9" fillId="12" borderId="1" xfId="0" applyFont="1" applyFill="1" applyBorder="1" applyAlignment="1">
      <alignment horizontal="center" vertical="center" wrapText="1"/>
    </xf>
    <xf numFmtId="0" fontId="11" fillId="12" borderId="44" xfId="0" applyFont="1" applyFill="1" applyBorder="1" applyAlignment="1">
      <alignment horizontal="center" vertical="center" wrapText="1"/>
    </xf>
    <xf numFmtId="0" fontId="11" fillId="12" borderId="16" xfId="0" applyFont="1" applyFill="1" applyBorder="1" applyAlignment="1">
      <alignment horizontal="center" vertical="center" wrapText="1"/>
    </xf>
    <xf numFmtId="0" fontId="9" fillId="12" borderId="1" xfId="0" applyFont="1" applyFill="1" applyBorder="1" applyAlignment="1">
      <alignment horizontal="center" vertical="center"/>
    </xf>
    <xf numFmtId="0" fontId="3" fillId="12" borderId="48"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6" fillId="10" borderId="95" xfId="0" applyFont="1" applyFill="1" applyBorder="1" applyAlignment="1">
      <alignment horizontal="center" vertical="center"/>
    </xf>
    <xf numFmtId="0" fontId="6" fillId="3" borderId="93" xfId="0" applyFont="1" applyFill="1" applyBorder="1" applyAlignment="1">
      <alignment horizontal="center" vertical="center"/>
    </xf>
    <xf numFmtId="0" fontId="6" fillId="3" borderId="94" xfId="0" applyFont="1" applyFill="1" applyBorder="1" applyAlignment="1">
      <alignment horizontal="center" vertical="center"/>
    </xf>
    <xf numFmtId="0" fontId="6" fillId="3" borderId="95" xfId="0" applyFont="1" applyFill="1" applyBorder="1" applyAlignment="1">
      <alignment horizontal="center" vertical="center"/>
    </xf>
    <xf numFmtId="0" fontId="9" fillId="12" borderId="49" xfId="0" applyFont="1" applyFill="1" applyBorder="1" applyAlignment="1">
      <alignment horizontal="center" vertical="center" wrapText="1"/>
    </xf>
    <xf numFmtId="0" fontId="9" fillId="12" borderId="44" xfId="0" applyFont="1" applyFill="1" applyBorder="1" applyAlignment="1">
      <alignment horizontal="center" vertical="center"/>
    </xf>
    <xf numFmtId="0" fontId="11" fillId="12" borderId="44" xfId="0" applyFont="1" applyFill="1" applyBorder="1" applyAlignment="1">
      <alignment horizontal="center" vertical="center"/>
    </xf>
    <xf numFmtId="0" fontId="6" fillId="25" borderId="96" xfId="0" applyFont="1" applyFill="1" applyBorder="1" applyAlignment="1">
      <alignment horizontal="center" vertical="center"/>
    </xf>
    <xf numFmtId="0" fontId="6" fillId="25" borderId="97" xfId="0" applyFont="1" applyFill="1" applyBorder="1" applyAlignment="1">
      <alignment horizontal="center" vertical="center"/>
    </xf>
    <xf numFmtId="0" fontId="10" fillId="12" borderId="1" xfId="0" applyFont="1" applyFill="1" applyBorder="1" applyAlignment="1">
      <alignment horizontal="center" vertical="center" wrapText="1"/>
    </xf>
    <xf numFmtId="0" fontId="11" fillId="12" borderId="46" xfId="0" applyFont="1" applyFill="1" applyBorder="1" applyAlignment="1">
      <alignment horizontal="center" vertical="center"/>
    </xf>
    <xf numFmtId="0" fontId="11" fillId="12" borderId="49" xfId="0" applyFont="1" applyFill="1" applyBorder="1" applyAlignment="1">
      <alignment horizontal="center" vertical="center"/>
    </xf>
    <xf numFmtId="0" fontId="11" fillId="12" borderId="72" xfId="0" applyFont="1" applyFill="1" applyBorder="1" applyAlignment="1">
      <alignment horizontal="center" vertical="center"/>
    </xf>
    <xf numFmtId="0" fontId="11" fillId="12" borderId="75" xfId="0" applyFont="1" applyFill="1" applyBorder="1" applyAlignment="1">
      <alignment horizontal="center" vertical="center"/>
    </xf>
    <xf numFmtId="0" fontId="6" fillId="25" borderId="98" xfId="0" applyFont="1" applyFill="1" applyBorder="1" applyAlignment="1">
      <alignment horizontal="center" vertical="center"/>
    </xf>
    <xf numFmtId="0" fontId="11" fillId="12" borderId="68" xfId="0" applyFont="1" applyFill="1" applyBorder="1" applyAlignment="1">
      <alignment horizontal="center" vertical="center"/>
    </xf>
    <xf numFmtId="0" fontId="11" fillId="12" borderId="74" xfId="0" applyFont="1" applyFill="1" applyBorder="1" applyAlignment="1">
      <alignment horizontal="center" vertical="center"/>
    </xf>
    <xf numFmtId="0" fontId="6" fillId="17" borderId="93" xfId="0" applyFont="1" applyFill="1" applyBorder="1" applyAlignment="1">
      <alignment horizontal="center" vertical="center"/>
    </xf>
    <xf numFmtId="0" fontId="36" fillId="17" borderId="94" xfId="0" applyFont="1" applyFill="1" applyBorder="1">
      <alignment vertical="center"/>
    </xf>
    <xf numFmtId="0" fontId="45" fillId="10" borderId="67" xfId="0" applyFont="1" applyFill="1" applyBorder="1" applyAlignment="1">
      <alignment horizontal="center" vertical="center"/>
    </xf>
    <xf numFmtId="0" fontId="45" fillId="10" borderId="53" xfId="0" applyFont="1" applyFill="1" applyBorder="1" applyAlignment="1">
      <alignment horizontal="center" vertical="center" wrapText="1"/>
    </xf>
    <xf numFmtId="0" fontId="9" fillId="12" borderId="68"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46" xfId="0" applyFont="1" applyFill="1" applyBorder="1" applyAlignment="1">
      <alignment horizontal="center" vertical="center" wrapText="1"/>
    </xf>
    <xf numFmtId="0" fontId="9" fillId="12" borderId="46" xfId="0" applyFont="1" applyFill="1" applyBorder="1" applyAlignment="1">
      <alignment horizontal="center" vertical="center" wrapText="1"/>
    </xf>
    <xf numFmtId="0" fontId="9" fillId="12" borderId="72" xfId="0" applyFont="1" applyFill="1" applyBorder="1" applyAlignment="1">
      <alignment horizontal="center" vertical="center" wrapText="1"/>
    </xf>
    <xf numFmtId="0" fontId="9" fillId="12" borderId="47" xfId="0" applyFont="1" applyFill="1" applyBorder="1" applyAlignment="1">
      <alignment horizontal="center" vertical="center" wrapText="1"/>
    </xf>
    <xf numFmtId="0" fontId="36" fillId="17" borderId="95" xfId="0" applyFont="1" applyFill="1" applyBorder="1">
      <alignment vertical="center"/>
    </xf>
    <xf numFmtId="0" fontId="6" fillId="15" borderId="96" xfId="0" applyFont="1" applyFill="1" applyBorder="1" applyAlignment="1">
      <alignment horizontal="center" vertical="center"/>
    </xf>
    <xf numFmtId="0" fontId="3" fillId="12" borderId="1" xfId="0" applyFont="1" applyFill="1" applyBorder="1" applyAlignment="1">
      <alignment horizontal="center" vertical="center"/>
    </xf>
    <xf numFmtId="0" fontId="3" fillId="12" borderId="46" xfId="0" applyFont="1" applyFill="1" applyBorder="1" applyAlignment="1">
      <alignment horizontal="center" vertical="center"/>
    </xf>
    <xf numFmtId="0" fontId="3" fillId="12" borderId="49" xfId="0" applyFont="1" applyFill="1" applyBorder="1" applyAlignment="1">
      <alignment horizontal="center" vertical="center"/>
    </xf>
    <xf numFmtId="0" fontId="3" fillId="12" borderId="44" xfId="0" applyFont="1" applyFill="1" applyBorder="1" applyAlignment="1">
      <alignment horizontal="center" vertical="center" wrapText="1"/>
    </xf>
    <xf numFmtId="0" fontId="6" fillId="15" borderId="97" xfId="0" applyFont="1" applyFill="1" applyBorder="1" applyAlignment="1">
      <alignment horizontal="center" vertical="center"/>
    </xf>
    <xf numFmtId="0" fontId="3" fillId="12" borderId="72" xfId="0" applyFont="1" applyFill="1" applyBorder="1" applyAlignment="1">
      <alignment horizontal="center" vertical="center"/>
    </xf>
    <xf numFmtId="0" fontId="3" fillId="12" borderId="75" xfId="0" applyFont="1" applyFill="1" applyBorder="1" applyAlignment="1">
      <alignment horizontal="center" vertical="center"/>
    </xf>
    <xf numFmtId="0" fontId="3" fillId="12" borderId="16" xfId="0" applyFont="1" applyFill="1" applyBorder="1" applyAlignment="1">
      <alignment horizontal="center" vertical="center" wrapText="1"/>
    </xf>
    <xf numFmtId="0" fontId="6" fillId="15" borderId="98" xfId="0" applyFont="1" applyFill="1" applyBorder="1" applyAlignment="1">
      <alignment horizontal="center" vertical="center"/>
    </xf>
    <xf numFmtId="0" fontId="3" fillId="12" borderId="68" xfId="0" applyFont="1" applyFill="1" applyBorder="1" applyAlignment="1">
      <alignment horizontal="center" vertical="center"/>
    </xf>
    <xf numFmtId="0" fontId="3" fillId="12" borderId="74" xfId="0" applyFont="1" applyFill="1" applyBorder="1" applyAlignment="1">
      <alignment horizontal="center" vertical="center"/>
    </xf>
    <xf numFmtId="0" fontId="3" fillId="12" borderId="45" xfId="0" applyFont="1" applyFill="1" applyBorder="1" applyAlignment="1">
      <alignment horizontal="center" vertical="center" wrapText="1"/>
    </xf>
    <xf numFmtId="0" fontId="6" fillId="33" borderId="93" xfId="0" applyFont="1" applyFill="1" applyBorder="1" applyAlignment="1">
      <alignment horizontal="center" vertical="center"/>
    </xf>
    <xf numFmtId="0" fontId="6" fillId="33" borderId="94" xfId="0" applyFont="1" applyFill="1" applyBorder="1">
      <alignment vertical="center"/>
    </xf>
    <xf numFmtId="0" fontId="6" fillId="33" borderId="99" xfId="0" applyFont="1" applyFill="1" applyBorder="1">
      <alignment vertical="center"/>
    </xf>
    <xf numFmtId="0" fontId="3" fillId="12" borderId="49" xfId="0" applyFont="1" applyFill="1" applyBorder="1" applyAlignment="1">
      <alignment horizontal="center" vertical="center" wrapText="1"/>
    </xf>
    <xf numFmtId="0" fontId="3" fillId="12" borderId="44" xfId="0" applyFont="1" applyFill="1" applyBorder="1" applyAlignment="1">
      <alignment horizontal="center" vertical="center"/>
    </xf>
    <xf numFmtId="0" fontId="20" fillId="12" borderId="96" xfId="0" applyFont="1" applyFill="1" applyBorder="1" applyAlignment="1">
      <alignment horizontal="center" vertical="center"/>
    </xf>
    <xf numFmtId="0" fontId="23" fillId="12" borderId="84" xfId="0" applyFont="1" applyFill="1" applyBorder="1" applyAlignment="1">
      <alignment horizontal="center" vertical="center" wrapText="1"/>
    </xf>
    <xf numFmtId="0" fontId="23" fillId="12" borderId="43" xfId="0" applyFont="1" applyFill="1" applyBorder="1" applyAlignment="1">
      <alignment horizontal="center" vertical="center" wrapText="1"/>
    </xf>
    <xf numFmtId="0" fontId="20" fillId="12" borderId="98" xfId="0" applyFont="1" applyFill="1" applyBorder="1" applyAlignment="1">
      <alignment horizontal="center" vertical="center"/>
    </xf>
    <xf numFmtId="0" fontId="23" fillId="12" borderId="55" xfId="0" applyFont="1" applyFill="1" applyBorder="1" applyAlignment="1">
      <alignment horizontal="center" vertical="center" wrapText="1"/>
    </xf>
    <xf numFmtId="0" fontId="23" fillId="12" borderId="41" xfId="0" applyFont="1" applyFill="1" applyBorder="1" applyAlignment="1">
      <alignment horizontal="center" vertical="center" wrapText="1"/>
    </xf>
    <xf numFmtId="0" fontId="23" fillId="12" borderId="62" xfId="0" applyFont="1" applyFill="1" applyBorder="1" applyAlignment="1">
      <alignment horizontal="center" vertical="center" wrapText="1"/>
    </xf>
    <xf numFmtId="0" fontId="23" fillId="12" borderId="42" xfId="0" applyFont="1" applyFill="1" applyBorder="1" applyAlignment="1">
      <alignment horizontal="center" vertical="center" wrapText="1"/>
    </xf>
    <xf numFmtId="0" fontId="35" fillId="2" borderId="31" xfId="0" applyFont="1" applyFill="1" applyBorder="1" applyAlignment="1">
      <alignment horizontal="center" vertical="center"/>
    </xf>
    <xf numFmtId="0" fontId="35" fillId="2" borderId="62" xfId="0" applyFont="1" applyFill="1" applyBorder="1" applyAlignment="1">
      <alignment horizontal="center" vertical="center"/>
    </xf>
    <xf numFmtId="0" fontId="35" fillId="2" borderId="50" xfId="0" applyFont="1" applyFill="1" applyBorder="1" applyAlignment="1">
      <alignment horizontal="center" vertical="center"/>
    </xf>
    <xf numFmtId="0" fontId="35" fillId="2" borderId="51" xfId="0" applyFont="1" applyFill="1" applyBorder="1" applyAlignment="1">
      <alignment horizontal="center" vertical="center"/>
    </xf>
    <xf numFmtId="0" fontId="25" fillId="10" borderId="37" xfId="0" applyFont="1" applyFill="1" applyBorder="1" applyAlignment="1">
      <alignment horizontal="center" vertical="center"/>
    </xf>
    <xf numFmtId="0" fontId="75" fillId="0" borderId="56" xfId="0" applyFont="1" applyBorder="1" applyAlignment="1">
      <alignment horizontal="left" vertical="center"/>
    </xf>
    <xf numFmtId="0" fontId="76" fillId="10" borderId="85" xfId="0" applyFont="1" applyFill="1" applyBorder="1" applyAlignment="1">
      <alignment horizontal="center" vertical="center"/>
    </xf>
    <xf numFmtId="0" fontId="77" fillId="0" borderId="47" xfId="0" applyFont="1" applyBorder="1" applyAlignment="1">
      <alignment horizontal="left" vertical="center"/>
    </xf>
    <xf numFmtId="0" fontId="78" fillId="0" borderId="52" xfId="0" applyFont="1" applyBorder="1" applyAlignment="1">
      <alignment horizontal="left" vertical="center"/>
    </xf>
    <xf numFmtId="0" fontId="25" fillId="10" borderId="38" xfId="0" applyFont="1" applyFill="1" applyBorder="1" applyAlignment="1">
      <alignment horizontal="center" vertical="center"/>
    </xf>
    <xf numFmtId="0" fontId="79" fillId="0" borderId="56" xfId="0" applyFont="1" applyBorder="1" applyAlignment="1">
      <alignment horizontal="left" vertical="center"/>
    </xf>
    <xf numFmtId="0" fontId="76" fillId="10" borderId="80" xfId="0" applyFont="1" applyFill="1" applyBorder="1" applyAlignment="1">
      <alignment horizontal="center" vertical="center"/>
    </xf>
    <xf numFmtId="0" fontId="77" fillId="0" borderId="53" xfId="0" applyFont="1" applyBorder="1" applyAlignment="1">
      <alignment horizontal="left" vertical="center"/>
    </xf>
    <xf numFmtId="0" fontId="78" fillId="0" borderId="54" xfId="0" applyFont="1" applyBorder="1" applyAlignment="1">
      <alignment horizontal="left" vertical="center"/>
    </xf>
    <xf numFmtId="0" fontId="76" fillId="2" borderId="80"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35" fillId="2" borderId="34" xfId="0" applyFont="1" applyFill="1" applyBorder="1" applyAlignment="1">
      <alignment horizontal="center" vertical="center"/>
    </xf>
    <xf numFmtId="0" fontId="78" fillId="0" borderId="36" xfId="0" applyFont="1" applyBorder="1" applyAlignment="1">
      <alignment horizontal="left" vertical="center"/>
    </xf>
    <xf numFmtId="0" fontId="78" fillId="0" borderId="76" xfId="0" applyFont="1" applyBorder="1" applyAlignment="1">
      <alignment horizontal="left" vertical="center"/>
    </xf>
    <xf numFmtId="0" fontId="9" fillId="0" borderId="1" xfId="0"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8890</xdr:colOff>
      <xdr:row>7</xdr:row>
      <xdr:rowOff>119380</xdr:rowOff>
    </xdr:from>
    <xdr:ext cx="7012544" cy="578049"/>
    <xdr:sp>
      <xdr:nvSpPr>
        <xdr:cNvPr id="2" name="矩形 1"/>
        <xdr:cNvSpPr/>
      </xdr:nvSpPr>
      <xdr:spPr>
        <a:xfrm rot="19260000">
          <a:off x="8890" y="3201670"/>
          <a:ext cx="7012305"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60960</xdr:colOff>
      <xdr:row>10</xdr:row>
      <xdr:rowOff>265285</xdr:rowOff>
    </xdr:from>
    <xdr:ext cx="2744983" cy="578685"/>
    <xdr:sp>
      <xdr:nvSpPr>
        <xdr:cNvPr id="2" name="矩形 1"/>
        <xdr:cNvSpPr/>
      </xdr:nvSpPr>
      <xdr:spPr>
        <a:xfrm rot="19440000">
          <a:off x="4853940" y="416306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88265</xdr:colOff>
      <xdr:row>32</xdr:row>
      <xdr:rowOff>107805</xdr:rowOff>
    </xdr:from>
    <xdr:ext cx="2744982" cy="578685"/>
    <xdr:sp>
      <xdr:nvSpPr>
        <xdr:cNvPr id="3" name="矩形 2"/>
        <xdr:cNvSpPr/>
      </xdr:nvSpPr>
      <xdr:spPr>
        <a:xfrm rot="19440000">
          <a:off x="4881245" y="1238758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259080</xdr:colOff>
      <xdr:row>57</xdr:row>
      <xdr:rowOff>261776</xdr:rowOff>
    </xdr:from>
    <xdr:ext cx="2744982" cy="578685"/>
    <xdr:sp>
      <xdr:nvSpPr>
        <xdr:cNvPr id="4" name="矩形 3"/>
        <xdr:cNvSpPr/>
      </xdr:nvSpPr>
      <xdr:spPr>
        <a:xfrm rot="19440000">
          <a:off x="5052060" y="2206688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850265</xdr:colOff>
      <xdr:row>78</xdr:row>
      <xdr:rowOff>64770</xdr:rowOff>
    </xdr:from>
    <xdr:ext cx="2744982" cy="578685"/>
    <xdr:sp>
      <xdr:nvSpPr>
        <xdr:cNvPr id="5" name="矩形 4"/>
        <xdr:cNvSpPr/>
      </xdr:nvSpPr>
      <xdr:spPr>
        <a:xfrm rot="19440000">
          <a:off x="5643245" y="298710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374015</xdr:colOff>
      <xdr:row>8</xdr:row>
      <xdr:rowOff>80164</xdr:rowOff>
    </xdr:from>
    <xdr:ext cx="3118998" cy="2375254"/>
    <xdr:sp>
      <xdr:nvSpPr>
        <xdr:cNvPr id="2" name="矩形 1"/>
        <xdr:cNvSpPr/>
      </xdr:nvSpPr>
      <xdr:spPr>
        <a:xfrm rot="19380000">
          <a:off x="10168255" y="3395345"/>
          <a:ext cx="3118485" cy="237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411480</xdr:colOff>
      <xdr:row>26</xdr:row>
      <xdr:rowOff>188450</xdr:rowOff>
    </xdr:from>
    <xdr:ext cx="3156463" cy="767135"/>
    <xdr:sp>
      <xdr:nvSpPr>
        <xdr:cNvPr id="3" name="矩形 2"/>
        <xdr:cNvSpPr/>
      </xdr:nvSpPr>
      <xdr:spPr>
        <a:xfrm rot="19380000">
          <a:off x="10205720" y="10904220"/>
          <a:ext cx="3155950" cy="76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523875</xdr:colOff>
      <xdr:row>48</xdr:row>
      <xdr:rowOff>106199</xdr:rowOff>
    </xdr:from>
    <xdr:ext cx="3268858" cy="684884"/>
    <xdr:sp>
      <xdr:nvSpPr>
        <xdr:cNvPr id="4" name="矩形 3"/>
        <xdr:cNvSpPr/>
      </xdr:nvSpPr>
      <xdr:spPr>
        <a:xfrm rot="19380000">
          <a:off x="10318115" y="19699605"/>
          <a:ext cx="3268345" cy="68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498475</xdr:colOff>
      <xdr:row>72</xdr:row>
      <xdr:rowOff>264694</xdr:rowOff>
    </xdr:from>
    <xdr:ext cx="3243458" cy="835759"/>
    <xdr:sp>
      <xdr:nvSpPr>
        <xdr:cNvPr id="5" name="矩形 4"/>
        <xdr:cNvSpPr/>
      </xdr:nvSpPr>
      <xdr:spPr>
        <a:xfrm rot="19380000">
          <a:off x="10292715" y="29001720"/>
          <a:ext cx="3242945" cy="835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6</xdr:col>
      <xdr:colOff>153042</xdr:colOff>
      <xdr:row>9</xdr:row>
      <xdr:rowOff>506407</xdr:rowOff>
    </xdr:from>
    <xdr:ext cx="2744982" cy="1085092"/>
    <xdr:sp>
      <xdr:nvSpPr>
        <xdr:cNvPr id="2" name="矩形 1"/>
        <xdr:cNvSpPr/>
      </xdr:nvSpPr>
      <xdr:spPr>
        <a:xfrm rot="19380000">
          <a:off x="6641465" y="5130165"/>
          <a:ext cx="2744470" cy="1085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13</xdr:col>
      <xdr:colOff>1638954</xdr:colOff>
      <xdr:row>9</xdr:row>
      <xdr:rowOff>310583</xdr:rowOff>
    </xdr:from>
    <xdr:ext cx="2744983" cy="889268"/>
    <xdr:sp>
      <xdr:nvSpPr>
        <xdr:cNvPr id="3" name="矩形 2"/>
        <xdr:cNvSpPr/>
      </xdr:nvSpPr>
      <xdr:spPr>
        <a:xfrm rot="19380000">
          <a:off x="18388965" y="4934585"/>
          <a:ext cx="274447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275611</xdr:colOff>
      <xdr:row>35</xdr:row>
      <xdr:rowOff>118562</xdr:rowOff>
    </xdr:from>
    <xdr:ext cx="2744983" cy="578685"/>
    <xdr:sp>
      <xdr:nvSpPr>
        <xdr:cNvPr id="4" name="矩形 3"/>
        <xdr:cNvSpPr/>
      </xdr:nvSpPr>
      <xdr:spPr>
        <a:xfrm rot="19380000">
          <a:off x="6764020" y="1920811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13</xdr:col>
      <xdr:colOff>1723356</xdr:colOff>
      <xdr:row>34</xdr:row>
      <xdr:rowOff>308589</xdr:rowOff>
    </xdr:from>
    <xdr:ext cx="2744982" cy="578685"/>
    <xdr:sp>
      <xdr:nvSpPr>
        <xdr:cNvPr id="5" name="矩形 4"/>
        <xdr:cNvSpPr/>
      </xdr:nvSpPr>
      <xdr:spPr>
        <a:xfrm rot="19380000">
          <a:off x="18472785" y="18152110"/>
          <a:ext cx="2745105"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421501</xdr:colOff>
      <xdr:row>56</xdr:row>
      <xdr:rowOff>449069</xdr:rowOff>
    </xdr:from>
    <xdr:ext cx="2562240" cy="993064"/>
    <xdr:sp>
      <xdr:nvSpPr>
        <xdr:cNvPr id="6" name="矩形 5"/>
        <xdr:cNvSpPr/>
      </xdr:nvSpPr>
      <xdr:spPr>
        <a:xfrm rot="19380000">
          <a:off x="6909435" y="31469330"/>
          <a:ext cx="2562225" cy="993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6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6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6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6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13</xdr:col>
      <xdr:colOff>2173623</xdr:colOff>
      <xdr:row>56</xdr:row>
      <xdr:rowOff>322528</xdr:rowOff>
    </xdr:from>
    <xdr:ext cx="2744982" cy="901213"/>
    <xdr:sp>
      <xdr:nvSpPr>
        <xdr:cNvPr id="7" name="矩形 6"/>
        <xdr:cNvSpPr/>
      </xdr:nvSpPr>
      <xdr:spPr>
        <a:xfrm rot="19380000">
          <a:off x="18923635" y="31342330"/>
          <a:ext cx="2744470" cy="90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8</xdr:col>
      <xdr:colOff>291465</xdr:colOff>
      <xdr:row>19</xdr:row>
      <xdr:rowOff>144780</xdr:rowOff>
    </xdr:from>
    <xdr:ext cx="2744983" cy="578685"/>
    <xdr:sp>
      <xdr:nvSpPr>
        <xdr:cNvPr id="2" name="矩形 1"/>
        <xdr:cNvSpPr/>
      </xdr:nvSpPr>
      <xdr:spPr>
        <a:xfrm rot="19380000">
          <a:off x="6875145" y="776732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17</xdr:col>
      <xdr:colOff>100330</xdr:colOff>
      <xdr:row>107</xdr:row>
      <xdr:rowOff>184785</xdr:rowOff>
    </xdr:from>
    <xdr:ext cx="2744983" cy="578685"/>
    <xdr:sp>
      <xdr:nvSpPr>
        <xdr:cNvPr id="4" name="矩形 3"/>
        <xdr:cNvSpPr/>
      </xdr:nvSpPr>
      <xdr:spPr>
        <a:xfrm rot="19380000">
          <a:off x="13671550" y="449967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7</xdr:col>
      <xdr:colOff>38100</xdr:colOff>
      <xdr:row>149</xdr:row>
      <xdr:rowOff>45085</xdr:rowOff>
    </xdr:from>
    <xdr:ext cx="2744983" cy="578685"/>
    <xdr:sp>
      <xdr:nvSpPr>
        <xdr:cNvPr id="5" name="矩形 5"/>
        <xdr:cNvSpPr/>
      </xdr:nvSpPr>
      <xdr:spPr>
        <a:xfrm rot="20520000">
          <a:off x="5925820" y="626154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17</xdr:col>
      <xdr:colOff>154305</xdr:colOff>
      <xdr:row>17</xdr:row>
      <xdr:rowOff>302260</xdr:rowOff>
    </xdr:from>
    <xdr:ext cx="2744982" cy="639645"/>
    <xdr:sp>
      <xdr:nvSpPr>
        <xdr:cNvPr id="6" name="矩形 6"/>
        <xdr:cNvSpPr/>
      </xdr:nvSpPr>
      <xdr:spPr>
        <a:xfrm rot="19380000">
          <a:off x="13725525" y="7162800"/>
          <a:ext cx="2744470" cy="639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648335</xdr:colOff>
      <xdr:row>79</xdr:row>
      <xdr:rowOff>351790</xdr:rowOff>
    </xdr:from>
    <xdr:ext cx="2744983" cy="578685"/>
    <xdr:sp>
      <xdr:nvSpPr>
        <xdr:cNvPr id="7" name="矩形 7"/>
        <xdr:cNvSpPr/>
      </xdr:nvSpPr>
      <xdr:spPr>
        <a:xfrm rot="19380000">
          <a:off x="7232015" y="3374644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234315</xdr:colOff>
      <xdr:row>107</xdr:row>
      <xdr:rowOff>288925</xdr:rowOff>
    </xdr:from>
    <xdr:ext cx="2744982" cy="578685"/>
    <xdr:sp>
      <xdr:nvSpPr>
        <xdr:cNvPr id="8" name="矩形 8"/>
        <xdr:cNvSpPr/>
      </xdr:nvSpPr>
      <xdr:spPr>
        <a:xfrm rot="19380000">
          <a:off x="6817995" y="451008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248285</xdr:colOff>
      <xdr:row>124</xdr:row>
      <xdr:rowOff>118745</xdr:rowOff>
    </xdr:from>
    <xdr:ext cx="2744983" cy="578685"/>
    <xdr:sp>
      <xdr:nvSpPr>
        <xdr:cNvPr id="10" name="矩形 11"/>
        <xdr:cNvSpPr/>
      </xdr:nvSpPr>
      <xdr:spPr>
        <a:xfrm rot="19980000">
          <a:off x="6831965" y="514076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13</xdr:col>
      <xdr:colOff>257810</xdr:colOff>
      <xdr:row>156</xdr:row>
      <xdr:rowOff>52070</xdr:rowOff>
    </xdr:from>
    <xdr:ext cx="2744983" cy="578685"/>
    <xdr:sp>
      <xdr:nvSpPr>
        <xdr:cNvPr id="11" name="矩形 12"/>
        <xdr:cNvSpPr/>
      </xdr:nvSpPr>
      <xdr:spPr>
        <a:xfrm rot="19980000">
          <a:off x="10321290" y="649014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351790</xdr:colOff>
      <xdr:row>155</xdr:row>
      <xdr:rowOff>301625</xdr:rowOff>
    </xdr:from>
    <xdr:ext cx="2744470" cy="578485"/>
    <xdr:sp>
      <xdr:nvSpPr>
        <xdr:cNvPr id="12" name="矩形 11"/>
        <xdr:cNvSpPr/>
      </xdr:nvSpPr>
      <xdr:spPr>
        <a:xfrm rot="19980000">
          <a:off x="3409950" y="647700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17</xdr:col>
      <xdr:colOff>250190</xdr:colOff>
      <xdr:row>144</xdr:row>
      <xdr:rowOff>0</xdr:rowOff>
    </xdr:from>
    <xdr:ext cx="2744470" cy="814705"/>
    <xdr:sp>
      <xdr:nvSpPr>
        <xdr:cNvPr id="13" name="矩形 12"/>
        <xdr:cNvSpPr/>
      </xdr:nvSpPr>
      <xdr:spPr>
        <a:xfrm rot="19980000">
          <a:off x="13821410" y="60242450"/>
          <a:ext cx="2744470" cy="814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16</xdr:col>
      <xdr:colOff>523875</xdr:colOff>
      <xdr:row>57</xdr:row>
      <xdr:rowOff>154940</xdr:rowOff>
    </xdr:from>
    <xdr:ext cx="2744470" cy="578485"/>
    <xdr:sp>
      <xdr:nvSpPr>
        <xdr:cNvPr id="14" name="矩形 12"/>
        <xdr:cNvSpPr/>
      </xdr:nvSpPr>
      <xdr:spPr>
        <a:xfrm rot="19980000">
          <a:off x="13037185" y="2516759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17</xdr:col>
      <xdr:colOff>104140</xdr:colOff>
      <xdr:row>77</xdr:row>
      <xdr:rowOff>268605</xdr:rowOff>
    </xdr:from>
    <xdr:ext cx="2744470" cy="578485"/>
    <xdr:sp>
      <xdr:nvSpPr>
        <xdr:cNvPr id="15" name="矩形 12"/>
        <xdr:cNvSpPr/>
      </xdr:nvSpPr>
      <xdr:spPr>
        <a:xfrm rot="19980000">
          <a:off x="13675360" y="3290125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248285</xdr:colOff>
      <xdr:row>29</xdr:row>
      <xdr:rowOff>0</xdr:rowOff>
    </xdr:from>
    <xdr:ext cx="2744470" cy="578485"/>
    <xdr:sp>
      <xdr:nvSpPr>
        <xdr:cNvPr id="16" name="矩形 12"/>
        <xdr:cNvSpPr/>
      </xdr:nvSpPr>
      <xdr:spPr>
        <a:xfrm rot="19980000">
          <a:off x="5440045" y="1159700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17</xdr:col>
      <xdr:colOff>271780</xdr:colOff>
      <xdr:row>41</xdr:row>
      <xdr:rowOff>246380</xdr:rowOff>
    </xdr:from>
    <xdr:ext cx="2744470" cy="639445"/>
    <xdr:sp>
      <xdr:nvSpPr>
        <xdr:cNvPr id="17" name="矩形 12"/>
        <xdr:cNvSpPr/>
      </xdr:nvSpPr>
      <xdr:spPr>
        <a:xfrm rot="19980000">
          <a:off x="13843000" y="17501870"/>
          <a:ext cx="2744470" cy="639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16</xdr:col>
      <xdr:colOff>944245</xdr:colOff>
      <xdr:row>29</xdr:row>
      <xdr:rowOff>0</xdr:rowOff>
    </xdr:from>
    <xdr:ext cx="2744470" cy="639445"/>
    <xdr:sp>
      <xdr:nvSpPr>
        <xdr:cNvPr id="18" name="矩形 12"/>
        <xdr:cNvSpPr/>
      </xdr:nvSpPr>
      <xdr:spPr>
        <a:xfrm rot="19980000">
          <a:off x="13457555" y="11597005"/>
          <a:ext cx="2744470" cy="639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8</xdr:col>
      <xdr:colOff>291465</xdr:colOff>
      <xdr:row>19</xdr:row>
      <xdr:rowOff>144780</xdr:rowOff>
    </xdr:from>
    <xdr:ext cx="2744983" cy="578685"/>
    <xdr:sp>
      <xdr:nvSpPr>
        <xdr:cNvPr id="19" name="矩形 18"/>
        <xdr:cNvSpPr/>
      </xdr:nvSpPr>
      <xdr:spPr>
        <a:xfrm rot="19380000">
          <a:off x="6875145" y="776732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7</xdr:col>
      <xdr:colOff>359410</xdr:colOff>
      <xdr:row>62</xdr:row>
      <xdr:rowOff>0</xdr:rowOff>
    </xdr:from>
    <xdr:ext cx="2712720" cy="553085"/>
    <xdr:sp>
      <xdr:nvSpPr>
        <xdr:cNvPr id="21" name="矩形 20"/>
        <xdr:cNvSpPr/>
      </xdr:nvSpPr>
      <xdr:spPr>
        <a:xfrm rot="19380000">
          <a:off x="6247130" y="26917650"/>
          <a:ext cx="2712720" cy="55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7</xdr:col>
      <xdr:colOff>320675</xdr:colOff>
      <xdr:row>40</xdr:row>
      <xdr:rowOff>3810</xdr:rowOff>
    </xdr:from>
    <xdr:ext cx="2744470" cy="578485"/>
    <xdr:sp>
      <xdr:nvSpPr>
        <xdr:cNvPr id="3" name="矩形 12"/>
        <xdr:cNvSpPr/>
      </xdr:nvSpPr>
      <xdr:spPr>
        <a:xfrm rot="19980000">
          <a:off x="6208395" y="168783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383540</xdr:colOff>
      <xdr:row>47</xdr:row>
      <xdr:rowOff>331470</xdr:rowOff>
    </xdr:from>
    <xdr:ext cx="2744470" cy="578485"/>
    <xdr:sp>
      <xdr:nvSpPr>
        <xdr:cNvPr id="9" name="矩形 12"/>
        <xdr:cNvSpPr/>
      </xdr:nvSpPr>
      <xdr:spPr>
        <a:xfrm rot="19980000">
          <a:off x="5575300" y="2082673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13</xdr:row>
      <xdr:rowOff>184763</xdr:rowOff>
    </xdr:from>
    <xdr:ext cx="2744983" cy="578685"/>
    <xdr:sp>
      <xdr:nvSpPr>
        <xdr:cNvPr id="2" name="矩形 1"/>
        <xdr:cNvSpPr/>
      </xdr:nvSpPr>
      <xdr:spPr>
        <a:xfrm rot="19320000">
          <a:off x="7783830" y="424243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0</xdr:colOff>
      <xdr:row>36</xdr:row>
      <xdr:rowOff>250568</xdr:rowOff>
    </xdr:from>
    <xdr:ext cx="2744983" cy="578685"/>
    <xdr:sp>
      <xdr:nvSpPr>
        <xdr:cNvPr id="3" name="矩形 2"/>
        <xdr:cNvSpPr/>
      </xdr:nvSpPr>
      <xdr:spPr>
        <a:xfrm rot="19320000">
          <a:off x="7783830" y="1219962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10167</xdr:colOff>
      <xdr:row>66</xdr:row>
      <xdr:rowOff>310569</xdr:rowOff>
    </xdr:from>
    <xdr:ext cx="2744983" cy="578685"/>
    <xdr:sp>
      <xdr:nvSpPr>
        <xdr:cNvPr id="4" name="矩形 3"/>
        <xdr:cNvSpPr/>
      </xdr:nvSpPr>
      <xdr:spPr>
        <a:xfrm rot="19320000">
          <a:off x="7793990" y="2356040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0</xdr:colOff>
      <xdr:row>95</xdr:row>
      <xdr:rowOff>94954</xdr:rowOff>
    </xdr:from>
    <xdr:ext cx="2744983" cy="578685"/>
    <xdr:sp>
      <xdr:nvSpPr>
        <xdr:cNvPr id="5" name="矩形 4"/>
        <xdr:cNvSpPr/>
      </xdr:nvSpPr>
      <xdr:spPr>
        <a:xfrm rot="19320000">
          <a:off x="7783830" y="3360166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0</xdr:colOff>
      <xdr:row>129</xdr:row>
      <xdr:rowOff>205142</xdr:rowOff>
    </xdr:from>
    <xdr:ext cx="2744983" cy="578685"/>
    <xdr:sp>
      <xdr:nvSpPr>
        <xdr:cNvPr id="6" name="矩形 5"/>
        <xdr:cNvSpPr/>
      </xdr:nvSpPr>
      <xdr:spPr>
        <a:xfrm rot="19320000">
          <a:off x="7783830" y="4395343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0</xdr:colOff>
      <xdr:row>154</xdr:row>
      <xdr:rowOff>343054</xdr:rowOff>
    </xdr:from>
    <xdr:ext cx="2744983" cy="578685"/>
    <xdr:sp>
      <xdr:nvSpPr>
        <xdr:cNvPr id="7" name="矩形 6"/>
        <xdr:cNvSpPr/>
      </xdr:nvSpPr>
      <xdr:spPr>
        <a:xfrm rot="19320000">
          <a:off x="7783830" y="538333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0</xdr:colOff>
      <xdr:row>177</xdr:row>
      <xdr:rowOff>531610</xdr:rowOff>
    </xdr:from>
    <xdr:ext cx="2744983" cy="578685"/>
    <xdr:sp>
      <xdr:nvSpPr>
        <xdr:cNvPr id="8" name="矩形 7"/>
        <xdr:cNvSpPr/>
      </xdr:nvSpPr>
      <xdr:spPr>
        <a:xfrm rot="19320000">
          <a:off x="7783830" y="613200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1755104</xdr:colOff>
      <xdr:row>195</xdr:row>
      <xdr:rowOff>190957</xdr:rowOff>
    </xdr:from>
    <xdr:ext cx="2744982" cy="578685"/>
    <xdr:sp>
      <xdr:nvSpPr>
        <xdr:cNvPr id="9" name="矩形 8"/>
        <xdr:cNvSpPr/>
      </xdr:nvSpPr>
      <xdr:spPr>
        <a:xfrm rot="19320000">
          <a:off x="7737475" y="68140580"/>
          <a:ext cx="2745105"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1694815</xdr:colOff>
      <xdr:row>230</xdr:row>
      <xdr:rowOff>873118</xdr:rowOff>
    </xdr:from>
    <xdr:ext cx="2744982" cy="578685"/>
    <xdr:sp>
      <xdr:nvSpPr>
        <xdr:cNvPr id="10" name="矩形 9"/>
        <xdr:cNvSpPr/>
      </xdr:nvSpPr>
      <xdr:spPr>
        <a:xfrm rot="19320000">
          <a:off x="7677785" y="8469122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6</xdr:col>
      <xdr:colOff>377825</xdr:colOff>
      <xdr:row>19</xdr:row>
      <xdr:rowOff>257030</xdr:rowOff>
    </xdr:from>
    <xdr:ext cx="2744982" cy="578685"/>
    <xdr:sp>
      <xdr:nvSpPr>
        <xdr:cNvPr id="2" name="矩形 1"/>
        <xdr:cNvSpPr/>
      </xdr:nvSpPr>
      <xdr:spPr>
        <a:xfrm rot="18960000">
          <a:off x="8667115" y="711581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96519</xdr:colOff>
      <xdr:row>41</xdr:row>
      <xdr:rowOff>311380</xdr:rowOff>
    </xdr:from>
    <xdr:ext cx="2744983" cy="578685"/>
    <xdr:sp>
      <xdr:nvSpPr>
        <xdr:cNvPr id="3" name="矩形 2"/>
        <xdr:cNvSpPr/>
      </xdr:nvSpPr>
      <xdr:spPr>
        <a:xfrm rot="18960000">
          <a:off x="8385175" y="15251430"/>
          <a:ext cx="2745105"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377825</xdr:colOff>
      <xdr:row>19</xdr:row>
      <xdr:rowOff>257030</xdr:rowOff>
    </xdr:from>
    <xdr:ext cx="2744982" cy="578685"/>
    <xdr:sp>
      <xdr:nvSpPr>
        <xdr:cNvPr id="4" name="矩形 7"/>
        <xdr:cNvSpPr/>
      </xdr:nvSpPr>
      <xdr:spPr>
        <a:xfrm rot="18960000">
          <a:off x="8667115" y="711581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95885</xdr:colOff>
      <xdr:row>40</xdr:row>
      <xdr:rowOff>331960</xdr:rowOff>
    </xdr:from>
    <xdr:ext cx="2744982" cy="578685"/>
    <xdr:sp>
      <xdr:nvSpPr>
        <xdr:cNvPr id="5" name="矩形 8"/>
        <xdr:cNvSpPr/>
      </xdr:nvSpPr>
      <xdr:spPr>
        <a:xfrm rot="18960000">
          <a:off x="8385175" y="1491678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2</xdr:col>
      <xdr:colOff>3290570</xdr:colOff>
      <xdr:row>9</xdr:row>
      <xdr:rowOff>571776</xdr:rowOff>
    </xdr:from>
    <xdr:ext cx="2744982" cy="578685"/>
    <xdr:sp>
      <xdr:nvSpPr>
        <xdr:cNvPr id="2" name="矩形 1"/>
        <xdr:cNvSpPr/>
      </xdr:nvSpPr>
      <xdr:spPr>
        <a:xfrm rot="19080000">
          <a:off x="7997190" y="65893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3002935</xdr:colOff>
      <xdr:row>9</xdr:row>
      <xdr:rowOff>780106</xdr:rowOff>
    </xdr:from>
    <xdr:ext cx="2744982" cy="578685"/>
    <xdr:sp>
      <xdr:nvSpPr>
        <xdr:cNvPr id="3" name="矩形 2"/>
        <xdr:cNvSpPr/>
      </xdr:nvSpPr>
      <xdr:spPr>
        <a:xfrm rot="19080000">
          <a:off x="22921595" y="67976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2825831</xdr:colOff>
      <xdr:row>15</xdr:row>
      <xdr:rowOff>128433</xdr:rowOff>
    </xdr:from>
    <xdr:ext cx="2744982" cy="578685"/>
    <xdr:sp>
      <xdr:nvSpPr>
        <xdr:cNvPr id="4" name="矩形 3"/>
        <xdr:cNvSpPr/>
      </xdr:nvSpPr>
      <xdr:spPr>
        <a:xfrm rot="19080000">
          <a:off x="7532370" y="160318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2582615</xdr:colOff>
      <xdr:row>15</xdr:row>
      <xdr:rowOff>213363</xdr:rowOff>
    </xdr:from>
    <xdr:ext cx="2744982" cy="578685"/>
    <xdr:sp>
      <xdr:nvSpPr>
        <xdr:cNvPr id="5" name="矩形 4"/>
        <xdr:cNvSpPr/>
      </xdr:nvSpPr>
      <xdr:spPr>
        <a:xfrm rot="19080000">
          <a:off x="22501225" y="161169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2740660</xdr:colOff>
      <xdr:row>18</xdr:row>
      <xdr:rowOff>264612</xdr:rowOff>
    </xdr:from>
    <xdr:ext cx="2744982" cy="578685"/>
    <xdr:sp>
      <xdr:nvSpPr>
        <xdr:cNvPr id="6" name="矩形 5"/>
        <xdr:cNvSpPr/>
      </xdr:nvSpPr>
      <xdr:spPr>
        <a:xfrm rot="19080000">
          <a:off x="7447280" y="2791523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2513330</xdr:colOff>
      <xdr:row>18</xdr:row>
      <xdr:rowOff>403243</xdr:rowOff>
    </xdr:from>
    <xdr:ext cx="2744982" cy="578685"/>
    <xdr:sp>
      <xdr:nvSpPr>
        <xdr:cNvPr id="7" name="矩形 6"/>
        <xdr:cNvSpPr/>
      </xdr:nvSpPr>
      <xdr:spPr>
        <a:xfrm rot="19080000">
          <a:off x="22432010" y="280543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3290570</xdr:colOff>
      <xdr:row>9</xdr:row>
      <xdr:rowOff>571776</xdr:rowOff>
    </xdr:from>
    <xdr:ext cx="2744982" cy="578685"/>
    <xdr:sp>
      <xdr:nvSpPr>
        <xdr:cNvPr id="8" name="矩形 1"/>
        <xdr:cNvSpPr/>
      </xdr:nvSpPr>
      <xdr:spPr>
        <a:xfrm rot="19080000">
          <a:off x="7997190" y="65893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3002935</xdr:colOff>
      <xdr:row>9</xdr:row>
      <xdr:rowOff>780106</xdr:rowOff>
    </xdr:from>
    <xdr:ext cx="2744982" cy="578685"/>
    <xdr:sp>
      <xdr:nvSpPr>
        <xdr:cNvPr id="9" name="矩形 2"/>
        <xdr:cNvSpPr/>
      </xdr:nvSpPr>
      <xdr:spPr>
        <a:xfrm rot="19080000">
          <a:off x="22921595" y="67976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2825831</xdr:colOff>
      <xdr:row>15</xdr:row>
      <xdr:rowOff>128433</xdr:rowOff>
    </xdr:from>
    <xdr:ext cx="2744982" cy="578685"/>
    <xdr:sp>
      <xdr:nvSpPr>
        <xdr:cNvPr id="10" name="矩形 3"/>
        <xdr:cNvSpPr/>
      </xdr:nvSpPr>
      <xdr:spPr>
        <a:xfrm rot="19080000">
          <a:off x="7532370" y="1603184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2582615</xdr:colOff>
      <xdr:row>15</xdr:row>
      <xdr:rowOff>213363</xdr:rowOff>
    </xdr:from>
    <xdr:ext cx="2744982" cy="578685"/>
    <xdr:sp>
      <xdr:nvSpPr>
        <xdr:cNvPr id="11" name="矩形 4"/>
        <xdr:cNvSpPr/>
      </xdr:nvSpPr>
      <xdr:spPr>
        <a:xfrm rot="19080000">
          <a:off x="22501225" y="161169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2740660</xdr:colOff>
      <xdr:row>18</xdr:row>
      <xdr:rowOff>264612</xdr:rowOff>
    </xdr:from>
    <xdr:ext cx="2744982" cy="578685"/>
    <xdr:sp>
      <xdr:nvSpPr>
        <xdr:cNvPr id="12" name="矩形 5"/>
        <xdr:cNvSpPr/>
      </xdr:nvSpPr>
      <xdr:spPr>
        <a:xfrm rot="19080000">
          <a:off x="7447280" y="2791523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2513330</xdr:colOff>
      <xdr:row>18</xdr:row>
      <xdr:rowOff>403243</xdr:rowOff>
    </xdr:from>
    <xdr:ext cx="2744982" cy="578685"/>
    <xdr:sp>
      <xdr:nvSpPr>
        <xdr:cNvPr id="13" name="矩形 6"/>
        <xdr:cNvSpPr/>
      </xdr:nvSpPr>
      <xdr:spPr>
        <a:xfrm rot="19080000">
          <a:off x="22432010" y="280543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3290570</xdr:colOff>
      <xdr:row>9</xdr:row>
      <xdr:rowOff>571776</xdr:rowOff>
    </xdr:from>
    <xdr:ext cx="2744982" cy="578685"/>
    <xdr:sp>
      <xdr:nvSpPr>
        <xdr:cNvPr id="14" name="矩形 73"/>
        <xdr:cNvSpPr/>
      </xdr:nvSpPr>
      <xdr:spPr>
        <a:xfrm rot="19080000">
          <a:off x="7997190" y="65893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3002929</xdr:colOff>
      <xdr:row>9</xdr:row>
      <xdr:rowOff>780098</xdr:rowOff>
    </xdr:from>
    <xdr:ext cx="2744982" cy="578685"/>
    <xdr:sp>
      <xdr:nvSpPr>
        <xdr:cNvPr id="15" name="矩形 74"/>
        <xdr:cNvSpPr/>
      </xdr:nvSpPr>
      <xdr:spPr>
        <a:xfrm rot="19080000">
          <a:off x="22921595" y="67976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2811224</xdr:colOff>
      <xdr:row>15</xdr:row>
      <xdr:rowOff>112093</xdr:rowOff>
    </xdr:from>
    <xdr:ext cx="2744982" cy="578685"/>
    <xdr:sp>
      <xdr:nvSpPr>
        <xdr:cNvPr id="16" name="矩形 75"/>
        <xdr:cNvSpPr/>
      </xdr:nvSpPr>
      <xdr:spPr>
        <a:xfrm rot="19080000">
          <a:off x="7517765" y="160153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2582618</xdr:colOff>
      <xdr:row>15</xdr:row>
      <xdr:rowOff>213343</xdr:rowOff>
    </xdr:from>
    <xdr:ext cx="2744982" cy="578685"/>
    <xdr:sp>
      <xdr:nvSpPr>
        <xdr:cNvPr id="17" name="矩形 76"/>
        <xdr:cNvSpPr/>
      </xdr:nvSpPr>
      <xdr:spPr>
        <a:xfrm rot="19080000">
          <a:off x="22501225" y="1611630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2740660</xdr:colOff>
      <xdr:row>18</xdr:row>
      <xdr:rowOff>264612</xdr:rowOff>
    </xdr:from>
    <xdr:ext cx="2744982" cy="578685"/>
    <xdr:sp>
      <xdr:nvSpPr>
        <xdr:cNvPr id="18" name="矩形 77"/>
        <xdr:cNvSpPr/>
      </xdr:nvSpPr>
      <xdr:spPr>
        <a:xfrm rot="19080000">
          <a:off x="7447280" y="2791523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2513330</xdr:colOff>
      <xdr:row>18</xdr:row>
      <xdr:rowOff>403243</xdr:rowOff>
    </xdr:from>
    <xdr:ext cx="2744982" cy="578685"/>
    <xdr:sp>
      <xdr:nvSpPr>
        <xdr:cNvPr id="19" name="矩形 78"/>
        <xdr:cNvSpPr/>
      </xdr:nvSpPr>
      <xdr:spPr>
        <a:xfrm rot="19080000">
          <a:off x="22432010" y="280543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3290570</xdr:colOff>
      <xdr:row>9</xdr:row>
      <xdr:rowOff>571776</xdr:rowOff>
    </xdr:from>
    <xdr:ext cx="2744982" cy="578685"/>
    <xdr:sp>
      <xdr:nvSpPr>
        <xdr:cNvPr id="20" name="矩形 1"/>
        <xdr:cNvSpPr/>
      </xdr:nvSpPr>
      <xdr:spPr>
        <a:xfrm rot="19080000">
          <a:off x="7997190" y="658939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3002929</xdr:colOff>
      <xdr:row>9</xdr:row>
      <xdr:rowOff>780098</xdr:rowOff>
    </xdr:from>
    <xdr:ext cx="2744982" cy="578685"/>
    <xdr:sp>
      <xdr:nvSpPr>
        <xdr:cNvPr id="21" name="矩形 2"/>
        <xdr:cNvSpPr/>
      </xdr:nvSpPr>
      <xdr:spPr>
        <a:xfrm rot="19080000">
          <a:off x="22921595" y="67976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2811224</xdr:colOff>
      <xdr:row>15</xdr:row>
      <xdr:rowOff>112093</xdr:rowOff>
    </xdr:from>
    <xdr:ext cx="2744982" cy="578685"/>
    <xdr:sp>
      <xdr:nvSpPr>
        <xdr:cNvPr id="22" name="矩形 3"/>
        <xdr:cNvSpPr/>
      </xdr:nvSpPr>
      <xdr:spPr>
        <a:xfrm rot="19080000">
          <a:off x="7517765" y="1601533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2582618</xdr:colOff>
      <xdr:row>15</xdr:row>
      <xdr:rowOff>213343</xdr:rowOff>
    </xdr:from>
    <xdr:ext cx="2744982" cy="578685"/>
    <xdr:sp>
      <xdr:nvSpPr>
        <xdr:cNvPr id="23" name="矩形 4"/>
        <xdr:cNvSpPr/>
      </xdr:nvSpPr>
      <xdr:spPr>
        <a:xfrm rot="19080000">
          <a:off x="22501225" y="1611630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2</xdr:col>
      <xdr:colOff>2740660</xdr:colOff>
      <xdr:row>18</xdr:row>
      <xdr:rowOff>264612</xdr:rowOff>
    </xdr:from>
    <xdr:ext cx="2744982" cy="578685"/>
    <xdr:sp>
      <xdr:nvSpPr>
        <xdr:cNvPr id="24" name="矩形 5"/>
        <xdr:cNvSpPr/>
      </xdr:nvSpPr>
      <xdr:spPr>
        <a:xfrm rot="19080000">
          <a:off x="7447280" y="27915235"/>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2513330</xdr:colOff>
      <xdr:row>18</xdr:row>
      <xdr:rowOff>403243</xdr:rowOff>
    </xdr:from>
    <xdr:ext cx="2744982" cy="578685"/>
    <xdr:sp>
      <xdr:nvSpPr>
        <xdr:cNvPr id="25" name="矩形 6"/>
        <xdr:cNvSpPr/>
      </xdr:nvSpPr>
      <xdr:spPr>
        <a:xfrm rot="19080000">
          <a:off x="22432010" y="2805430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5</xdr:col>
      <xdr:colOff>2986405</xdr:colOff>
      <xdr:row>9</xdr:row>
      <xdr:rowOff>133350</xdr:rowOff>
    </xdr:from>
    <xdr:ext cx="2744983" cy="578685"/>
    <xdr:sp>
      <xdr:nvSpPr>
        <xdr:cNvPr id="2" name="矩形 1"/>
        <xdr:cNvSpPr/>
      </xdr:nvSpPr>
      <xdr:spPr>
        <a:xfrm rot="19260000">
          <a:off x="7969885" y="360997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5</xdr:col>
      <xdr:colOff>4943475</xdr:colOff>
      <xdr:row>25</xdr:row>
      <xdr:rowOff>361214</xdr:rowOff>
    </xdr:from>
    <xdr:ext cx="2744983" cy="578685"/>
    <xdr:sp>
      <xdr:nvSpPr>
        <xdr:cNvPr id="3" name="矩形 2"/>
        <xdr:cNvSpPr/>
      </xdr:nvSpPr>
      <xdr:spPr>
        <a:xfrm rot="19260000">
          <a:off x="9926955" y="948436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4</xdr:col>
      <xdr:colOff>87630</xdr:colOff>
      <xdr:row>5</xdr:row>
      <xdr:rowOff>404651</xdr:rowOff>
    </xdr:from>
    <xdr:ext cx="2744982" cy="578685"/>
    <xdr:sp>
      <xdr:nvSpPr>
        <xdr:cNvPr id="2" name="矩形 1"/>
        <xdr:cNvSpPr/>
      </xdr:nvSpPr>
      <xdr:spPr>
        <a:xfrm rot="19140000">
          <a:off x="3879850" y="38658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6</xdr:col>
      <xdr:colOff>1623695</xdr:colOff>
      <xdr:row>9</xdr:row>
      <xdr:rowOff>74785</xdr:rowOff>
    </xdr:from>
    <xdr:ext cx="2744983" cy="578685"/>
    <xdr:sp>
      <xdr:nvSpPr>
        <xdr:cNvPr id="2" name="矩形 1"/>
        <xdr:cNvSpPr/>
      </xdr:nvSpPr>
      <xdr:spPr>
        <a:xfrm rot="19140000">
          <a:off x="7169785" y="474980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6</xdr:col>
      <xdr:colOff>1623695</xdr:colOff>
      <xdr:row>9</xdr:row>
      <xdr:rowOff>74785</xdr:rowOff>
    </xdr:from>
    <xdr:ext cx="2744983" cy="578685"/>
    <xdr:sp>
      <xdr:nvSpPr>
        <xdr:cNvPr id="3" name="矩形 2"/>
        <xdr:cNvSpPr/>
      </xdr:nvSpPr>
      <xdr:spPr>
        <a:xfrm rot="19140000">
          <a:off x="7169785" y="4749800"/>
          <a:ext cx="274447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3</xdr:col>
      <xdr:colOff>1482725</xdr:colOff>
      <xdr:row>56</xdr:row>
      <xdr:rowOff>297180</xdr:rowOff>
    </xdr:from>
    <xdr:ext cx="2744983" cy="578685"/>
    <xdr:sp>
      <xdr:nvSpPr>
        <xdr:cNvPr id="2" name="矩形 1"/>
        <xdr:cNvSpPr/>
      </xdr:nvSpPr>
      <xdr:spPr>
        <a:xfrm rot="19080000">
          <a:off x="6189345" y="1863280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2111375</xdr:colOff>
      <xdr:row>28</xdr:row>
      <xdr:rowOff>234108</xdr:rowOff>
    </xdr:from>
    <xdr:ext cx="2744983" cy="578685"/>
    <xdr:sp>
      <xdr:nvSpPr>
        <xdr:cNvPr id="3" name="矩形 2"/>
        <xdr:cNvSpPr/>
      </xdr:nvSpPr>
      <xdr:spPr>
        <a:xfrm rot="19080000">
          <a:off x="6817995" y="960945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1737995</xdr:colOff>
      <xdr:row>49</xdr:row>
      <xdr:rowOff>118745</xdr:rowOff>
    </xdr:from>
    <xdr:ext cx="2744983" cy="578685"/>
    <xdr:sp>
      <xdr:nvSpPr>
        <xdr:cNvPr id="4" name="矩形 3"/>
        <xdr:cNvSpPr/>
      </xdr:nvSpPr>
      <xdr:spPr>
        <a:xfrm rot="19080000">
          <a:off x="6444615" y="1650301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1169035</xdr:colOff>
      <xdr:row>6</xdr:row>
      <xdr:rowOff>229235</xdr:rowOff>
    </xdr:from>
    <xdr:ext cx="2744983" cy="578685"/>
    <xdr:sp>
      <xdr:nvSpPr>
        <xdr:cNvPr id="5" name="矩形 4"/>
        <xdr:cNvSpPr/>
      </xdr:nvSpPr>
      <xdr:spPr>
        <a:xfrm rot="19080000">
          <a:off x="5875655" y="2637155"/>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1774825</xdr:colOff>
      <xdr:row>20</xdr:row>
      <xdr:rowOff>240665</xdr:rowOff>
    </xdr:from>
    <xdr:ext cx="2744983" cy="578685"/>
    <xdr:sp>
      <xdr:nvSpPr>
        <xdr:cNvPr id="6" name="矩形 5"/>
        <xdr:cNvSpPr/>
      </xdr:nvSpPr>
      <xdr:spPr>
        <a:xfrm rot="19080000">
          <a:off x="6481445" y="733044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2133600</xdr:colOff>
      <xdr:row>10</xdr:row>
      <xdr:rowOff>76200</xdr:rowOff>
    </xdr:from>
    <xdr:ext cx="2744983" cy="578685"/>
    <xdr:sp>
      <xdr:nvSpPr>
        <xdr:cNvPr id="7" name="矩形 6"/>
        <xdr:cNvSpPr/>
      </xdr:nvSpPr>
      <xdr:spPr>
        <a:xfrm rot="19080000">
          <a:off x="6840220" y="395097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oneCellAnchor>
    <xdr:from>
      <xdr:col>3</xdr:col>
      <xdr:colOff>1883410</xdr:colOff>
      <xdr:row>38</xdr:row>
      <xdr:rowOff>230505</xdr:rowOff>
    </xdr:from>
    <xdr:ext cx="2744983" cy="578685"/>
    <xdr:sp>
      <xdr:nvSpPr>
        <xdr:cNvPr id="8" name="矩形 8"/>
        <xdr:cNvSpPr/>
      </xdr:nvSpPr>
      <xdr:spPr>
        <a:xfrm rot="19080000">
          <a:off x="6590030" y="12654280"/>
          <a:ext cx="2744470" cy="578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2800" b="1">
              <a:solidFill>
                <a:schemeClr val="bg2">
                  <a:lumMod val="75000"/>
                  <a:alpha val="11000"/>
                </a:schemeClr>
              </a:solidFill>
              <a:effectLst>
                <a:outerShdw blurRad="38100" dist="25400" dir="5400000" algn="ctr" rotWithShape="0">
                  <a:srgbClr val="6E747A">
                    <a:alpha val="43000"/>
                  </a:srgbClr>
                </a:outerShdw>
              </a:effectLst>
            </a:rPr>
            <a:t>国</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泰</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君</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安</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期</a:t>
          </a:r>
          <a:r>
            <a:rPr lang="en-US" altLang="zh-CN" sz="2800" b="1">
              <a:solidFill>
                <a:schemeClr val="bg2">
                  <a:lumMod val="75000"/>
                  <a:alpha val="11000"/>
                </a:schemeClr>
              </a:solidFill>
              <a:effectLst>
                <a:outerShdw blurRad="38100" dist="25400" dir="5400000" algn="ctr" rotWithShape="0">
                  <a:srgbClr val="6E747A">
                    <a:alpha val="43000"/>
                  </a:srgbClr>
                </a:outerShdw>
              </a:effectLst>
            </a:rPr>
            <a:t> </a:t>
          </a:r>
          <a:r>
            <a:rPr lang="zh-CN" altLang="en-US" sz="2800" b="1">
              <a:solidFill>
                <a:schemeClr val="bg2">
                  <a:lumMod val="75000"/>
                  <a:alpha val="11000"/>
                </a:schemeClr>
              </a:solidFill>
              <a:effectLst>
                <a:outerShdw blurRad="38100" dist="25400" dir="5400000" algn="ctr" rotWithShape="0">
                  <a:srgbClr val="6E747A">
                    <a:alpha val="43000"/>
                  </a:srgbClr>
                </a:outerShdw>
              </a:effectLst>
            </a:rPr>
            <a:t>货</a:t>
          </a:r>
          <a:endParaRPr lang="zh-CN" altLang="en-US" sz="2800" b="1">
            <a:solidFill>
              <a:schemeClr val="bg2">
                <a:lumMod val="75000"/>
                <a:alpha val="11000"/>
              </a:schemeClr>
            </a:solidFill>
            <a:effectLst>
              <a:outerShdw blurRad="38100" dist="25400" dir="5400000" algn="ctr" rotWithShape="0">
                <a:srgbClr val="6E747A">
                  <a:alpha val="43000"/>
                </a:srgbClr>
              </a:outerShdw>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zse.cn/lawrules/rule/derivative/index.html" TargetMode="External"/><Relationship Id="rId8" Type="http://schemas.openxmlformats.org/officeDocument/2006/relationships/hyperlink" Target="http://www.sse.com.cn/lawandrules/sselawsrules/option/" TargetMode="External"/><Relationship Id="rId7" Type="http://schemas.openxmlformats.org/officeDocument/2006/relationships/hyperlink" Target="http://www.gfex.com.cn/gfex/jysgz/lists_notime.shtml" TargetMode="External"/><Relationship Id="rId6" Type="http://schemas.openxmlformats.org/officeDocument/2006/relationships/hyperlink" Target="https://www.czce.com.cn/cn/flfg/H077005index_1.htm" TargetMode="External"/><Relationship Id="rId5" Type="http://schemas.openxmlformats.org/officeDocument/2006/relationships/hyperlink" Target="http://www.dce.com.cn/dalianshangpin/fgfz/index.html" TargetMode="External"/><Relationship Id="rId4" Type="http://schemas.openxmlformats.org/officeDocument/2006/relationships/hyperlink" Target="https://www.ine.cn/regulation/ineregulation/rules/" TargetMode="External"/><Relationship Id="rId3" Type="http://schemas.openxmlformats.org/officeDocument/2006/relationships/hyperlink" Target="https://www.shfe.com.cn/regulation/" TargetMode="External"/><Relationship Id="rId2" Type="http://schemas.openxmlformats.org/officeDocument/2006/relationships/hyperlink" Target="http://www.cffex.com.cn/jysgz/"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FFFF"/>
  </sheetPr>
  <dimension ref="A1:J16"/>
  <sheetViews>
    <sheetView workbookViewId="0">
      <selection activeCell="A1" sqref="A1:B1"/>
    </sheetView>
  </sheetViews>
  <sheetFormatPr defaultColWidth="9" defaultRowHeight="16.5"/>
  <cols>
    <col min="1" max="1" width="10.25" style="20" customWidth="1"/>
    <col min="2" max="2" width="63" style="20" customWidth="1"/>
    <col min="3" max="3" width="9" style="20"/>
    <col min="4" max="4" width="25.3833333333333" style="20" customWidth="1"/>
    <col min="5" max="26" width="9" style="20"/>
  </cols>
  <sheetData>
    <row r="1" ht="50.1" customHeight="1" spans="1:10">
      <c r="A1" s="961" t="s">
        <v>0</v>
      </c>
      <c r="B1" s="962"/>
      <c r="D1" s="963" t="s">
        <v>1</v>
      </c>
      <c r="E1" s="964"/>
      <c r="F1" s="964"/>
      <c r="G1" s="964"/>
      <c r="H1" s="964"/>
      <c r="I1" s="964"/>
      <c r="J1" s="977"/>
    </row>
    <row r="2" ht="32.1" customHeight="1" spans="1:10">
      <c r="A2" s="965">
        <v>1</v>
      </c>
      <c r="B2" s="966" t="s">
        <v>2</v>
      </c>
      <c r="D2" s="967" t="s">
        <v>3</v>
      </c>
      <c r="E2" s="968" t="s">
        <v>4</v>
      </c>
      <c r="F2" s="969"/>
      <c r="G2" s="969"/>
      <c r="H2" s="969"/>
      <c r="I2" s="969"/>
      <c r="J2" s="978"/>
    </row>
    <row r="3" ht="32.1" customHeight="1" spans="1:10">
      <c r="A3" s="970">
        <v>2</v>
      </c>
      <c r="B3" s="971" t="s">
        <v>5</v>
      </c>
      <c r="D3" s="967" t="s">
        <v>6</v>
      </c>
      <c r="E3" s="968" t="s">
        <v>7</v>
      </c>
      <c r="F3" s="969"/>
      <c r="G3" s="969"/>
      <c r="H3" s="969"/>
      <c r="I3" s="969"/>
      <c r="J3" s="978"/>
    </row>
    <row r="4" ht="32.1" customHeight="1" spans="1:10">
      <c r="A4" s="970">
        <v>3</v>
      </c>
      <c r="B4" s="971" t="s">
        <v>8</v>
      </c>
      <c r="D4" s="967" t="s">
        <v>9</v>
      </c>
      <c r="E4" s="968" t="s">
        <v>10</v>
      </c>
      <c r="F4" s="969"/>
      <c r="G4" s="969"/>
      <c r="H4" s="969"/>
      <c r="I4" s="969"/>
      <c r="J4" s="978"/>
    </row>
    <row r="5" ht="32.1" customHeight="1" spans="1:10">
      <c r="A5" s="970">
        <v>4</v>
      </c>
      <c r="B5" s="971" t="s">
        <v>11</v>
      </c>
      <c r="D5" s="967" t="s">
        <v>12</v>
      </c>
      <c r="E5" s="968" t="s">
        <v>13</v>
      </c>
      <c r="F5" s="969"/>
      <c r="G5" s="969"/>
      <c r="H5" s="969"/>
      <c r="I5" s="969"/>
      <c r="J5" s="978"/>
    </row>
    <row r="6" ht="32.1" customHeight="1" spans="1:10">
      <c r="A6" s="970">
        <v>5</v>
      </c>
      <c r="B6" s="971" t="s">
        <v>14</v>
      </c>
      <c r="D6" s="967" t="s">
        <v>15</v>
      </c>
      <c r="E6" s="968" t="s">
        <v>16</v>
      </c>
      <c r="F6" s="969"/>
      <c r="G6" s="969"/>
      <c r="H6" s="969"/>
      <c r="I6" s="969"/>
      <c r="J6" s="978"/>
    </row>
    <row r="7" ht="32.1" customHeight="1" spans="1:10">
      <c r="A7" s="970">
        <v>6</v>
      </c>
      <c r="B7" s="971" t="s">
        <v>17</v>
      </c>
      <c r="D7" s="967" t="s">
        <v>18</v>
      </c>
      <c r="E7" s="968" t="s">
        <v>19</v>
      </c>
      <c r="F7" s="969"/>
      <c r="G7" s="969"/>
      <c r="H7" s="969"/>
      <c r="I7" s="969"/>
      <c r="J7" s="978"/>
    </row>
    <row r="8" ht="32.1" customHeight="1" spans="1:10">
      <c r="A8" s="970">
        <v>7</v>
      </c>
      <c r="B8" s="971" t="s">
        <v>20</v>
      </c>
      <c r="D8" s="967" t="s">
        <v>21</v>
      </c>
      <c r="E8" s="968" t="s">
        <v>22</v>
      </c>
      <c r="F8" s="969"/>
      <c r="G8" s="969"/>
      <c r="H8" s="969"/>
      <c r="I8" s="969"/>
      <c r="J8" s="978"/>
    </row>
    <row r="9" ht="32.1" customHeight="1" spans="1:10">
      <c r="A9" s="970">
        <v>8</v>
      </c>
      <c r="B9" s="971" t="s">
        <v>23</v>
      </c>
      <c r="D9" s="972" t="s">
        <v>24</v>
      </c>
      <c r="E9" s="973" t="s">
        <v>25</v>
      </c>
      <c r="F9" s="974"/>
      <c r="G9" s="974"/>
      <c r="H9" s="974"/>
      <c r="I9" s="974"/>
      <c r="J9" s="979"/>
    </row>
    <row r="10" ht="32.1" customHeight="1" spans="1:2">
      <c r="A10" s="970">
        <v>9</v>
      </c>
      <c r="B10" s="966" t="s">
        <v>26</v>
      </c>
    </row>
    <row r="11" ht="32.1" customHeight="1" spans="1:2">
      <c r="A11" s="970">
        <v>10</v>
      </c>
      <c r="B11" s="971" t="s">
        <v>27</v>
      </c>
    </row>
    <row r="12" ht="32.1" customHeight="1" spans="1:2">
      <c r="A12" s="970">
        <v>11</v>
      </c>
      <c r="B12" s="971" t="s">
        <v>28</v>
      </c>
    </row>
    <row r="13" ht="32.1" customHeight="1" spans="1:2">
      <c r="A13" s="970">
        <v>12</v>
      </c>
      <c r="B13" s="966" t="s">
        <v>29</v>
      </c>
    </row>
    <row r="14" ht="32.1" customHeight="1" spans="1:2">
      <c r="A14" s="970">
        <v>13</v>
      </c>
      <c r="B14" s="971" t="s">
        <v>30</v>
      </c>
    </row>
    <row r="15" ht="45.95" customHeight="1" spans="1:2">
      <c r="A15" s="970">
        <v>14</v>
      </c>
      <c r="B15" s="966" t="s">
        <v>31</v>
      </c>
    </row>
    <row r="16" ht="48" customHeight="1" spans="1:2">
      <c r="A16" s="975" t="s">
        <v>32</v>
      </c>
      <c r="B16" s="976"/>
    </row>
  </sheetData>
  <mergeCells count="11">
    <mergeCell ref="A1:B1"/>
    <mergeCell ref="D1:J1"/>
    <mergeCell ref="E2:J2"/>
    <mergeCell ref="E3:J3"/>
    <mergeCell ref="E4:J4"/>
    <mergeCell ref="E5:J5"/>
    <mergeCell ref="E6:J6"/>
    <mergeCell ref="E7:J7"/>
    <mergeCell ref="E8:J8"/>
    <mergeCell ref="E9:J9"/>
    <mergeCell ref="A16:B16"/>
  </mergeCells>
  <hyperlinks>
    <hyperlink ref="E2" r:id="rId2" display="http://www.cffex.com.cn/jysgz/" tooltip="http://www.cffex.com.cn/jysgz/"/>
    <hyperlink ref="B3" location="'交易时间表'!A1" display="交易时间表"/>
    <hyperlink ref="E3" r:id="rId3" display="https://www.shfe.com.cn/regulation/"/>
    <hyperlink ref="B4" location="'期货合约要素'!A1" display="期货合约要素"/>
    <hyperlink ref="E4" r:id="rId4" display="https://www.ine.cn/regulation/ineregulation/rules/" tooltip="https://www.ine.cn/regulation/ineregulation/rules/"/>
    <hyperlink ref="B5" location="'期权合约要素'!A1" display="期权合约要素"/>
    <hyperlink ref="E5" r:id="rId5" display="http://www.dce.com.cn/dalianshangpin/fgfz/index.html"/>
    <hyperlink ref="B6" location="'保证金及涨跌停板幅度表'!A1" display="保证金及涨跌停板幅度表"/>
    <hyperlink ref="E6" r:id="rId6" display="https://www.czce.com.cn/cn/flfg/H077005index_1.htm" tooltip="https://www.czce.com.cn/cn/flfg/H077005index_1.htm"/>
    <hyperlink ref="B7" location="'限仓规则'!A1" display="限仓规则"/>
    <hyperlink ref="E7" r:id="rId7" display="http://www.gfex.com.cn/gfex/jysgz/lists_notime.shtml"/>
    <hyperlink ref="B8" location="'交易限额'!A1" display="交易限额"/>
    <hyperlink ref="E8" r:id="rId8" display="http://www.sse.com.cn/lawandrules/sselawsrules/option/"/>
    <hyperlink ref="B10" location="'异常交易规则'!A1" display="异常交易规则"/>
    <hyperlink ref="E9" r:id="rId9" display="https://www.szse.cn/lawrules/rule/derivative/index.html" tooltip="https://www.szse.cn/lawrules/rule/derivative/index.html"/>
    <hyperlink ref="B11" location="'保证金优惠规则'!A1" display="保证金优惠规则"/>
    <hyperlink ref="B12" location="'交易指令'!A1" display="指令规则"/>
    <hyperlink ref="B13" location="'期权行权规则'!A1" display="期权行权规则"/>
    <hyperlink ref="B14" location="'申报费规则'!A1" display="申报费规则"/>
    <hyperlink ref="B15" location="'修订记录'!A1" display="修订记录"/>
    <hyperlink ref="B9" location="单笔最小开仓手数!A1" display="单笔最小开仓手数"/>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100"/>
  <sheetViews>
    <sheetView topLeftCell="A17" workbookViewId="0">
      <selection activeCell="D64" sqref="D64"/>
    </sheetView>
  </sheetViews>
  <sheetFormatPr defaultColWidth="9" defaultRowHeight="16.5"/>
  <cols>
    <col min="1" max="1" width="6.38333333333333" style="20" customWidth="1"/>
    <col min="2" max="2" width="12.5" style="20" customWidth="1"/>
    <col min="3" max="3" width="17.5" style="20" customWidth="1"/>
    <col min="4" max="4" width="13.8833333333333" style="20" customWidth="1"/>
    <col min="5" max="5" width="12.6333333333333" style="20" customWidth="1"/>
    <col min="6" max="6" width="19.1333333333333" style="20" customWidth="1"/>
    <col min="7" max="7" width="22.6333333333333" style="20" customWidth="1"/>
    <col min="8" max="9" width="19.1333333333333" style="20" customWidth="1"/>
    <col min="10" max="10" width="15.5" style="336" customWidth="1"/>
    <col min="11" max="11" width="16.5" style="336" customWidth="1"/>
    <col min="12" max="25" width="9" style="20"/>
  </cols>
  <sheetData>
    <row r="1" ht="24.95" customHeight="1" spans="1:3">
      <c r="A1" s="21" t="s">
        <v>33</v>
      </c>
      <c r="B1" s="21"/>
      <c r="C1" s="21"/>
    </row>
    <row r="2" ht="48" customHeight="1" spans="2:11">
      <c r="B2" s="550" t="s">
        <v>34</v>
      </c>
      <c r="C2" s="551"/>
      <c r="D2" s="551"/>
      <c r="E2" s="551"/>
      <c r="F2" s="551"/>
      <c r="G2" s="551"/>
      <c r="H2" s="551"/>
      <c r="I2" s="551"/>
      <c r="J2" s="551"/>
      <c r="K2" s="670"/>
    </row>
    <row r="3" ht="27" customHeight="1" spans="2:11">
      <c r="B3" s="887" t="s">
        <v>35</v>
      </c>
      <c r="C3" s="888" t="s">
        <v>36</v>
      </c>
      <c r="D3" s="889" t="s">
        <v>37</v>
      </c>
      <c r="E3" s="317" t="s">
        <v>38</v>
      </c>
      <c r="F3" s="889" t="s">
        <v>39</v>
      </c>
      <c r="G3" s="889"/>
      <c r="H3" s="889"/>
      <c r="I3" s="926"/>
      <c r="J3" s="317" t="s">
        <v>40</v>
      </c>
      <c r="K3" s="318" t="s">
        <v>41</v>
      </c>
    </row>
    <row r="4" ht="27" customHeight="1" spans="2:11">
      <c r="B4" s="890"/>
      <c r="C4" s="891"/>
      <c r="D4" s="892"/>
      <c r="E4" s="671"/>
      <c r="F4" s="671" t="s">
        <v>42</v>
      </c>
      <c r="G4" s="671" t="s">
        <v>43</v>
      </c>
      <c r="H4" s="671" t="s">
        <v>44</v>
      </c>
      <c r="I4" s="927" t="s">
        <v>45</v>
      </c>
      <c r="J4" s="671"/>
      <c r="K4" s="672"/>
    </row>
    <row r="5" ht="30" customHeight="1" spans="2:11">
      <c r="B5" s="893" t="s">
        <v>46</v>
      </c>
      <c r="C5" s="894" t="s">
        <v>47</v>
      </c>
      <c r="D5" s="895" t="s">
        <v>48</v>
      </c>
      <c r="E5" s="896"/>
      <c r="F5" s="895" t="s">
        <v>49</v>
      </c>
      <c r="G5" s="895"/>
      <c r="H5" s="897" t="s">
        <v>50</v>
      </c>
      <c r="I5" s="928" t="s">
        <v>51</v>
      </c>
      <c r="J5" s="392" t="str">
        <f>IFERROR(IF(VLOOKUP(D5,期货合约要素!$D:$Q,12,0)=0,"",VLOOKUP(D5,期货合约要素!$D:$Q,12,0)),IF(VLOOKUP(D5,期权合约要素!$D:$V,17,0)=0,"",VLOOKUP(D5,期权合约要素!$D:$V,17,0)))</f>
        <v/>
      </c>
      <c r="K5" s="393" t="str">
        <f>IFERROR(IF(VLOOKUP(D5,期货合约要素!$D:$Q,14,0)=0,"",VLOOKUP(D5,期货合约要素!$D:$Q,14,0)),IF(VLOOKUP(D5,期权合约要素!$D:$V,19,0)=0,"",VLOOKUP(D5,期权合约要素!$D:$V,19,0)))</f>
        <v/>
      </c>
    </row>
    <row r="6" ht="30" customHeight="1" spans="2:11">
      <c r="B6" s="898"/>
      <c r="C6" s="899" t="s">
        <v>52</v>
      </c>
      <c r="D6" s="900" t="s">
        <v>53</v>
      </c>
      <c r="E6" s="901" t="s">
        <v>54</v>
      </c>
      <c r="F6" s="902" t="s">
        <v>55</v>
      </c>
      <c r="G6" s="902" t="s">
        <v>56</v>
      </c>
      <c r="H6" s="901" t="s">
        <v>57</v>
      </c>
      <c r="I6" s="929"/>
      <c r="J6" s="322" t="str">
        <f>IFERROR(IF(VLOOKUP(D6,期货合约要素!$D:$Q,12,0)=0,"",VLOOKUP(D6,期货合约要素!$D:$Q,12,0)),IF(VLOOKUP(D6,期权合约要素!$D:$V,17,0)=0,"",VLOOKUP(D6,期权合约要素!$D:$V,17,0)))</f>
        <v>√</v>
      </c>
      <c r="K6" s="323" t="str">
        <f>IFERROR(IF(VLOOKUP(D6,期货合约要素!$D:$Q,14,0)=0,"",VLOOKUP(D6,期货合约要素!$D:$Q,14,0)),IF(VLOOKUP(D6,期权合约要素!$D:$V,19,0)=0,"",VLOOKUP(D6,期权合约要素!$D:$V,19,0)))</f>
        <v/>
      </c>
    </row>
    <row r="7" ht="30" customHeight="1" spans="2:11">
      <c r="B7" s="898"/>
      <c r="C7" s="899" t="s">
        <v>58</v>
      </c>
      <c r="D7" s="900" t="s">
        <v>59</v>
      </c>
      <c r="E7" s="901"/>
      <c r="F7" s="903"/>
      <c r="G7" s="903"/>
      <c r="H7" s="678"/>
      <c r="I7" s="929"/>
      <c r="J7" s="322" t="str">
        <f>IFERROR(IF(VLOOKUP(D7,期货合约要素!$D:$Q,12,0)=0,"",VLOOKUP(D7,期货合约要素!$D:$Q,12,0)),IF(VLOOKUP(D7,期权合约要素!$D:$V,17,0)=0,"",VLOOKUP(D7,期权合约要素!$D:$V,17,0)))</f>
        <v>√</v>
      </c>
      <c r="K7" s="323" t="str">
        <f>IFERROR(IF(VLOOKUP(D7,期货合约要素!$D:$Q,14,0)=0,"",VLOOKUP(D7,期货合约要素!$D:$Q,14,0)),IF(VLOOKUP(D7,期权合约要素!$D:$V,19,0)=0,"",VLOOKUP(D7,期权合约要素!$D:$V,19,0)))</f>
        <v/>
      </c>
    </row>
    <row r="8" ht="30" customHeight="1" spans="2:11">
      <c r="B8" s="898"/>
      <c r="C8" s="899" t="s">
        <v>60</v>
      </c>
      <c r="D8" s="904" t="s">
        <v>61</v>
      </c>
      <c r="E8" s="901" t="s">
        <v>54</v>
      </c>
      <c r="F8" s="903"/>
      <c r="G8" s="903"/>
      <c r="H8" s="678"/>
      <c r="I8" s="929"/>
      <c r="J8" s="322" t="str">
        <f>IFERROR(IF(VLOOKUP(D8,期货合约要素!$D:$Q,12,0)=0,"",VLOOKUP(D8,期货合约要素!$D:$Q,12,0)),IF(VLOOKUP(D8,期权合约要素!$D:$V,17,0)=0,"",VLOOKUP(D8,期权合约要素!$D:$V,17,0)))</f>
        <v>√</v>
      </c>
      <c r="K8" s="323" t="str">
        <f>IFERROR(IF(VLOOKUP(D8,期货合约要素!$D:$Q,14,0)=0,"",VLOOKUP(D8,期货合约要素!$D:$Q,14,0)),IF(VLOOKUP(D8,期权合约要素!$D:$V,19,0)=0,"",VLOOKUP(D8,期权合约要素!$D:$V,19,0)))</f>
        <v/>
      </c>
    </row>
    <row r="9" ht="30" customHeight="1" spans="2:11">
      <c r="B9" s="898"/>
      <c r="C9" s="899" t="s">
        <v>62</v>
      </c>
      <c r="D9" s="904" t="s">
        <v>63</v>
      </c>
      <c r="E9" s="901" t="s">
        <v>54</v>
      </c>
      <c r="F9" s="903"/>
      <c r="G9" s="903"/>
      <c r="H9" s="678"/>
      <c r="I9" s="929"/>
      <c r="J9" s="322" t="str">
        <f>IFERROR(IF(VLOOKUP(D9,期货合约要素!$D:$Q,12,0)=0,"",VLOOKUP(D9,期货合约要素!$D:$Q,12,0)),IF(VLOOKUP(D9,期权合约要素!$D:$V,17,0)=0,"",VLOOKUP(D9,期权合约要素!$D:$V,17,0)))</f>
        <v>√</v>
      </c>
      <c r="K9" s="323" t="str">
        <f>IFERROR(IF(VLOOKUP(D9,期货合约要素!$D:$Q,14,0)=0,"",VLOOKUP(D9,期货合约要素!$D:$Q,14,0)),IF(VLOOKUP(D9,期权合约要素!$D:$V,19,0)=0,"",VLOOKUP(D9,期权合约要素!$D:$V,19,0)))</f>
        <v/>
      </c>
    </row>
    <row r="10" ht="30" customHeight="1" spans="2:11">
      <c r="B10" s="898"/>
      <c r="C10" s="899" t="s">
        <v>64</v>
      </c>
      <c r="D10" s="904" t="s">
        <v>65</v>
      </c>
      <c r="E10" s="901" t="s">
        <v>54</v>
      </c>
      <c r="F10" s="903"/>
      <c r="G10" s="903"/>
      <c r="H10" s="678"/>
      <c r="I10" s="929"/>
      <c r="J10" s="322" t="str">
        <f>IFERROR(IF(VLOOKUP(D10,期货合约要素!$D:$Q,12,0)=0,"",VLOOKUP(D10,期货合约要素!$D:$Q,12,0)),IF(VLOOKUP(D10,期权合约要素!$D:$V,17,0)=0,"",VLOOKUP(D10,期权合约要素!$D:$V,17,0)))</f>
        <v>√</v>
      </c>
      <c r="K10" s="323" t="str">
        <f>IFERROR(IF(VLOOKUP(D10,期货合约要素!$D:$Q,14,0)=0,"",VLOOKUP(D10,期货合约要素!$D:$Q,14,0)),IF(VLOOKUP(D10,期权合约要素!$D:$V,19,0)=0,"",VLOOKUP(D10,期权合约要素!$D:$V,19,0)))</f>
        <v/>
      </c>
    </row>
    <row r="11" ht="30" customHeight="1" spans="2:11">
      <c r="B11" s="898"/>
      <c r="C11" s="899" t="s">
        <v>66</v>
      </c>
      <c r="D11" s="904" t="s">
        <v>67</v>
      </c>
      <c r="E11" s="901" t="s">
        <v>54</v>
      </c>
      <c r="F11" s="903"/>
      <c r="G11" s="903"/>
      <c r="H11" s="678"/>
      <c r="I11" s="929"/>
      <c r="J11" s="322" t="str">
        <f>IFERROR(IF(VLOOKUP(D11,期货合约要素!$D:$Q,12,0)=0,"",VLOOKUP(D11,期货合约要素!$D:$Q,12,0)),IF(VLOOKUP(D11,期权合约要素!$D:$V,17,0)=0,"",VLOOKUP(D11,期权合约要素!$D:$V,17,0)))</f>
        <v/>
      </c>
      <c r="K11" s="323" t="str">
        <f>IFERROR(IF(VLOOKUP(D11,期货合约要素!$D:$Q,14,0)=0,"",VLOOKUP(D11,期货合约要素!$D:$Q,14,0)),IF(VLOOKUP(D11,期权合约要素!$D:$V,19,0)=0,"",VLOOKUP(D11,期权合约要素!$D:$V,19,0)))</f>
        <v/>
      </c>
    </row>
    <row r="12" ht="30" customHeight="1" spans="2:11">
      <c r="B12" s="898"/>
      <c r="C12" s="899" t="s">
        <v>68</v>
      </c>
      <c r="D12" s="904" t="s">
        <v>69</v>
      </c>
      <c r="E12" s="901" t="s">
        <v>54</v>
      </c>
      <c r="F12" s="903"/>
      <c r="G12" s="903"/>
      <c r="H12" s="678"/>
      <c r="I12" s="929"/>
      <c r="J12" s="322" t="str">
        <f>IFERROR(IF(VLOOKUP(D12,期货合约要素!$D:$Q,12,0)=0,"",VLOOKUP(D12,期货合约要素!$D:$Q,12,0)),IF(VLOOKUP(D12,期权合约要素!$D:$V,17,0)=0,"",VLOOKUP(D12,期权合约要素!$D:$V,17,0)))</f>
        <v>√</v>
      </c>
      <c r="K12" s="323" t="str">
        <f>IFERROR(IF(VLOOKUP(D12,期货合约要素!$D:$Q,14,0)=0,"",VLOOKUP(D12,期货合约要素!$D:$Q,14,0)),IF(VLOOKUP(D12,期权合约要素!$D:$V,19,0)=0,"",VLOOKUP(D12,期权合约要素!$D:$V,19,0)))</f>
        <v/>
      </c>
    </row>
    <row r="13" ht="30" customHeight="1" spans="2:11">
      <c r="B13" s="898"/>
      <c r="C13" s="899" t="s">
        <v>70</v>
      </c>
      <c r="D13" s="904" t="s">
        <v>71</v>
      </c>
      <c r="E13" s="901" t="s">
        <v>54</v>
      </c>
      <c r="F13" s="897"/>
      <c r="G13" s="897"/>
      <c r="H13" s="678"/>
      <c r="I13" s="929"/>
      <c r="J13" s="322" t="str">
        <f>IFERROR(IF(VLOOKUP(D13,期货合约要素!$D:$Q,12,0)=0,"",VLOOKUP(D13,期货合约要素!$D:$Q,12,0)),IF(VLOOKUP(D13,期权合约要素!$D:$V,17,0)=0,"",VLOOKUP(D13,期权合约要素!$D:$V,17,0)))</f>
        <v/>
      </c>
      <c r="K13" s="323" t="str">
        <f>IFERROR(IF(VLOOKUP(D13,期货合约要素!$D:$Q,14,0)=0,"",VLOOKUP(D13,期货合约要素!$D:$Q,14,0)),IF(VLOOKUP(D13,期权合约要素!$D:$V,19,0)=0,"",VLOOKUP(D13,期权合约要素!$D:$V,19,0)))</f>
        <v/>
      </c>
    </row>
    <row r="14" ht="30" customHeight="1" spans="2:11">
      <c r="B14" s="898"/>
      <c r="C14" s="905" t="s">
        <v>72</v>
      </c>
      <c r="D14" s="900" t="s">
        <v>73</v>
      </c>
      <c r="E14" s="906" t="s">
        <v>54</v>
      </c>
      <c r="F14" s="678" t="s">
        <v>55</v>
      </c>
      <c r="G14" s="678" t="s">
        <v>74</v>
      </c>
      <c r="H14" s="678"/>
      <c r="I14" s="929"/>
      <c r="J14" s="322" t="str">
        <f>IFERROR(IF(VLOOKUP(D14,期货合约要素!$D:$Q,12,0)=0,"",VLOOKUP(D14,期货合约要素!$D:$Q,12,0)),IF(VLOOKUP(D14,期权合约要素!$D:$V,17,0)=0,"",VLOOKUP(D14,期权合约要素!$D:$V,17,0)))</f>
        <v>√</v>
      </c>
      <c r="K14" s="323" t="str">
        <f>IFERROR(IF(VLOOKUP(D14,期货合约要素!$D:$Q,14,0)=0,"",VLOOKUP(D14,期货合约要素!$D:$Q,14,0)),IF(VLOOKUP(D14,期权合约要素!$D:$V,19,0)=0,"",VLOOKUP(D14,期权合约要素!$D:$V,19,0)))</f>
        <v/>
      </c>
    </row>
    <row r="15" ht="30" customHeight="1" spans="2:11">
      <c r="B15" s="898"/>
      <c r="C15" s="905" t="s">
        <v>75</v>
      </c>
      <c r="D15" s="900" t="s">
        <v>76</v>
      </c>
      <c r="E15" s="906" t="s">
        <v>54</v>
      </c>
      <c r="F15" s="678"/>
      <c r="G15" s="678"/>
      <c r="H15" s="678"/>
      <c r="I15" s="929"/>
      <c r="J15" s="322" t="str">
        <f>IFERROR(IF(VLOOKUP(D15,期货合约要素!$D:$Q,12,0)=0,"",VLOOKUP(D15,期货合约要素!$D:$Q,12,0)),IF(VLOOKUP(D15,期权合约要素!$D:$V,17,0)=0,"",VLOOKUP(D15,期权合约要素!$D:$V,17,0)))</f>
        <v>√</v>
      </c>
      <c r="K15" s="323" t="str">
        <f>IFERROR(IF(VLOOKUP(D15,期货合约要素!$D:$Q,14,0)=0,"",VLOOKUP(D15,期货合约要素!$D:$Q,14,0)),IF(VLOOKUP(D15,期权合约要素!$D:$V,19,0)=0,"",VLOOKUP(D15,期权合约要素!$D:$V,19,0)))</f>
        <v/>
      </c>
    </row>
    <row r="16" ht="30" customHeight="1" spans="2:11">
      <c r="B16" s="898"/>
      <c r="C16" s="905" t="s">
        <v>77</v>
      </c>
      <c r="D16" s="900" t="s">
        <v>78</v>
      </c>
      <c r="E16" s="906"/>
      <c r="F16" s="678"/>
      <c r="G16" s="678"/>
      <c r="H16" s="678"/>
      <c r="I16" s="929"/>
      <c r="J16" s="322" t="str">
        <f>IFERROR(IF(VLOOKUP(D16,期货合约要素!$D:$Q,12,0)=0,"",VLOOKUP(D16,期货合约要素!$D:$Q,12,0)),IF(VLOOKUP(D16,期权合约要素!$D:$V,17,0)=0,"",VLOOKUP(D16,期权合约要素!$D:$V,17,0)))</f>
        <v>√</v>
      </c>
      <c r="K16" s="323" t="str">
        <f>IFERROR(IF(VLOOKUP(D16,期货合约要素!$D:$Q,14,0)=0,"",VLOOKUP(D16,期货合约要素!$D:$Q,14,0)),IF(VLOOKUP(D16,期权合约要素!$D:$V,19,0)=0,"",VLOOKUP(D16,期权合约要素!$D:$V,19,0)))</f>
        <v/>
      </c>
    </row>
    <row r="17" ht="30" customHeight="1" spans="2:11">
      <c r="B17" s="898"/>
      <c r="C17" s="905" t="s">
        <v>79</v>
      </c>
      <c r="D17" s="900" t="s">
        <v>80</v>
      </c>
      <c r="E17" s="906" t="s">
        <v>54</v>
      </c>
      <c r="F17" s="678"/>
      <c r="G17" s="678"/>
      <c r="H17" s="678"/>
      <c r="I17" s="929"/>
      <c r="J17" s="322" t="str">
        <f>IFERROR(IF(VLOOKUP(D17,期货合约要素!$D:$Q,12,0)=0,"",VLOOKUP(D17,期货合约要素!$D:$Q,12,0)),IF(VLOOKUP(D17,期权合约要素!$D:$V,17,0)=0,"",VLOOKUP(D17,期权合约要素!$D:$V,17,0)))</f>
        <v>√</v>
      </c>
      <c r="K17" s="323" t="str">
        <f>IFERROR(IF(VLOOKUP(D17,期货合约要素!$D:$Q,14,0)=0,"",VLOOKUP(D17,期货合约要素!$D:$Q,14,0)),IF(VLOOKUP(D17,期权合约要素!$D:$V,19,0)=0,"",VLOOKUP(D17,期权合约要素!$D:$V,19,0)))</f>
        <v/>
      </c>
    </row>
    <row r="18" ht="30" customHeight="1" spans="2:11">
      <c r="B18" s="898"/>
      <c r="C18" s="899" t="s">
        <v>81</v>
      </c>
      <c r="D18" s="900" t="s">
        <v>82</v>
      </c>
      <c r="E18" s="901" t="s">
        <v>54</v>
      </c>
      <c r="F18" s="678"/>
      <c r="G18" s="678"/>
      <c r="H18" s="678"/>
      <c r="I18" s="929"/>
      <c r="J18" s="322" t="str">
        <f>IFERROR(IF(VLOOKUP(D18,期货合约要素!$D:$Q,12,0)=0,"",VLOOKUP(D18,期货合约要素!$D:$Q,12,0)),IF(VLOOKUP(D18,期权合约要素!$D:$V,17,0)=0,"",VLOOKUP(D18,期权合约要素!$D:$V,17,0)))</f>
        <v>√</v>
      </c>
      <c r="K18" s="323" t="str">
        <f>IFERROR(IF(VLOOKUP(D18,期货合约要素!$D:$Q,14,0)=0,"",VLOOKUP(D18,期货合约要素!$D:$Q,14,0)),IF(VLOOKUP(D18,期权合约要素!$D:$V,19,0)=0,"",VLOOKUP(D18,期权合约要素!$D:$V,19,0)))</f>
        <v/>
      </c>
    </row>
    <row r="19" ht="30" customHeight="1" spans="2:11">
      <c r="B19" s="898"/>
      <c r="C19" s="899" t="s">
        <v>83</v>
      </c>
      <c r="D19" s="900" t="s">
        <v>84</v>
      </c>
      <c r="E19" s="901" t="s">
        <v>54</v>
      </c>
      <c r="F19" s="678"/>
      <c r="G19" s="678"/>
      <c r="H19" s="678"/>
      <c r="I19" s="929"/>
      <c r="J19" s="322" t="str">
        <f>IFERROR(IF(VLOOKUP(D19,期货合约要素!$D:$Q,12,0)=0,"",VLOOKUP(D19,期货合约要素!$D:$Q,12,0)),IF(VLOOKUP(D19,期权合约要素!$D:$V,17,0)=0,"",VLOOKUP(D19,期权合约要素!$D:$V,17,0)))</f>
        <v>√</v>
      </c>
      <c r="K19" s="323" t="str">
        <f>IFERROR(IF(VLOOKUP(D19,期货合约要素!$D:$Q,14,0)=0,"",VLOOKUP(D19,期货合约要素!$D:$Q,14,0)),IF(VLOOKUP(D19,期权合约要素!$D:$V,19,0)=0,"",VLOOKUP(D19,期权合约要素!$D:$V,19,0)))</f>
        <v>√</v>
      </c>
    </row>
    <row r="20" ht="30" customHeight="1" spans="2:11">
      <c r="B20" s="898"/>
      <c r="C20" s="899" t="s">
        <v>85</v>
      </c>
      <c r="D20" s="900" t="s">
        <v>86</v>
      </c>
      <c r="E20" s="901" t="s">
        <v>54</v>
      </c>
      <c r="F20" s="678"/>
      <c r="G20" s="678"/>
      <c r="H20" s="678"/>
      <c r="I20" s="929"/>
      <c r="J20" s="322" t="str">
        <f>IFERROR(IF(VLOOKUP(D20,期货合约要素!$D:$Q,12,0)=0,"",VLOOKUP(D20,期货合约要素!$D:$Q,12,0)),IF(VLOOKUP(D20,期权合约要素!$D:$V,17,0)=0,"",VLOOKUP(D20,期权合约要素!$D:$V,17,0)))</f>
        <v>√</v>
      </c>
      <c r="K20" s="323" t="str">
        <f>IFERROR(IF(VLOOKUP(D20,期货合约要素!$D:$Q,14,0)=0,"",VLOOKUP(D20,期货合约要素!$D:$Q,14,0)),IF(VLOOKUP(D20,期权合约要素!$D:$V,19,0)=0,"",VLOOKUP(D20,期权合约要素!$D:$V,19,0)))</f>
        <v/>
      </c>
    </row>
    <row r="21" ht="30" customHeight="1" spans="2:11">
      <c r="B21" s="898"/>
      <c r="C21" s="899" t="s">
        <v>87</v>
      </c>
      <c r="D21" s="900" t="s">
        <v>88</v>
      </c>
      <c r="E21" s="901" t="s">
        <v>54</v>
      </c>
      <c r="F21" s="678"/>
      <c r="G21" s="678"/>
      <c r="H21" s="678"/>
      <c r="I21" s="929"/>
      <c r="J21" s="322" t="str">
        <f>IFERROR(IF(VLOOKUP(D21,期货合约要素!$D:$Q,12,0)=0,"",VLOOKUP(D21,期货合约要素!$D:$Q,12,0)),IF(VLOOKUP(D21,期权合约要素!$D:$V,17,0)=0,"",VLOOKUP(D21,期权合约要素!$D:$V,17,0)))</f>
        <v/>
      </c>
      <c r="K21" s="323" t="str">
        <f>IFERROR(IF(VLOOKUP(D21,期货合约要素!$D:$Q,14,0)=0,"",VLOOKUP(D21,期货合约要素!$D:$Q,14,0)),IF(VLOOKUP(D21,期权合约要素!$D:$V,19,0)=0,"",VLOOKUP(D21,期权合约要素!$D:$V,19,0)))</f>
        <v/>
      </c>
    </row>
    <row r="22" ht="30" customHeight="1" spans="2:11">
      <c r="B22" s="898"/>
      <c r="C22" s="899" t="s">
        <v>89</v>
      </c>
      <c r="D22" s="904" t="s">
        <v>90</v>
      </c>
      <c r="E22" s="901" t="s">
        <v>54</v>
      </c>
      <c r="F22" s="678"/>
      <c r="G22" s="678"/>
      <c r="H22" s="678"/>
      <c r="I22" s="929"/>
      <c r="J22" s="322" t="str">
        <f>IFERROR(IF(VLOOKUP(D22,期货合约要素!$D:$Q,12,0)=0,"",VLOOKUP(D22,期货合约要素!$D:$Q,12,0)),IF(VLOOKUP(D22,期权合约要素!$D:$V,17,0)=0,"",VLOOKUP(D22,期权合约要素!$D:$V,17,0)))</f>
        <v/>
      </c>
      <c r="K22" s="323" t="str">
        <f>IFERROR(IF(VLOOKUP(D22,期货合约要素!$D:$Q,14,0)=0,"",VLOOKUP(D22,期货合约要素!$D:$Q,14,0)),IF(VLOOKUP(D22,期权合约要素!$D:$V,19,0)=0,"",VLOOKUP(D22,期权合约要素!$D:$V,19,0)))</f>
        <v/>
      </c>
    </row>
    <row r="23" ht="30" customHeight="1" spans="2:11">
      <c r="B23" s="898"/>
      <c r="C23" s="899" t="s">
        <v>91</v>
      </c>
      <c r="D23" s="904" t="s">
        <v>92</v>
      </c>
      <c r="E23" s="901" t="s">
        <v>54</v>
      </c>
      <c r="F23" s="901" t="s">
        <v>55</v>
      </c>
      <c r="G23" s="901" t="s">
        <v>93</v>
      </c>
      <c r="H23" s="678"/>
      <c r="I23" s="929"/>
      <c r="J23" s="322" t="str">
        <f>IFERROR(IF(VLOOKUP(D23,期货合约要素!$D:$Q,12,0)=0,"",VLOOKUP(D23,期货合约要素!$D:$Q,12,0)),IF(VLOOKUP(D23,期权合约要素!$D:$V,17,0)=0,"",VLOOKUP(D23,期权合约要素!$D:$V,17,0)))</f>
        <v>√</v>
      </c>
      <c r="K23" s="323" t="str">
        <f>IFERROR(IF(VLOOKUP(D23,期货合约要素!$D:$Q,14,0)=0,"",VLOOKUP(D23,期货合约要素!$D:$Q,14,0)),IF(VLOOKUP(D23,期权合约要素!$D:$V,19,0)=0,"",VLOOKUP(D23,期权合约要素!$D:$V,19,0)))</f>
        <v/>
      </c>
    </row>
    <row r="24" ht="30" customHeight="1" spans="2:11">
      <c r="B24" s="907"/>
      <c r="C24" s="899" t="s">
        <v>94</v>
      </c>
      <c r="D24" s="904" t="s">
        <v>95</v>
      </c>
      <c r="E24" s="901" t="s">
        <v>54</v>
      </c>
      <c r="F24" s="901"/>
      <c r="G24" s="901"/>
      <c r="H24" s="678"/>
      <c r="I24" s="929"/>
      <c r="J24" s="322" t="str">
        <f>IFERROR(IF(VLOOKUP(D24,期货合约要素!$D:$Q,12,0)=0,"",VLOOKUP(D24,期货合约要素!$D:$Q,12,0)),IF(VLOOKUP(D24,期权合约要素!$D:$V,17,0)=0,"",VLOOKUP(D24,期权合约要素!$D:$V,17,0)))</f>
        <v>√</v>
      </c>
      <c r="K24" s="323" t="str">
        <f>IFERROR(IF(VLOOKUP(D24,期货合约要素!$D:$Q,14,0)=0,"",VLOOKUP(D24,期货合约要素!$D:$Q,14,0)),IF(VLOOKUP(D24,期权合约要素!$D:$V,19,0)=0,"",VLOOKUP(D24,期权合约要素!$D:$V,19,0)))</f>
        <v/>
      </c>
    </row>
    <row r="25" ht="30" customHeight="1" spans="2:11">
      <c r="B25" s="908" t="s">
        <v>96</v>
      </c>
      <c r="C25" s="899" t="s">
        <v>97</v>
      </c>
      <c r="D25" s="904" t="s">
        <v>98</v>
      </c>
      <c r="E25" s="901" t="s">
        <v>54</v>
      </c>
      <c r="F25" s="901"/>
      <c r="G25" s="901"/>
      <c r="H25" s="678"/>
      <c r="I25" s="929"/>
      <c r="J25" s="322" t="str">
        <f>IFERROR(IF(VLOOKUP(D25,期货合约要素!$D:$Q,12,0)=0,"",VLOOKUP(D25,期货合约要素!$D:$Q,12,0)),IF(VLOOKUP(D25,期权合约要素!$D:$V,17,0)=0,"",VLOOKUP(D25,期权合约要素!$D:$V,17,0)))</f>
        <v>√</v>
      </c>
      <c r="K25" s="323" t="str">
        <f>IFERROR(IF(VLOOKUP(D25,期货合约要素!$D:$Q,14,0)=0,"",VLOOKUP(D25,期货合约要素!$D:$Q,14,0)),IF(VLOOKUP(D25,期权合约要素!$D:$V,19,0)=0,"",VLOOKUP(D25,期权合约要素!$D:$V,19,0)))</f>
        <v>√</v>
      </c>
    </row>
    <row r="26" ht="30" customHeight="1" spans="2:11">
      <c r="B26" s="909"/>
      <c r="C26" s="899" t="s">
        <v>99</v>
      </c>
      <c r="D26" s="904" t="s">
        <v>100</v>
      </c>
      <c r="E26" s="901"/>
      <c r="F26" s="901" t="s">
        <v>55</v>
      </c>
      <c r="G26" s="901" t="s">
        <v>56</v>
      </c>
      <c r="H26" s="678"/>
      <c r="I26" s="929"/>
      <c r="J26" s="322" t="str">
        <f>IFERROR(IF(VLOOKUP(D26,期货合约要素!$D:$Q,12,0)=0,"",VLOOKUP(D26,期货合约要素!$D:$Q,12,0)),IF(VLOOKUP(D26,期权合约要素!$D:$V,17,0)=0,"",VLOOKUP(D26,期权合约要素!$D:$V,17,0)))</f>
        <v>√</v>
      </c>
      <c r="K26" s="323" t="str">
        <f>IFERROR(IF(VLOOKUP(D26,期货合约要素!$D:$Q,14,0)=0,"",VLOOKUP(D26,期货合约要素!$D:$Q,14,0)),IF(VLOOKUP(D26,期权合约要素!$D:$V,19,0)=0,"",VLOOKUP(D26,期权合约要素!$D:$V,19,0)))</f>
        <v>√</v>
      </c>
    </row>
    <row r="27" ht="30" customHeight="1" spans="2:11">
      <c r="B27" s="909"/>
      <c r="C27" s="899" t="s">
        <v>101</v>
      </c>
      <c r="D27" s="904" t="s">
        <v>102</v>
      </c>
      <c r="E27" s="901" t="s">
        <v>54</v>
      </c>
      <c r="F27" s="901"/>
      <c r="G27" s="901"/>
      <c r="H27" s="678"/>
      <c r="I27" s="929"/>
      <c r="J27" s="322" t="str">
        <f>IFERROR(IF(VLOOKUP(D27,期货合约要素!$D:$Q,12,0)=0,"",VLOOKUP(D27,期货合约要素!$D:$Q,12,0)),IF(VLOOKUP(D27,期权合约要素!$D:$V,17,0)=0,"",VLOOKUP(D27,期权合约要素!$D:$V,17,0)))</f>
        <v>√</v>
      </c>
      <c r="K27" s="323" t="str">
        <f>IFERROR(IF(VLOOKUP(D27,期货合约要素!$D:$Q,14,0)=0,"",VLOOKUP(D27,期货合约要素!$D:$Q,14,0)),IF(VLOOKUP(D27,期权合约要素!$D:$V,19,0)=0,"",VLOOKUP(D27,期权合约要素!$D:$V,19,0)))</f>
        <v>√</v>
      </c>
    </row>
    <row r="28" ht="30" customHeight="1" spans="2:11">
      <c r="B28" s="909"/>
      <c r="C28" s="899" t="s">
        <v>103</v>
      </c>
      <c r="D28" s="901" t="s">
        <v>104</v>
      </c>
      <c r="E28" s="901" t="s">
        <v>54</v>
      </c>
      <c r="F28" s="901" t="s">
        <v>55</v>
      </c>
      <c r="G28" s="901" t="s">
        <v>105</v>
      </c>
      <c r="H28" s="678"/>
      <c r="I28" s="929"/>
      <c r="J28" s="322" t="str">
        <f>IFERROR(IF(VLOOKUP(D28,期货合约要素!$D:$Q,12,0)=0,"",VLOOKUP(D28,期货合约要素!$D:$Q,12,0)),IF(VLOOKUP(D28,期权合约要素!$D:$V,17,0)=0,"",VLOOKUP(D28,期权合约要素!$D:$V,17,0)))</f>
        <v>√</v>
      </c>
      <c r="K28" s="323" t="str">
        <f>IFERROR(IF(VLOOKUP(D28,期货合约要素!$D:$Q,14,0)=0,"",VLOOKUP(D28,期货合约要素!$D:$Q,14,0)),IF(VLOOKUP(D28,期权合约要素!$D:$V,19,0)=0,"",VLOOKUP(D28,期权合约要素!$D:$V,19,0)))</f>
        <v>√</v>
      </c>
    </row>
    <row r="29" ht="30" customHeight="1" spans="2:11">
      <c r="B29" s="910"/>
      <c r="C29" s="911" t="s">
        <v>106</v>
      </c>
      <c r="D29" s="912" t="s">
        <v>107</v>
      </c>
      <c r="E29" s="612"/>
      <c r="F29" s="913" t="s">
        <v>49</v>
      </c>
      <c r="G29" s="913"/>
      <c r="H29" s="902" t="s">
        <v>50</v>
      </c>
      <c r="I29" s="930"/>
      <c r="J29" s="322" t="str">
        <f>IFERROR(IF(VLOOKUP(D29,期货合约要素!$D:$Q,12,0)=0,"",VLOOKUP(D29,期货合约要素!$D:$Q,12,0)),IF(VLOOKUP(D29,期权合约要素!$D:$V,17,0)=0,"",VLOOKUP(D29,期权合约要素!$D:$V,17,0)))</f>
        <v>√</v>
      </c>
      <c r="K29" s="323" t="str">
        <f>IFERROR(IF(VLOOKUP(D29,期货合约要素!$D:$Q,14,0)=0,"",VLOOKUP(D29,期货合约要素!$D:$Q,14,0)),IF(VLOOKUP(D29,期权合约要素!$D:$V,19,0)=0,"",VLOOKUP(D29,期权合约要素!$D:$V,19,0)))</f>
        <v>√</v>
      </c>
    </row>
    <row r="30" ht="30" customHeight="1" spans="2:11">
      <c r="B30" s="914" t="s">
        <v>108</v>
      </c>
      <c r="C30" s="899" t="s">
        <v>109</v>
      </c>
      <c r="D30" s="900" t="s">
        <v>110</v>
      </c>
      <c r="E30" s="901" t="s">
        <v>54</v>
      </c>
      <c r="F30" s="678" t="s">
        <v>55</v>
      </c>
      <c r="G30" s="678" t="s">
        <v>56</v>
      </c>
      <c r="H30" s="612" t="s">
        <v>111</v>
      </c>
      <c r="I30" s="931" t="s">
        <v>112</v>
      </c>
      <c r="J30" s="322" t="str">
        <f>IFERROR(IF(VLOOKUP(D30,期货合约要素!$D:$Q,12,0)=0,"",VLOOKUP(D30,期货合约要素!$D:$Q,12,0)),IF(VLOOKUP(D30,期权合约要素!$D:$V,17,0)=0,"",VLOOKUP(D30,期权合约要素!$D:$V,17,0)))</f>
        <v>√</v>
      </c>
      <c r="K30" s="323" t="str">
        <f>IFERROR(IF(VLOOKUP(D30,期货合约要素!$D:$Q,14,0)=0,"",VLOOKUP(D30,期货合约要素!$D:$Q,14,0)),IF(VLOOKUP(D30,期权合约要素!$D:$V,19,0)=0,"",VLOOKUP(D30,期权合约要素!$D:$V,19,0)))</f>
        <v>√</v>
      </c>
    </row>
    <row r="31" ht="30" customHeight="1" spans="2:11">
      <c r="B31" s="915"/>
      <c r="C31" s="899" t="s">
        <v>113</v>
      </c>
      <c r="D31" s="900" t="s">
        <v>114</v>
      </c>
      <c r="E31" s="901" t="s">
        <v>54</v>
      </c>
      <c r="F31" s="678"/>
      <c r="G31" s="678"/>
      <c r="H31" s="615"/>
      <c r="I31" s="932"/>
      <c r="J31" s="322" t="str">
        <f>IFERROR(IF(VLOOKUP(D31,期货合约要素!$D:$Q,12,0)=0,"",VLOOKUP(D31,期货合约要素!$D:$Q,12,0)),IF(VLOOKUP(D31,期权合约要素!$D:$V,17,0)=0,"",VLOOKUP(D31,期权合约要素!$D:$V,17,0)))</f>
        <v>√</v>
      </c>
      <c r="K31" s="323" t="str">
        <f>IFERROR(IF(VLOOKUP(D31,期货合约要素!$D:$Q,14,0)=0,"",VLOOKUP(D31,期货合约要素!$D:$Q,14,0)),IF(VLOOKUP(D31,期权合约要素!$D:$V,19,0)=0,"",VLOOKUP(D31,期权合约要素!$D:$V,19,0)))</f>
        <v>√</v>
      </c>
    </row>
    <row r="32" ht="30" customHeight="1" spans="2:11">
      <c r="B32" s="915"/>
      <c r="C32" s="899" t="s">
        <v>115</v>
      </c>
      <c r="D32" s="900" t="s">
        <v>116</v>
      </c>
      <c r="E32" s="901" t="s">
        <v>54</v>
      </c>
      <c r="F32" s="678"/>
      <c r="G32" s="678"/>
      <c r="H32" s="615"/>
      <c r="I32" s="932"/>
      <c r="J32" s="322" t="str">
        <f>IFERROR(IF(VLOOKUP(D32,期货合约要素!$D:$Q,12,0)=0,"",VLOOKUP(D32,期货合约要素!$D:$Q,12,0)),IF(VLOOKUP(D32,期权合约要素!$D:$V,17,0)=0,"",VLOOKUP(D32,期权合约要素!$D:$V,17,0)))</f>
        <v>√</v>
      </c>
      <c r="K32" s="323" t="str">
        <f>IFERROR(IF(VLOOKUP(D32,期货合约要素!$D:$Q,14,0)=0,"",VLOOKUP(D32,期货合约要素!$D:$Q,14,0)),IF(VLOOKUP(D32,期权合约要素!$D:$V,19,0)=0,"",VLOOKUP(D32,期权合约要素!$D:$V,19,0)))</f>
        <v>√</v>
      </c>
    </row>
    <row r="33" ht="30" customHeight="1" spans="2:11">
      <c r="B33" s="915"/>
      <c r="C33" s="899" t="s">
        <v>117</v>
      </c>
      <c r="D33" s="900" t="s">
        <v>118</v>
      </c>
      <c r="E33" s="901" t="s">
        <v>54</v>
      </c>
      <c r="F33" s="678"/>
      <c r="G33" s="678"/>
      <c r="H33" s="615"/>
      <c r="I33" s="932"/>
      <c r="J33" s="322" t="str">
        <f>IFERROR(IF(VLOOKUP(D33,期货合约要素!$D:$Q,12,0)=0,"",VLOOKUP(D33,期货合约要素!$D:$Q,12,0)),IF(VLOOKUP(D33,期权合约要素!$D:$V,17,0)=0,"",VLOOKUP(D33,期权合约要素!$D:$V,17,0)))</f>
        <v>√</v>
      </c>
      <c r="K33" s="323" t="str">
        <f>IFERROR(IF(VLOOKUP(D33,期货合约要素!$D:$Q,14,0)=0,"",VLOOKUP(D33,期货合约要素!$D:$Q,14,0)),IF(VLOOKUP(D33,期权合约要素!$D:$V,19,0)=0,"",VLOOKUP(D33,期权合约要素!$D:$V,19,0)))</f>
        <v>√</v>
      </c>
    </row>
    <row r="34" ht="30" customHeight="1" spans="2:11">
      <c r="B34" s="915"/>
      <c r="C34" s="899" t="s">
        <v>119</v>
      </c>
      <c r="D34" s="900" t="s">
        <v>120</v>
      </c>
      <c r="E34" s="901" t="s">
        <v>54</v>
      </c>
      <c r="F34" s="678"/>
      <c r="G34" s="678"/>
      <c r="H34" s="615"/>
      <c r="I34" s="932"/>
      <c r="J34" s="322" t="str">
        <f>IFERROR(IF(VLOOKUP(D34,期货合约要素!$D:$Q,12,0)=0,"",VLOOKUP(D34,期货合约要素!$D:$Q,12,0)),IF(VLOOKUP(D34,期权合约要素!$D:$V,17,0)=0,"",VLOOKUP(D34,期权合约要素!$D:$V,17,0)))</f>
        <v>√</v>
      </c>
      <c r="K34" s="323" t="str">
        <f>IFERROR(IF(VLOOKUP(D34,期货合约要素!$D:$Q,14,0)=0,"",VLOOKUP(D34,期货合约要素!$D:$Q,14,0)),IF(VLOOKUP(D34,期权合约要素!$D:$V,19,0)=0,"",VLOOKUP(D34,期权合约要素!$D:$V,19,0)))</f>
        <v>√</v>
      </c>
    </row>
    <row r="35" ht="30" customHeight="1" spans="2:11">
      <c r="B35" s="915"/>
      <c r="C35" s="899" t="s">
        <v>121</v>
      </c>
      <c r="D35" s="900" t="s">
        <v>122</v>
      </c>
      <c r="E35" s="901" t="s">
        <v>54</v>
      </c>
      <c r="F35" s="678"/>
      <c r="G35" s="678"/>
      <c r="H35" s="615"/>
      <c r="I35" s="932"/>
      <c r="J35" s="322" t="str">
        <f>IFERROR(IF(VLOOKUP(D35,期货合约要素!$D:$Q,12,0)=0,"",VLOOKUP(D35,期货合约要素!$D:$Q,12,0)),IF(VLOOKUP(D35,期权合约要素!$D:$V,17,0)=0,"",VLOOKUP(D35,期权合约要素!$D:$V,17,0)))</f>
        <v/>
      </c>
      <c r="K35" s="323" t="str">
        <f>IFERROR(IF(VLOOKUP(D35,期货合约要素!$D:$Q,14,0)=0,"",VLOOKUP(D35,期货合约要素!$D:$Q,14,0)),IF(VLOOKUP(D35,期权合约要素!$D:$V,19,0)=0,"",VLOOKUP(D35,期权合约要素!$D:$V,19,0)))</f>
        <v/>
      </c>
    </row>
    <row r="36" ht="30" customHeight="1" spans="2:11">
      <c r="B36" s="915"/>
      <c r="C36" s="899" t="s">
        <v>123</v>
      </c>
      <c r="D36" s="900" t="s">
        <v>124</v>
      </c>
      <c r="E36" s="901" t="s">
        <v>54</v>
      </c>
      <c r="F36" s="678"/>
      <c r="G36" s="678"/>
      <c r="H36" s="615"/>
      <c r="I36" s="932"/>
      <c r="J36" s="322" t="str">
        <f>IFERROR(IF(VLOOKUP(D36,期货合约要素!$D:$Q,12,0)=0,"",VLOOKUP(D36,期货合约要素!$D:$Q,12,0)),IF(VLOOKUP(D36,期权合约要素!$D:$V,17,0)=0,"",VLOOKUP(D36,期权合约要素!$D:$V,17,0)))</f>
        <v/>
      </c>
      <c r="K36" s="323" t="str">
        <f>IFERROR(IF(VLOOKUP(D36,期货合约要素!$D:$Q,14,0)=0,"",VLOOKUP(D36,期货合约要素!$D:$Q,14,0)),IF(VLOOKUP(D36,期权合约要素!$D:$V,19,0)=0,"",VLOOKUP(D36,期权合约要素!$D:$V,19,0)))</f>
        <v/>
      </c>
    </row>
    <row r="37" ht="30" customHeight="1" spans="2:11">
      <c r="B37" s="915"/>
      <c r="C37" s="899" t="s">
        <v>125</v>
      </c>
      <c r="D37" s="900" t="s">
        <v>126</v>
      </c>
      <c r="E37" s="901" t="s">
        <v>54</v>
      </c>
      <c r="F37" s="678"/>
      <c r="G37" s="678"/>
      <c r="H37" s="615"/>
      <c r="I37" s="932"/>
      <c r="J37" s="322" t="str">
        <f>IFERROR(IF(VLOOKUP(D37,期货合约要素!$D:$Q,12,0)=0,"",VLOOKUP(D37,期货合约要素!$D:$Q,12,0)),IF(VLOOKUP(D37,期权合约要素!$D:$V,17,0)=0,"",VLOOKUP(D37,期权合约要素!$D:$V,17,0)))</f>
        <v>√</v>
      </c>
      <c r="K37" s="323" t="str">
        <f>IFERROR(IF(VLOOKUP(D37,期货合约要素!$D:$Q,14,0)=0,"",VLOOKUP(D37,期货合约要素!$D:$Q,14,0)),IF(VLOOKUP(D37,期权合约要素!$D:$V,19,0)=0,"",VLOOKUP(D37,期权合约要素!$D:$V,19,0)))</f>
        <v/>
      </c>
    </row>
    <row r="38" ht="30" customHeight="1" spans="2:11">
      <c r="B38" s="915"/>
      <c r="C38" s="899" t="s">
        <v>127</v>
      </c>
      <c r="D38" s="904" t="s">
        <v>128</v>
      </c>
      <c r="E38" s="901"/>
      <c r="F38" s="678"/>
      <c r="G38" s="678"/>
      <c r="H38" s="615"/>
      <c r="I38" s="932"/>
      <c r="J38" s="322" t="str">
        <f>IFERROR(IF(VLOOKUP(D38,期货合约要素!$D:$Q,12,0)=0,"",VLOOKUP(D38,期货合约要素!$D:$Q,12,0)),IF(VLOOKUP(D38,期权合约要素!$D:$V,17,0)=0,"",VLOOKUP(D38,期权合约要素!$D:$V,17,0)))</f>
        <v>√</v>
      </c>
      <c r="K38" s="323" t="str">
        <f>IFERROR(IF(VLOOKUP(D38,期货合约要素!$D:$Q,14,0)=0,"",VLOOKUP(D38,期货合约要素!$D:$Q,14,0)),IF(VLOOKUP(D38,期权合约要素!$D:$V,19,0)=0,"",VLOOKUP(D38,期权合约要素!$D:$V,19,0)))</f>
        <v/>
      </c>
    </row>
    <row r="39" ht="30" customHeight="1" spans="2:11">
      <c r="B39" s="915"/>
      <c r="C39" s="899" t="s">
        <v>129</v>
      </c>
      <c r="D39" s="904" t="s">
        <v>130</v>
      </c>
      <c r="E39" s="901" t="s">
        <v>54</v>
      </c>
      <c r="F39" s="678"/>
      <c r="G39" s="678"/>
      <c r="H39" s="615"/>
      <c r="I39" s="932"/>
      <c r="J39" s="322" t="str">
        <f>IFERROR(IF(VLOOKUP(D39,期货合约要素!$D:$Q,12,0)=0,"",VLOOKUP(D39,期货合约要素!$D:$Q,12,0)),IF(VLOOKUP(D39,期权合约要素!$D:$V,17,0)=0,"",VLOOKUP(D39,期权合约要素!$D:$V,17,0)))</f>
        <v>√</v>
      </c>
      <c r="K39" s="323" t="str">
        <f>IFERROR(IF(VLOOKUP(D39,期货合约要素!$D:$Q,14,0)=0,"",VLOOKUP(D39,期货合约要素!$D:$Q,14,0)),IF(VLOOKUP(D39,期权合约要素!$D:$V,19,0)=0,"",VLOOKUP(D39,期权合约要素!$D:$V,19,0)))</f>
        <v/>
      </c>
    </row>
    <row r="40" ht="30" customHeight="1" spans="2:11">
      <c r="B40" s="915"/>
      <c r="C40" s="899" t="s">
        <v>131</v>
      </c>
      <c r="D40" s="904" t="s">
        <v>132</v>
      </c>
      <c r="E40" s="901"/>
      <c r="F40" s="678"/>
      <c r="G40" s="678"/>
      <c r="H40" s="615"/>
      <c r="I40" s="932"/>
      <c r="J40" s="322" t="str">
        <f>IFERROR(IF(VLOOKUP(D40,期货合约要素!$D:$Q,12,0)=0,"",VLOOKUP(D40,期货合约要素!$D:$Q,12,0)),IF(VLOOKUP(D40,期权合约要素!$D:$V,17,0)=0,"",VLOOKUP(D40,期权合约要素!$D:$V,17,0)))</f>
        <v>√</v>
      </c>
      <c r="K40" s="323" t="str">
        <f>IFERROR(IF(VLOOKUP(D40,期货合约要素!$D:$Q,14,0)=0,"",VLOOKUP(D40,期货合约要素!$D:$Q,14,0)),IF(VLOOKUP(D40,期权合约要素!$D:$V,19,0)=0,"",VLOOKUP(D40,期权合约要素!$D:$V,19,0)))</f>
        <v/>
      </c>
    </row>
    <row r="41" ht="30" customHeight="1" spans="2:11">
      <c r="B41" s="915"/>
      <c r="C41" s="899" t="s">
        <v>133</v>
      </c>
      <c r="D41" s="904" t="s">
        <v>134</v>
      </c>
      <c r="E41" s="901" t="s">
        <v>54</v>
      </c>
      <c r="F41" s="678"/>
      <c r="G41" s="678"/>
      <c r="H41" s="615"/>
      <c r="I41" s="932"/>
      <c r="J41" s="322" t="str">
        <f>IFERROR(IF(VLOOKUP(D41,期货合约要素!$D:$Q,12,0)=0,"",VLOOKUP(D41,期货合约要素!$D:$Q,12,0)),IF(VLOOKUP(D41,期权合约要素!$D:$V,17,0)=0,"",VLOOKUP(D41,期权合约要素!$D:$V,17,0)))</f>
        <v>√</v>
      </c>
      <c r="K41" s="323" t="str">
        <f>IFERROR(IF(VLOOKUP(D41,期货合约要素!$D:$Q,14,0)=0,"",VLOOKUP(D41,期货合约要素!$D:$Q,14,0)),IF(VLOOKUP(D41,期权合约要素!$D:$V,19,0)=0,"",VLOOKUP(D41,期权合约要素!$D:$V,19,0)))</f>
        <v/>
      </c>
    </row>
    <row r="42" ht="30" customHeight="1" spans="2:11">
      <c r="B42" s="915"/>
      <c r="C42" s="899" t="s">
        <v>135</v>
      </c>
      <c r="D42" s="904" t="s">
        <v>136</v>
      </c>
      <c r="E42" s="901"/>
      <c r="F42" s="678"/>
      <c r="G42" s="678"/>
      <c r="H42" s="615"/>
      <c r="I42" s="932"/>
      <c r="J42" s="322" t="str">
        <f>IFERROR(IF(VLOOKUP(D42,期货合约要素!$D:$Q,12,0)=0,"",VLOOKUP(D42,期货合约要素!$D:$Q,12,0)),IF(VLOOKUP(D42,期权合约要素!$D:$V,17,0)=0,"",VLOOKUP(D42,期权合约要素!$D:$V,17,0)))</f>
        <v>√</v>
      </c>
      <c r="K42" s="323" t="str">
        <f>IFERROR(IF(VLOOKUP(D42,期货合约要素!$D:$Q,14,0)=0,"",VLOOKUP(D42,期货合约要素!$D:$Q,14,0)),IF(VLOOKUP(D42,期权合约要素!$D:$V,19,0)=0,"",VLOOKUP(D42,期权合约要素!$D:$V,19,0)))</f>
        <v/>
      </c>
    </row>
    <row r="43" ht="30" customHeight="1" spans="2:11">
      <c r="B43" s="915"/>
      <c r="C43" s="899" t="s">
        <v>137</v>
      </c>
      <c r="D43" s="900" t="s">
        <v>138</v>
      </c>
      <c r="E43" s="901" t="s">
        <v>54</v>
      </c>
      <c r="F43" s="678"/>
      <c r="G43" s="678"/>
      <c r="H43" s="615"/>
      <c r="I43" s="932"/>
      <c r="J43" s="322" t="str">
        <f>IFERROR(IF(VLOOKUP(D43,期货合约要素!$D:$Q,12,0)=0,"",VLOOKUP(D43,期货合约要素!$D:$Q,12,0)),IF(VLOOKUP(D43,期权合约要素!$D:$V,17,0)=0,"",VLOOKUP(D43,期权合约要素!$D:$V,17,0)))</f>
        <v>√</v>
      </c>
      <c r="K43" s="323" t="str">
        <f>IFERROR(IF(VLOOKUP(D43,期货合约要素!$D:$Q,14,0)=0,"",VLOOKUP(D43,期货合约要素!$D:$Q,14,0)),IF(VLOOKUP(D43,期权合约要素!$D:$V,19,0)=0,"",VLOOKUP(D43,期权合约要素!$D:$V,19,0)))</f>
        <v/>
      </c>
    </row>
    <row r="44" ht="30" customHeight="1" spans="2:11">
      <c r="B44" s="915"/>
      <c r="C44" s="899" t="s">
        <v>139</v>
      </c>
      <c r="D44" s="900" t="s">
        <v>140</v>
      </c>
      <c r="E44" s="901" t="s">
        <v>54</v>
      </c>
      <c r="F44" s="678"/>
      <c r="G44" s="678"/>
      <c r="H44" s="615"/>
      <c r="I44" s="932"/>
      <c r="J44" s="322" t="str">
        <f>IFERROR(IF(VLOOKUP(D44,期货合约要素!$D:$Q,12,0)=0,"",VLOOKUP(D44,期货合约要素!$D:$Q,12,0)),IF(VLOOKUP(D44,期权合约要素!$D:$V,17,0)=0,"",VLOOKUP(D44,期权合约要素!$D:$V,17,0)))</f>
        <v>√</v>
      </c>
      <c r="K44" s="323" t="str">
        <f>IFERROR(IF(VLOOKUP(D44,期货合约要素!$D:$Q,14,0)=0,"",VLOOKUP(D44,期货合约要素!$D:$Q,14,0)),IF(VLOOKUP(D44,期权合约要素!$D:$V,19,0)=0,"",VLOOKUP(D44,期权合约要素!$D:$V,19,0)))</f>
        <v/>
      </c>
    </row>
    <row r="45" ht="30" customHeight="1" spans="2:11">
      <c r="B45" s="915"/>
      <c r="C45" s="899" t="s">
        <v>141</v>
      </c>
      <c r="D45" s="900" t="s">
        <v>142</v>
      </c>
      <c r="E45" s="916"/>
      <c r="F45" s="678"/>
      <c r="G45" s="678"/>
      <c r="H45" s="615"/>
      <c r="I45" s="932"/>
      <c r="J45" s="322" t="str">
        <f>IFERROR(IF(VLOOKUP(D45,期货合约要素!$D:$Q,12,0)=0,"",VLOOKUP(D45,期货合约要素!$D:$Q,12,0)),IF(VLOOKUP(D45,期权合约要素!$D:$V,17,0)=0,"",VLOOKUP(D45,期权合约要素!$D:$V,17,0)))</f>
        <v/>
      </c>
      <c r="K45" s="323" t="str">
        <f>IFERROR(IF(VLOOKUP(D45,期货合约要素!$D:$Q,14,0)=0,"",VLOOKUP(D45,期货合约要素!$D:$Q,14,0)),IF(VLOOKUP(D45,期权合约要素!$D:$V,19,0)=0,"",VLOOKUP(D45,期权合约要素!$D:$V,19,0)))</f>
        <v/>
      </c>
    </row>
    <row r="46" ht="30" customHeight="1" spans="2:11">
      <c r="B46" s="915"/>
      <c r="C46" s="899" t="s">
        <v>143</v>
      </c>
      <c r="D46" s="900" t="s">
        <v>144</v>
      </c>
      <c r="E46" s="901" t="s">
        <v>54</v>
      </c>
      <c r="F46" s="678"/>
      <c r="G46" s="678"/>
      <c r="H46" s="615"/>
      <c r="I46" s="932"/>
      <c r="J46" s="322" t="str">
        <f>IFERROR(IF(VLOOKUP(D46,期货合约要素!$D:$Q,12,0)=0,"",VLOOKUP(D46,期货合约要素!$D:$Q,12,0)),IF(VLOOKUP(D46,期权合约要素!$D:$V,17,0)=0,"",VLOOKUP(D46,期权合约要素!$D:$V,17,0)))</f>
        <v/>
      </c>
      <c r="K46" s="323" t="str">
        <f>IFERROR(IF(VLOOKUP(D46,期货合约要素!$D:$Q,14,0)=0,"",VLOOKUP(D46,期货合约要素!$D:$Q,14,0)),IF(VLOOKUP(D46,期权合约要素!$D:$V,19,0)=0,"",VLOOKUP(D46,期权合约要素!$D:$V,19,0)))</f>
        <v/>
      </c>
    </row>
    <row r="47" ht="30" customHeight="1" spans="2:11">
      <c r="B47" s="915"/>
      <c r="C47" s="899" t="s">
        <v>145</v>
      </c>
      <c r="D47" s="900" t="s">
        <v>146</v>
      </c>
      <c r="E47" s="901"/>
      <c r="F47" s="678"/>
      <c r="G47" s="678"/>
      <c r="H47" s="615"/>
      <c r="I47" s="932"/>
      <c r="J47" s="322" t="str">
        <f>IFERROR(IF(VLOOKUP(D47,期货合约要素!$D:$Q,12,0)=0,"",VLOOKUP(D47,期货合约要素!$D:$Q,12,0)),IF(VLOOKUP(D47,期权合约要素!$D:$V,17,0)=0,"",VLOOKUP(D47,期权合约要素!$D:$V,17,0)))</f>
        <v/>
      </c>
      <c r="K47" s="323" t="str">
        <f>IFERROR(IF(VLOOKUP(D47,期货合约要素!$D:$Q,14,0)=0,"",VLOOKUP(D47,期货合约要素!$D:$Q,14,0)),IF(VLOOKUP(D47,期权合约要素!$D:$V,19,0)=0,"",VLOOKUP(D47,期权合约要素!$D:$V,19,0)))</f>
        <v/>
      </c>
    </row>
    <row r="48" ht="30" customHeight="1" spans="2:11">
      <c r="B48" s="915"/>
      <c r="C48" s="899" t="s">
        <v>147</v>
      </c>
      <c r="D48" s="900" t="s">
        <v>148</v>
      </c>
      <c r="E48" s="901" t="s">
        <v>54</v>
      </c>
      <c r="F48" s="678"/>
      <c r="G48" s="678"/>
      <c r="H48" s="615"/>
      <c r="I48" s="932"/>
      <c r="J48" s="322" t="str">
        <f>IFERROR(IF(VLOOKUP(D48,期货合约要素!$D:$Q,12,0)=0,"",VLOOKUP(D48,期货合约要素!$D:$Q,12,0)),IF(VLOOKUP(D48,期权合约要素!$D:$V,17,0)=0,"",VLOOKUP(D48,期权合约要素!$D:$V,17,0)))</f>
        <v>√</v>
      </c>
      <c r="K48" s="323" t="str">
        <f>IFERROR(IF(VLOOKUP(D48,期货合约要素!$D:$Q,14,0)=0,"",VLOOKUP(D48,期货合约要素!$D:$Q,14,0)),IF(VLOOKUP(D48,期权合约要素!$D:$V,19,0)=0,"",VLOOKUP(D48,期权合约要素!$D:$V,19,0)))</f>
        <v/>
      </c>
    </row>
    <row r="49" ht="30" customHeight="1" spans="2:11">
      <c r="B49" s="915"/>
      <c r="C49" s="899" t="s">
        <v>149</v>
      </c>
      <c r="D49" s="900" t="s">
        <v>150</v>
      </c>
      <c r="E49" s="901" t="s">
        <v>54</v>
      </c>
      <c r="F49" s="678"/>
      <c r="G49" s="678"/>
      <c r="H49" s="615"/>
      <c r="I49" s="932"/>
      <c r="J49" s="322" t="str">
        <f>IFERROR(IF(VLOOKUP(D49,期货合约要素!$D:$Q,12,0)=0,"",VLOOKUP(D49,期货合约要素!$D:$Q,12,0)),IF(VLOOKUP(D49,期权合约要素!$D:$V,17,0)=0,"",VLOOKUP(D49,期权合约要素!$D:$V,17,0)))</f>
        <v>√</v>
      </c>
      <c r="K49" s="323" t="str">
        <f>IFERROR(IF(VLOOKUP(D49,期货合约要素!$D:$Q,14,0)=0,"",VLOOKUP(D49,期货合约要素!$D:$Q,14,0)),IF(VLOOKUP(D49,期权合约要素!$D:$V,19,0)=0,"",VLOOKUP(D49,期权合约要素!$D:$V,19,0)))</f>
        <v>√</v>
      </c>
    </row>
    <row r="50" ht="30" customHeight="1" spans="2:11">
      <c r="B50" s="915"/>
      <c r="C50" s="899" t="s">
        <v>151</v>
      </c>
      <c r="D50" s="904" t="s">
        <v>152</v>
      </c>
      <c r="E50" s="901" t="s">
        <v>54</v>
      </c>
      <c r="F50" s="678"/>
      <c r="G50" s="678"/>
      <c r="H50" s="615"/>
      <c r="I50" s="932"/>
      <c r="J50" s="322" t="str">
        <f>IFERROR(IF(VLOOKUP(D50,期货合约要素!$D:$Q,12,0)=0,"",VLOOKUP(D50,期货合约要素!$D:$Q,12,0)),IF(VLOOKUP(D50,期权合约要素!$D:$V,17,0)=0,"",VLOOKUP(D50,期权合约要素!$D:$V,17,0)))</f>
        <v/>
      </c>
      <c r="K50" s="323" t="str">
        <f>IFERROR(IF(VLOOKUP(D50,期货合约要素!$D:$Q,14,0)=0,"",VLOOKUP(D50,期货合约要素!$D:$Q,14,0)),IF(VLOOKUP(D50,期权合约要素!$D:$V,19,0)=0,"",VLOOKUP(D50,期权合约要素!$D:$V,19,0)))</f>
        <v/>
      </c>
    </row>
    <row r="51" ht="30" customHeight="1" spans="2:11">
      <c r="B51" s="915"/>
      <c r="C51" s="899" t="s">
        <v>153</v>
      </c>
      <c r="D51" s="904" t="s">
        <v>154</v>
      </c>
      <c r="E51" s="901" t="s">
        <v>54</v>
      </c>
      <c r="F51" s="917" t="s">
        <v>49</v>
      </c>
      <c r="G51" s="918"/>
      <c r="H51" s="902" t="s">
        <v>50</v>
      </c>
      <c r="I51" s="932"/>
      <c r="J51" s="322" t="str">
        <f>IFERROR(IF(VLOOKUP(D51,期货合约要素!$D:$Q,12,0)=0,"",VLOOKUP(D51,期货合约要素!$D:$Q,12,0)),IF(VLOOKUP(D51,期权合约要素!$D:$V,17,0)=0,"",VLOOKUP(D51,期权合约要素!$D:$V,17,0)))</f>
        <v/>
      </c>
      <c r="K51" s="323" t="str">
        <f>IFERROR(IF(VLOOKUP(D51,期货合约要素!$D:$Q,14,0)=0,"",VLOOKUP(D51,期货合约要素!$D:$Q,14,0)),IF(VLOOKUP(D51,期权合约要素!$D:$V,19,0)=0,"",VLOOKUP(D51,期权合约要素!$D:$V,19,0)))</f>
        <v/>
      </c>
    </row>
    <row r="52" ht="30" customHeight="1" spans="2:11">
      <c r="B52" s="915"/>
      <c r="C52" s="899" t="s">
        <v>155</v>
      </c>
      <c r="D52" s="900" t="s">
        <v>156</v>
      </c>
      <c r="E52" s="901" t="s">
        <v>54</v>
      </c>
      <c r="F52" s="919"/>
      <c r="G52" s="920"/>
      <c r="H52" s="903"/>
      <c r="I52" s="932"/>
      <c r="J52" s="322" t="str">
        <f>IFERROR(IF(VLOOKUP(D52,期货合约要素!$D:$Q,12,0)=0,"",VLOOKUP(D52,期货合约要素!$D:$Q,12,0)),IF(VLOOKUP(D52,期权合约要素!$D:$V,17,0)=0,"",VLOOKUP(D52,期权合约要素!$D:$V,17,0)))</f>
        <v/>
      </c>
      <c r="K52" s="323" t="str">
        <f>IFERROR(IF(VLOOKUP(D52,期货合约要素!$D:$Q,14,0)=0,"",VLOOKUP(D52,期货合约要素!$D:$Q,14,0)),IF(VLOOKUP(D52,期权合约要素!$D:$V,19,0)=0,"",VLOOKUP(D52,期权合约要素!$D:$V,19,0)))</f>
        <v/>
      </c>
    </row>
    <row r="53" ht="30" customHeight="1" spans="2:11">
      <c r="B53" s="915"/>
      <c r="C53" s="899" t="s">
        <v>157</v>
      </c>
      <c r="D53" s="900" t="s">
        <v>158</v>
      </c>
      <c r="E53" s="901"/>
      <c r="F53" s="919"/>
      <c r="G53" s="920"/>
      <c r="H53" s="903"/>
      <c r="I53" s="932"/>
      <c r="J53" s="322" t="str">
        <f>IFERROR(IF(VLOOKUP(D53,期货合约要素!$D:$Q,12,0)=0,"",VLOOKUP(D53,期货合约要素!$D:$Q,12,0)),IF(VLOOKUP(D53,期权合约要素!$D:$V,17,0)=0,"",VLOOKUP(D53,期权合约要素!$D:$V,17,0)))</f>
        <v/>
      </c>
      <c r="K53" s="323" t="str">
        <f>IFERROR(IF(VLOOKUP(D53,期货合约要素!$D:$Q,14,0)=0,"",VLOOKUP(D53,期货合约要素!$D:$Q,14,0)),IF(VLOOKUP(D53,期权合约要素!$D:$V,19,0)=0,"",VLOOKUP(D53,期权合约要素!$D:$V,19,0)))</f>
        <v/>
      </c>
    </row>
    <row r="54" ht="30" customHeight="1" spans="2:11">
      <c r="B54" s="915"/>
      <c r="C54" s="899" t="s">
        <v>159</v>
      </c>
      <c r="D54" s="900" t="s">
        <v>160</v>
      </c>
      <c r="E54" s="901"/>
      <c r="F54" s="919"/>
      <c r="G54" s="920"/>
      <c r="H54" s="903"/>
      <c r="I54" s="932"/>
      <c r="J54" s="322" t="str">
        <f>IFERROR(IF(VLOOKUP(D54,期货合约要素!$D:$Q,12,0)=0,"",VLOOKUP(D54,期货合约要素!$D:$Q,12,0)),IF(VLOOKUP(D54,期权合约要素!$D:$V,17,0)=0,"",VLOOKUP(D54,期权合约要素!$D:$V,17,0)))</f>
        <v/>
      </c>
      <c r="K54" s="323" t="str">
        <f>IFERROR(IF(VLOOKUP(D54,期货合约要素!$D:$Q,14,0)=0,"",VLOOKUP(D54,期货合约要素!$D:$Q,14,0)),IF(VLOOKUP(D54,期权合约要素!$D:$V,19,0)=0,"",VLOOKUP(D54,期权合约要素!$D:$V,19,0)))</f>
        <v/>
      </c>
    </row>
    <row r="55" ht="30" customHeight="1" spans="2:11">
      <c r="B55" s="921"/>
      <c r="C55" s="899" t="s">
        <v>161</v>
      </c>
      <c r="D55" s="904" t="s">
        <v>162</v>
      </c>
      <c r="E55" s="901" t="s">
        <v>54</v>
      </c>
      <c r="F55" s="922"/>
      <c r="G55" s="923"/>
      <c r="H55" s="897"/>
      <c r="I55" s="928"/>
      <c r="J55" s="322" t="str">
        <f>IFERROR(IF(VLOOKUP(D55,期货合约要素!$D:$Q,12,0)=0,"",VLOOKUP(D55,期货合约要素!$D:$Q,12,0)),IF(VLOOKUP(D55,期权合约要素!$D:$V,17,0)=0,"",VLOOKUP(D55,期权合约要素!$D:$V,17,0)))</f>
        <v/>
      </c>
      <c r="K55" s="323" t="str">
        <f>IFERROR(IF(VLOOKUP(D55,期货合约要素!$D:$Q,14,0)=0,"",VLOOKUP(D55,期货合约要素!$D:$Q,14,0)),IF(VLOOKUP(D55,期权合约要素!$D:$V,19,0)=0,"",VLOOKUP(D55,期权合约要素!$D:$V,19,0)))</f>
        <v/>
      </c>
    </row>
    <row r="56" ht="30" customHeight="1" spans="2:11">
      <c r="B56" s="924" t="s">
        <v>163</v>
      </c>
      <c r="C56" s="899" t="s">
        <v>164</v>
      </c>
      <c r="D56" s="900" t="s">
        <v>165</v>
      </c>
      <c r="E56" s="901" t="s">
        <v>54</v>
      </c>
      <c r="F56" s="902" t="s">
        <v>55</v>
      </c>
      <c r="G56" s="902" t="s">
        <v>56</v>
      </c>
      <c r="H56" s="612" t="s">
        <v>166</v>
      </c>
      <c r="I56" s="933" t="s">
        <v>167</v>
      </c>
      <c r="J56" s="322" t="str">
        <f>IFERROR(IF(VLOOKUP(D56,期货合约要素!$D:$Q,12,0)=0,"",VLOOKUP(D56,期货合约要素!$D:$Q,12,0)),IF(VLOOKUP(D56,期权合约要素!$D:$V,17,0)=0,"",VLOOKUP(D56,期权合约要素!$D:$V,17,0)))</f>
        <v/>
      </c>
      <c r="K56" s="323" t="str">
        <f>IFERROR(IF(VLOOKUP(D56,期货合约要素!$D:$Q,14,0)=0,"",VLOOKUP(D56,期货合约要素!$D:$Q,14,0)),IF(VLOOKUP(D56,期权合约要素!$D:$V,19,0)=0,"",VLOOKUP(D56,期权合约要素!$D:$V,19,0)))</f>
        <v/>
      </c>
    </row>
    <row r="57" ht="30" customHeight="1" spans="2:11">
      <c r="B57" s="925"/>
      <c r="C57" s="899" t="s">
        <v>168</v>
      </c>
      <c r="D57" s="900" t="s">
        <v>169</v>
      </c>
      <c r="E57" s="901"/>
      <c r="F57" s="903"/>
      <c r="G57" s="903"/>
      <c r="H57" s="615"/>
      <c r="I57" s="929"/>
      <c r="J57" s="322" t="str">
        <f>IFERROR(IF(VLOOKUP(D57,期货合约要素!$D:$Q,12,0)=0,"",VLOOKUP(D57,期货合约要素!$D:$Q,12,0)),IF(VLOOKUP(D57,期权合约要素!$D:$V,17,0)=0,"",VLOOKUP(D57,期权合约要素!$D:$V,17,0)))</f>
        <v/>
      </c>
      <c r="K57" s="323" t="str">
        <f>IFERROR(IF(VLOOKUP(D57,期货合约要素!$D:$Q,14,0)=0,"",VLOOKUP(D57,期货合约要素!$D:$Q,14,0)),IF(VLOOKUP(D57,期权合约要素!$D:$V,19,0)=0,"",VLOOKUP(D57,期权合约要素!$D:$V,19,0)))</f>
        <v/>
      </c>
    </row>
    <row r="58" ht="30" customHeight="1" spans="2:11">
      <c r="B58" s="925"/>
      <c r="C58" s="899" t="s">
        <v>170</v>
      </c>
      <c r="D58" s="900" t="s">
        <v>171</v>
      </c>
      <c r="E58" s="901" t="s">
        <v>54</v>
      </c>
      <c r="F58" s="903"/>
      <c r="G58" s="903"/>
      <c r="H58" s="615"/>
      <c r="I58" s="929"/>
      <c r="J58" s="322" t="str">
        <f>IFERROR(IF(VLOOKUP(D58,期货合约要素!$D:$Q,12,0)=0,"",VLOOKUP(D58,期货合约要素!$D:$Q,12,0)),IF(VLOOKUP(D58,期权合约要素!$D:$V,17,0)=0,"",VLOOKUP(D58,期权合约要素!$D:$V,17,0)))</f>
        <v>√</v>
      </c>
      <c r="K58" s="323" t="str">
        <f>IFERROR(IF(VLOOKUP(D58,期货合约要素!$D:$Q,14,0)=0,"",VLOOKUP(D58,期货合约要素!$D:$Q,14,0)),IF(VLOOKUP(D58,期权合约要素!$D:$V,19,0)=0,"",VLOOKUP(D58,期权合约要素!$D:$V,19,0)))</f>
        <v/>
      </c>
    </row>
    <row r="59" ht="30" customHeight="1" spans="2:11">
      <c r="B59" s="925"/>
      <c r="C59" s="899" t="s">
        <v>172</v>
      </c>
      <c r="D59" s="900" t="s">
        <v>173</v>
      </c>
      <c r="E59" s="901" t="s">
        <v>54</v>
      </c>
      <c r="F59" s="903"/>
      <c r="G59" s="903"/>
      <c r="H59" s="615"/>
      <c r="I59" s="929"/>
      <c r="J59" s="322" t="str">
        <f>IFERROR(IF(VLOOKUP(D59,期货合约要素!$D:$Q,12,0)=0,"",VLOOKUP(D59,期货合约要素!$D:$Q,12,0)),IF(VLOOKUP(D59,期权合约要素!$D:$V,17,0)=0,"",VLOOKUP(D59,期权合约要素!$D:$V,17,0)))</f>
        <v>√</v>
      </c>
      <c r="K59" s="323" t="str">
        <f>IFERROR(IF(VLOOKUP(D59,期货合约要素!$D:$Q,14,0)=0,"",VLOOKUP(D59,期货合约要素!$D:$Q,14,0)),IF(VLOOKUP(D59,期权合约要素!$D:$V,19,0)=0,"",VLOOKUP(D59,期权合约要素!$D:$V,19,0)))</f>
        <v/>
      </c>
    </row>
    <row r="60" ht="30" customHeight="1" spans="2:11">
      <c r="B60" s="925"/>
      <c r="C60" s="899" t="s">
        <v>174</v>
      </c>
      <c r="D60" s="900" t="s">
        <v>175</v>
      </c>
      <c r="E60" s="901" t="s">
        <v>54</v>
      </c>
      <c r="F60" s="903"/>
      <c r="G60" s="903"/>
      <c r="H60" s="615"/>
      <c r="I60" s="929"/>
      <c r="J60" s="322" t="str">
        <f>IFERROR(IF(VLOOKUP(D60,期货合约要素!$D:$Q,12,0)=0,"",VLOOKUP(D60,期货合约要素!$D:$Q,12,0)),IF(VLOOKUP(D60,期权合约要素!$D:$V,17,0)=0,"",VLOOKUP(D60,期权合约要素!$D:$V,17,0)))</f>
        <v>√</v>
      </c>
      <c r="K60" s="323" t="str">
        <f>IFERROR(IF(VLOOKUP(D60,期货合约要素!$D:$Q,14,0)=0,"",VLOOKUP(D60,期货合约要素!$D:$Q,14,0)),IF(VLOOKUP(D60,期权合约要素!$D:$V,19,0)=0,"",VLOOKUP(D60,期权合约要素!$D:$V,19,0)))</f>
        <v/>
      </c>
    </row>
    <row r="61" ht="30" customHeight="1" spans="2:11">
      <c r="B61" s="925"/>
      <c r="C61" s="899" t="s">
        <v>176</v>
      </c>
      <c r="D61" s="900" t="s">
        <v>177</v>
      </c>
      <c r="E61" s="901" t="s">
        <v>54</v>
      </c>
      <c r="F61" s="903"/>
      <c r="G61" s="903"/>
      <c r="H61" s="615"/>
      <c r="I61" s="929"/>
      <c r="J61" s="322" t="str">
        <f>IFERROR(IF(VLOOKUP(D61,期货合约要素!$D:$Q,12,0)=0,"",VLOOKUP(D61,期货合约要素!$D:$Q,12,0)),IF(VLOOKUP(D61,期权合约要素!$D:$V,17,0)=0,"",VLOOKUP(D61,期权合约要素!$D:$V,17,0)))</f>
        <v>√</v>
      </c>
      <c r="K61" s="323" t="str">
        <f>IFERROR(IF(VLOOKUP(D61,期货合约要素!$D:$Q,14,0)=0,"",VLOOKUP(D61,期货合约要素!$D:$Q,14,0)),IF(VLOOKUP(D61,期权合约要素!$D:$V,19,0)=0,"",VLOOKUP(D61,期权合约要素!$D:$V,19,0)))</f>
        <v/>
      </c>
    </row>
    <row r="62" ht="30" customHeight="1" spans="2:11">
      <c r="B62" s="925"/>
      <c r="C62" s="899" t="s">
        <v>178</v>
      </c>
      <c r="D62" s="900" t="s">
        <v>179</v>
      </c>
      <c r="E62" s="901" t="s">
        <v>54</v>
      </c>
      <c r="F62" s="903"/>
      <c r="G62" s="903"/>
      <c r="H62" s="615"/>
      <c r="I62" s="929"/>
      <c r="J62" s="322" t="str">
        <f>IFERROR(IF(VLOOKUP(D62,期货合约要素!$D:$Q,12,0)=0,"",VLOOKUP(D62,期货合约要素!$D:$Q,12,0)),IF(VLOOKUP(D62,期权合约要素!$D:$V,17,0)=0,"",VLOOKUP(D62,期权合约要素!$D:$V,17,0)))</f>
        <v>√</v>
      </c>
      <c r="K62" s="323" t="str">
        <f>IFERROR(IF(VLOOKUP(D62,期货合约要素!$D:$Q,14,0)=0,"",VLOOKUP(D62,期货合约要素!$D:$Q,14,0)),IF(VLOOKUP(D62,期权合约要素!$D:$V,19,0)=0,"",VLOOKUP(D62,期权合约要素!$D:$V,19,0)))</f>
        <v>√</v>
      </c>
    </row>
    <row r="63" ht="30" customHeight="1" spans="2:11">
      <c r="B63" s="925"/>
      <c r="C63" s="899" t="s">
        <v>180</v>
      </c>
      <c r="D63" s="900" t="s">
        <v>181</v>
      </c>
      <c r="E63" s="901" t="s">
        <v>54</v>
      </c>
      <c r="F63" s="903"/>
      <c r="G63" s="903"/>
      <c r="H63" s="615"/>
      <c r="I63" s="929"/>
      <c r="J63" s="322" t="str">
        <f>IFERROR(IF(VLOOKUP(D63,期货合约要素!$D:$Q,12,0)=0,"",VLOOKUP(D63,期货合约要素!$D:$Q,12,0)),IF(VLOOKUP(D63,期权合约要素!$D:$V,17,0)=0,"",VLOOKUP(D63,期权合约要素!$D:$V,17,0)))</f>
        <v>√</v>
      </c>
      <c r="K63" s="323" t="str">
        <f>IFERROR(IF(VLOOKUP(D63,期货合约要素!$D:$Q,14,0)=0,"",VLOOKUP(D63,期货合约要素!$D:$Q,14,0)),IF(VLOOKUP(D63,期权合约要素!$D:$V,19,0)=0,"",VLOOKUP(D63,期权合约要素!$D:$V,19,0)))</f>
        <v>√</v>
      </c>
    </row>
    <row r="64" ht="30" customHeight="1" spans="2:11">
      <c r="B64" s="925"/>
      <c r="C64" s="899" t="s">
        <v>182</v>
      </c>
      <c r="D64" s="900" t="s">
        <v>183</v>
      </c>
      <c r="E64" s="901" t="s">
        <v>54</v>
      </c>
      <c r="F64" s="903"/>
      <c r="G64" s="903"/>
      <c r="H64" s="615"/>
      <c r="I64" s="929"/>
      <c r="J64" s="322" t="str">
        <f>IFERROR(IF(VLOOKUP(D64,期货合约要素!$D:$Q,12,0)=0,"",VLOOKUP(D64,期货合约要素!$D:$Q,12,0)),IF(VLOOKUP(D64,期权合约要素!$D:$V,17,0)=0,"",VLOOKUP(D64,期权合约要素!$D:$V,17,0)))</f>
        <v>√</v>
      </c>
      <c r="K64" s="323" t="str">
        <f>IFERROR(IF(VLOOKUP(D64,期货合约要素!$D:$Q,14,0)=0,"",VLOOKUP(D64,期货合约要素!$D:$Q,14,0)),IF(VLOOKUP(D64,期权合约要素!$D:$V,19,0)=0,"",VLOOKUP(D64,期权合约要素!$D:$V,19,0)))</f>
        <v>√</v>
      </c>
    </row>
    <row r="65" ht="30" customHeight="1" spans="2:11">
      <c r="B65" s="925"/>
      <c r="C65" s="899" t="s">
        <v>184</v>
      </c>
      <c r="D65" s="900" t="s">
        <v>185</v>
      </c>
      <c r="E65" s="901" t="s">
        <v>54</v>
      </c>
      <c r="F65" s="903"/>
      <c r="G65" s="903"/>
      <c r="H65" s="615"/>
      <c r="I65" s="929"/>
      <c r="J65" s="322" t="str">
        <f>IFERROR(IF(VLOOKUP(D65,期货合约要素!$D:$Q,12,0)=0,"",VLOOKUP(D65,期货合约要素!$D:$Q,12,0)),IF(VLOOKUP(D65,期权合约要素!$D:$V,17,0)=0,"",VLOOKUP(D65,期权合约要素!$D:$V,17,0)))</f>
        <v>√</v>
      </c>
      <c r="K65" s="323" t="str">
        <f>IFERROR(IF(VLOOKUP(D65,期货合约要素!$D:$Q,14,0)=0,"",VLOOKUP(D65,期货合约要素!$D:$Q,14,0)),IF(VLOOKUP(D65,期权合约要素!$D:$V,19,0)=0,"",VLOOKUP(D65,期权合约要素!$D:$V,19,0)))</f>
        <v>√</v>
      </c>
    </row>
    <row r="66" ht="30" customHeight="1" spans="2:11">
      <c r="B66" s="925"/>
      <c r="C66" s="899" t="s">
        <v>186</v>
      </c>
      <c r="D66" s="900" t="s">
        <v>187</v>
      </c>
      <c r="E66" s="901" t="s">
        <v>54</v>
      </c>
      <c r="F66" s="903"/>
      <c r="G66" s="903"/>
      <c r="H66" s="615"/>
      <c r="I66" s="929"/>
      <c r="J66" s="322" t="str">
        <f>IFERROR(IF(VLOOKUP(D66,期货合约要素!$D:$Q,12,0)=0,"",VLOOKUP(D66,期货合约要素!$D:$Q,12,0)),IF(VLOOKUP(D66,期权合约要素!$D:$V,17,0)=0,"",VLOOKUP(D66,期权合约要素!$D:$V,17,0)))</f>
        <v>√</v>
      </c>
      <c r="K66" s="323" t="str">
        <f>IFERROR(IF(VLOOKUP(D66,期货合约要素!$D:$Q,14,0)=0,"",VLOOKUP(D66,期货合约要素!$D:$Q,14,0)),IF(VLOOKUP(D66,期权合约要素!$D:$V,19,0)=0,"",VLOOKUP(D66,期权合约要素!$D:$V,19,0)))</f>
        <v>√</v>
      </c>
    </row>
    <row r="67" ht="30" customHeight="1" spans="2:11">
      <c r="B67" s="925"/>
      <c r="C67" s="899" t="s">
        <v>188</v>
      </c>
      <c r="D67" s="900" t="s">
        <v>189</v>
      </c>
      <c r="E67" s="901" t="s">
        <v>54</v>
      </c>
      <c r="F67" s="903"/>
      <c r="G67" s="903"/>
      <c r="H67" s="615"/>
      <c r="I67" s="929"/>
      <c r="J67" s="322" t="str">
        <f>IFERROR(IF(VLOOKUP(D67,期货合约要素!$D:$Q,12,0)=0,"",VLOOKUP(D67,期货合约要素!$D:$Q,12,0)),IF(VLOOKUP(D67,期权合约要素!$D:$V,17,0)=0,"",VLOOKUP(D67,期权合约要素!$D:$V,17,0)))</f>
        <v/>
      </c>
      <c r="K67" s="323" t="str">
        <f>IFERROR(IF(VLOOKUP(D67,期货合约要素!$D:$Q,14,0)=0,"",VLOOKUP(D67,期货合约要素!$D:$Q,14,0)),IF(VLOOKUP(D67,期权合约要素!$D:$V,19,0)=0,"",VLOOKUP(D67,期权合约要素!$D:$V,19,0)))</f>
        <v/>
      </c>
    </row>
    <row r="68" ht="30" customHeight="1" spans="2:11">
      <c r="B68" s="925"/>
      <c r="C68" s="899" t="s">
        <v>190</v>
      </c>
      <c r="D68" s="904" t="s">
        <v>191</v>
      </c>
      <c r="E68" s="901" t="s">
        <v>54</v>
      </c>
      <c r="F68" s="903"/>
      <c r="G68" s="903"/>
      <c r="H68" s="615"/>
      <c r="I68" s="929"/>
      <c r="J68" s="322" t="str">
        <f>IFERROR(IF(VLOOKUP(D68,期货合约要素!$D:$Q,12,0)=0,"",VLOOKUP(D68,期货合约要素!$D:$Q,12,0)),IF(VLOOKUP(D68,期权合约要素!$D:$V,17,0)=0,"",VLOOKUP(D68,期权合约要素!$D:$V,17,0)))</f>
        <v>√</v>
      </c>
      <c r="K68" s="323" t="str">
        <f>IFERROR(IF(VLOOKUP(D68,期货合约要素!$D:$Q,14,0)=0,"",VLOOKUP(D68,期货合约要素!$D:$Q,14,0)),IF(VLOOKUP(D68,期权合约要素!$D:$V,19,0)=0,"",VLOOKUP(D68,期权合约要素!$D:$V,19,0)))</f>
        <v>√</v>
      </c>
    </row>
    <row r="69" ht="30" customHeight="1" spans="2:11">
      <c r="B69" s="925"/>
      <c r="C69" s="899" t="s">
        <v>192</v>
      </c>
      <c r="D69" s="900" t="s">
        <v>193</v>
      </c>
      <c r="E69" s="901" t="s">
        <v>54</v>
      </c>
      <c r="F69" s="903"/>
      <c r="G69" s="903"/>
      <c r="H69" s="615"/>
      <c r="I69" s="929"/>
      <c r="J69" s="322" t="str">
        <f>IFERROR(IF(VLOOKUP(D69,期货合约要素!$D:$Q,12,0)=0,"",VLOOKUP(D69,期货合约要素!$D:$Q,12,0)),IF(VLOOKUP(D69,期权合约要素!$D:$V,17,0)=0,"",VLOOKUP(D69,期权合约要素!$D:$V,17,0)))</f>
        <v/>
      </c>
      <c r="K69" s="323" t="str">
        <f>IFERROR(IF(VLOOKUP(D69,期货合约要素!$D:$Q,14,0)=0,"",VLOOKUP(D69,期货合约要素!$D:$Q,14,0)),IF(VLOOKUP(D69,期权合约要素!$D:$V,19,0)=0,"",VLOOKUP(D69,期权合约要素!$D:$V,19,0)))</f>
        <v/>
      </c>
    </row>
    <row r="70" ht="30" customHeight="1" spans="2:11">
      <c r="B70" s="925"/>
      <c r="C70" s="899" t="s">
        <v>194</v>
      </c>
      <c r="D70" s="904" t="s">
        <v>195</v>
      </c>
      <c r="E70" s="901" t="s">
        <v>54</v>
      </c>
      <c r="F70" s="897"/>
      <c r="G70" s="897"/>
      <c r="H70" s="896"/>
      <c r="I70" s="929"/>
      <c r="J70" s="322" t="str">
        <f>IFERROR(IF(VLOOKUP(D70,期货合约要素!$D:$Q,12,0)=0,"",VLOOKUP(D70,期货合约要素!$D:$Q,12,0)),IF(VLOOKUP(D70,期权合约要素!$D:$V,17,0)=0,"",VLOOKUP(D70,期权合约要素!$D:$V,17,0)))</f>
        <v/>
      </c>
      <c r="K70" s="323" t="str">
        <f>IFERROR(IF(VLOOKUP(D70,期货合约要素!$D:$Q,14,0)=0,"",VLOOKUP(D70,期货合约要素!$D:$Q,14,0)),IF(VLOOKUP(D70,期权合约要素!$D:$V,19,0)=0,"",VLOOKUP(D70,期权合约要素!$D:$V,19,0)))</f>
        <v/>
      </c>
    </row>
    <row r="71" ht="30" customHeight="1" spans="2:11">
      <c r="B71" s="925"/>
      <c r="C71" s="899" t="s">
        <v>196</v>
      </c>
      <c r="D71" s="900" t="s">
        <v>197</v>
      </c>
      <c r="E71" s="901" t="s">
        <v>54</v>
      </c>
      <c r="F71" s="900" t="s">
        <v>49</v>
      </c>
      <c r="G71" s="900"/>
      <c r="H71" s="678" t="s">
        <v>50</v>
      </c>
      <c r="I71" s="929"/>
      <c r="J71" s="322" t="str">
        <f>IFERROR(IF(VLOOKUP(D71,期货合约要素!$D:$Q,12,0)=0,"",VLOOKUP(D71,期货合约要素!$D:$Q,12,0)),IF(VLOOKUP(D71,期权合约要素!$D:$V,17,0)=0,"",VLOOKUP(D71,期权合约要素!$D:$V,17,0)))</f>
        <v>√</v>
      </c>
      <c r="K71" s="323" t="str">
        <f>IFERROR(IF(VLOOKUP(D71,期货合约要素!$D:$Q,14,0)=0,"",VLOOKUP(D71,期货合约要素!$D:$Q,14,0)),IF(VLOOKUP(D71,期权合约要素!$D:$V,19,0)=0,"",VLOOKUP(D71,期权合约要素!$D:$V,19,0)))</f>
        <v/>
      </c>
    </row>
    <row r="72" ht="30" customHeight="1" spans="2:11">
      <c r="B72" s="925"/>
      <c r="C72" s="899" t="s">
        <v>198</v>
      </c>
      <c r="D72" s="900" t="s">
        <v>199</v>
      </c>
      <c r="E72" s="901"/>
      <c r="F72" s="900"/>
      <c r="G72" s="900"/>
      <c r="H72" s="678"/>
      <c r="I72" s="929"/>
      <c r="J72" s="322" t="str">
        <f>IFERROR(IF(VLOOKUP(D72,期货合约要素!$D:$Q,12,0)=0,"",VLOOKUP(D72,期货合约要素!$D:$Q,12,0)),IF(VLOOKUP(D72,期权合约要素!$D:$V,17,0)=0,"",VLOOKUP(D72,期权合约要素!$D:$V,17,0)))</f>
        <v/>
      </c>
      <c r="K72" s="323" t="str">
        <f>IFERROR(IF(VLOOKUP(D72,期货合约要素!$D:$Q,14,0)=0,"",VLOOKUP(D72,期货合约要素!$D:$Q,14,0)),IF(VLOOKUP(D72,期权合约要素!$D:$V,19,0)=0,"",VLOOKUP(D72,期权合约要素!$D:$V,19,0)))</f>
        <v/>
      </c>
    </row>
    <row r="73" ht="30" customHeight="1" spans="2:11">
      <c r="B73" s="925"/>
      <c r="C73" s="899" t="s">
        <v>200</v>
      </c>
      <c r="D73" s="900" t="s">
        <v>201</v>
      </c>
      <c r="E73" s="901"/>
      <c r="F73" s="900"/>
      <c r="G73" s="900"/>
      <c r="H73" s="678"/>
      <c r="I73" s="929"/>
      <c r="J73" s="322" t="str">
        <f>IFERROR(IF(VLOOKUP(D73,期货合约要素!$D:$Q,12,0)=0,"",VLOOKUP(D73,期货合约要素!$D:$Q,12,0)),IF(VLOOKUP(D73,期权合约要素!$D:$V,17,0)=0,"",VLOOKUP(D73,期权合约要素!$D:$V,17,0)))</f>
        <v/>
      </c>
      <c r="K73" s="323" t="str">
        <f>IFERROR(IF(VLOOKUP(D73,期货合约要素!$D:$Q,14,0)=0,"",VLOOKUP(D73,期货合约要素!$D:$Q,14,0)),IF(VLOOKUP(D73,期权合约要素!$D:$V,19,0)=0,"",VLOOKUP(D73,期权合约要素!$D:$V,19,0)))</f>
        <v/>
      </c>
    </row>
    <row r="74" ht="30" customHeight="1" spans="2:11">
      <c r="B74" s="925"/>
      <c r="C74" s="899" t="s">
        <v>202</v>
      </c>
      <c r="D74" s="900" t="s">
        <v>203</v>
      </c>
      <c r="E74" s="901" t="s">
        <v>54</v>
      </c>
      <c r="F74" s="900"/>
      <c r="G74" s="900"/>
      <c r="H74" s="678"/>
      <c r="I74" s="929"/>
      <c r="J74" s="322" t="str">
        <f>IFERROR(IF(VLOOKUP(D74,期货合约要素!$D:$Q,12,0)=0,"",VLOOKUP(D74,期货合约要素!$D:$Q,12,0)),IF(VLOOKUP(D74,期权合约要素!$D:$V,17,0)=0,"",VLOOKUP(D74,期权合约要素!$D:$V,17,0)))</f>
        <v>√</v>
      </c>
      <c r="K74" s="323" t="str">
        <f>IFERROR(IF(VLOOKUP(D74,期货合约要素!$D:$Q,14,0)=0,"",VLOOKUP(D74,期货合约要素!$D:$Q,14,0)),IF(VLOOKUP(D74,期权合约要素!$D:$V,19,0)=0,"",VLOOKUP(D74,期权合约要素!$D:$V,19,0)))</f>
        <v/>
      </c>
    </row>
    <row r="75" ht="30" customHeight="1" spans="2:11">
      <c r="B75" s="925"/>
      <c r="C75" s="899" t="s">
        <v>204</v>
      </c>
      <c r="D75" s="900" t="s">
        <v>205</v>
      </c>
      <c r="E75" s="901" t="s">
        <v>54</v>
      </c>
      <c r="F75" s="900"/>
      <c r="G75" s="900"/>
      <c r="H75" s="678"/>
      <c r="I75" s="929"/>
      <c r="J75" s="322" t="str">
        <f>IFERROR(IF(VLOOKUP(D75,期货合约要素!$D:$Q,12,0)=0,"",VLOOKUP(D75,期货合约要素!$D:$Q,12,0)),IF(VLOOKUP(D75,期权合约要素!$D:$V,17,0)=0,"",VLOOKUP(D75,期权合约要素!$D:$V,17,0)))</f>
        <v/>
      </c>
      <c r="K75" s="323" t="str">
        <f>IFERROR(IF(VLOOKUP(D75,期货合约要素!$D:$Q,14,0)=0,"",VLOOKUP(D75,期货合约要素!$D:$Q,14,0)),IF(VLOOKUP(D75,期权合约要素!$D:$V,19,0)=0,"",VLOOKUP(D75,期权合约要素!$D:$V,19,0)))</f>
        <v/>
      </c>
    </row>
    <row r="76" ht="30" customHeight="1" spans="2:11">
      <c r="B76" s="925"/>
      <c r="C76" s="899" t="s">
        <v>206</v>
      </c>
      <c r="D76" s="900" t="s">
        <v>207</v>
      </c>
      <c r="E76" s="901"/>
      <c r="F76" s="900"/>
      <c r="G76" s="900"/>
      <c r="H76" s="678"/>
      <c r="I76" s="929"/>
      <c r="J76" s="322" t="str">
        <f>IFERROR(IF(VLOOKUP(D76,期货合约要素!$D:$Q,12,0)=0,"",VLOOKUP(D76,期货合约要素!$D:$Q,12,0)),IF(VLOOKUP(D76,期权合约要素!$D:$V,17,0)=0,"",VLOOKUP(D76,期权合约要素!$D:$V,17,0)))</f>
        <v/>
      </c>
      <c r="K76" s="323" t="str">
        <f>IFERROR(IF(VLOOKUP(D76,期货合约要素!$D:$Q,14,0)=0,"",VLOOKUP(D76,期货合约要素!$D:$Q,14,0)),IF(VLOOKUP(D76,期权合约要素!$D:$V,19,0)=0,"",VLOOKUP(D76,期权合约要素!$D:$V,19,0)))</f>
        <v/>
      </c>
    </row>
    <row r="77" ht="30" customHeight="1" spans="2:11">
      <c r="B77" s="925"/>
      <c r="C77" s="899" t="s">
        <v>208</v>
      </c>
      <c r="D77" s="900" t="s">
        <v>209</v>
      </c>
      <c r="E77" s="901" t="s">
        <v>54</v>
      </c>
      <c r="F77" s="900"/>
      <c r="G77" s="900"/>
      <c r="H77" s="678"/>
      <c r="I77" s="929"/>
      <c r="J77" s="322" t="str">
        <f>IFERROR(IF(VLOOKUP(D77,期货合约要素!$D:$Q,12,0)=0,"",VLOOKUP(D77,期货合约要素!$D:$Q,12,0)),IF(VLOOKUP(D77,期权合约要素!$D:$V,17,0)=0,"",VLOOKUP(D77,期权合约要素!$D:$V,17,0)))</f>
        <v/>
      </c>
      <c r="K77" s="323" t="str">
        <f>IFERROR(IF(VLOOKUP(D77,期货合约要素!$D:$Q,14,0)=0,"",VLOOKUP(D77,期货合约要素!$D:$Q,14,0)),IF(VLOOKUP(D77,期权合约要素!$D:$V,19,0)=0,"",VLOOKUP(D77,期权合约要素!$D:$V,19,0)))</f>
        <v/>
      </c>
    </row>
    <row r="78" ht="30" customHeight="1" spans="2:11">
      <c r="B78" s="925"/>
      <c r="C78" s="899" t="s">
        <v>210</v>
      </c>
      <c r="D78" s="900" t="s">
        <v>211</v>
      </c>
      <c r="E78" s="901"/>
      <c r="F78" s="900"/>
      <c r="G78" s="900"/>
      <c r="H78" s="678"/>
      <c r="I78" s="929"/>
      <c r="J78" s="322" t="str">
        <f>IFERROR(IF(VLOOKUP(D78,期货合约要素!$D:$Q,12,0)=0,"",VLOOKUP(D78,期货合约要素!$D:$Q,12,0)),IF(VLOOKUP(D78,期权合约要素!$D:$V,17,0)=0,"",VLOOKUP(D78,期权合约要素!$D:$V,17,0)))</f>
        <v/>
      </c>
      <c r="K78" s="323" t="str">
        <f>IFERROR(IF(VLOOKUP(D78,期货合约要素!$D:$Q,14,0)=0,"",VLOOKUP(D78,期货合约要素!$D:$Q,14,0)),IF(VLOOKUP(D78,期权合约要素!$D:$V,19,0)=0,"",VLOOKUP(D78,期权合约要素!$D:$V,19,0)))</f>
        <v/>
      </c>
    </row>
    <row r="79" ht="30" customHeight="1" spans="2:11">
      <c r="B79" s="925"/>
      <c r="C79" s="899" t="s">
        <v>212</v>
      </c>
      <c r="D79" s="900" t="s">
        <v>213</v>
      </c>
      <c r="E79" s="901" t="s">
        <v>54</v>
      </c>
      <c r="F79" s="900"/>
      <c r="G79" s="900"/>
      <c r="H79" s="678"/>
      <c r="I79" s="929"/>
      <c r="J79" s="322" t="str">
        <f>IFERROR(IF(VLOOKUP(D79,期货合约要素!$D:$Q,12,0)=0,"",VLOOKUP(D79,期货合约要素!$D:$Q,12,0)),IF(VLOOKUP(D79,期权合约要素!$D:$V,17,0)=0,"",VLOOKUP(D79,期权合约要素!$D:$V,17,0)))</f>
        <v/>
      </c>
      <c r="K79" s="323" t="str">
        <f>IFERROR(IF(VLOOKUP(D79,期货合约要素!$D:$Q,14,0)=0,"",VLOOKUP(D79,期货合约要素!$D:$Q,14,0)),IF(VLOOKUP(D79,期权合约要素!$D:$V,19,0)=0,"",VLOOKUP(D79,期权合约要素!$D:$V,19,0)))</f>
        <v/>
      </c>
    </row>
    <row r="80" ht="30" customHeight="1" spans="2:11">
      <c r="B80" s="925"/>
      <c r="C80" s="899" t="s">
        <v>214</v>
      </c>
      <c r="D80" s="900" t="s">
        <v>215</v>
      </c>
      <c r="E80" s="901" t="s">
        <v>54</v>
      </c>
      <c r="F80" s="900"/>
      <c r="G80" s="900"/>
      <c r="H80" s="678"/>
      <c r="I80" s="929"/>
      <c r="J80" s="322" t="str">
        <f>IFERROR(IF(VLOOKUP(D80,期货合约要素!$D:$Q,12,0)=0,"",VLOOKUP(D80,期货合约要素!$D:$Q,12,0)),IF(VLOOKUP(D80,期权合约要素!$D:$V,17,0)=0,"",VLOOKUP(D80,期权合约要素!$D:$V,17,0)))</f>
        <v>√</v>
      </c>
      <c r="K80" s="323" t="str">
        <f>IFERROR(IF(VLOOKUP(D80,期货合约要素!$D:$Q,14,0)=0,"",VLOOKUP(D80,期货合约要素!$D:$Q,14,0)),IF(VLOOKUP(D80,期权合约要素!$D:$V,19,0)=0,"",VLOOKUP(D80,期权合约要素!$D:$V,19,0)))</f>
        <v>√</v>
      </c>
    </row>
    <row r="81" ht="30" customHeight="1" spans="2:11">
      <c r="B81" s="925"/>
      <c r="C81" s="899" t="s">
        <v>216</v>
      </c>
      <c r="D81" s="900" t="s">
        <v>217</v>
      </c>
      <c r="E81" s="901"/>
      <c r="F81" s="900"/>
      <c r="G81" s="900"/>
      <c r="H81" s="678"/>
      <c r="I81" s="929"/>
      <c r="J81" s="322" t="str">
        <f>IFERROR(IF(VLOOKUP(D81,期货合约要素!$D:$Q,12,0)=0,"",VLOOKUP(D81,期货合约要素!$D:$Q,12,0)),IF(VLOOKUP(D81,期权合约要素!$D:$V,17,0)=0,"",VLOOKUP(D81,期权合约要素!$D:$V,17,0)))</f>
        <v/>
      </c>
      <c r="K81" s="323" t="str">
        <f>IFERROR(IF(VLOOKUP(D81,期货合约要素!$D:$Q,14,0)=0,"",VLOOKUP(D81,期货合约要素!$D:$Q,14,0)),IF(VLOOKUP(D81,期权合约要素!$D:$V,19,0)=0,"",VLOOKUP(D81,期权合约要素!$D:$V,19,0)))</f>
        <v/>
      </c>
    </row>
    <row r="82" ht="30" customHeight="1" spans="2:11">
      <c r="B82" s="934"/>
      <c r="C82" s="899" t="s">
        <v>218</v>
      </c>
      <c r="D82" s="900" t="s">
        <v>219</v>
      </c>
      <c r="E82" s="901"/>
      <c r="F82" s="900"/>
      <c r="G82" s="900"/>
      <c r="H82" s="678"/>
      <c r="I82" s="929"/>
      <c r="J82" s="322" t="str">
        <f>IFERROR(IF(VLOOKUP(D82,期货合约要素!$D:$Q,12,0)=0,"",VLOOKUP(D82,期货合约要素!$D:$Q,12,0)),IF(VLOOKUP(D82,期权合约要素!$D:$V,17,0)=0,"",VLOOKUP(D82,期权合约要素!$D:$V,17,0)))</f>
        <v/>
      </c>
      <c r="K82" s="323" t="str">
        <f>IFERROR(IF(VLOOKUP(D82,期货合约要素!$D:$Q,14,0)=0,"",VLOOKUP(D82,期货合约要素!$D:$Q,14,0)),IF(VLOOKUP(D82,期权合约要素!$D:$V,19,0)=0,"",VLOOKUP(D82,期权合约要素!$D:$V,19,0)))</f>
        <v/>
      </c>
    </row>
    <row r="83" ht="30" customHeight="1" spans="2:11">
      <c r="B83" s="935" t="s">
        <v>220</v>
      </c>
      <c r="C83" s="905" t="s">
        <v>221</v>
      </c>
      <c r="D83" s="936" t="s">
        <v>222</v>
      </c>
      <c r="E83" s="901" t="s">
        <v>54</v>
      </c>
      <c r="F83" s="937" t="s">
        <v>49</v>
      </c>
      <c r="G83" s="938"/>
      <c r="H83" s="939" t="s">
        <v>50</v>
      </c>
      <c r="I83" s="931" t="s">
        <v>167</v>
      </c>
      <c r="J83" s="322" t="str">
        <f>IFERROR(IF(VLOOKUP(D83,期货合约要素!$D:$Q,12,0)=0,"",VLOOKUP(D83,期货合约要素!$D:$Q,12,0)),IF(VLOOKUP(D83,期权合约要素!$D:$V,17,0)=0,"",VLOOKUP(D83,期权合约要素!$D:$V,17,0)))</f>
        <v>√</v>
      </c>
      <c r="K83" s="323" t="str">
        <f>IFERROR(IF(VLOOKUP(D83,期货合约要素!$D:$Q,14,0)=0,"",VLOOKUP(D83,期货合约要素!$D:$Q,14,0)),IF(VLOOKUP(D83,期权合约要素!$D:$V,19,0)=0,"",VLOOKUP(D83,期权合约要素!$D:$V,19,0)))</f>
        <v/>
      </c>
    </row>
    <row r="84" ht="30" customHeight="1" spans="2:11">
      <c r="B84" s="940"/>
      <c r="C84" s="905" t="s">
        <v>223</v>
      </c>
      <c r="D84" s="936" t="s">
        <v>224</v>
      </c>
      <c r="E84" s="901" t="s">
        <v>54</v>
      </c>
      <c r="F84" s="941"/>
      <c r="G84" s="942"/>
      <c r="H84" s="943"/>
      <c r="I84" s="932"/>
      <c r="J84" s="322" t="str">
        <f>IFERROR(IF(VLOOKUP(D84,期货合约要素!$D:$Q,12,0)=0,"",VLOOKUP(D84,期货合约要素!$D:$Q,12,0)),IF(VLOOKUP(D84,期权合约要素!$D:$V,17,0)=0,"",VLOOKUP(D84,期权合约要素!$D:$V,17,0)))</f>
        <v>√</v>
      </c>
      <c r="K84" s="323" t="str">
        <f>IFERROR(IF(VLOOKUP(D84,期货合约要素!$D:$Q,14,0)=0,"",VLOOKUP(D84,期货合约要素!$D:$Q,14,0)),IF(VLOOKUP(D84,期权合约要素!$D:$V,19,0)=0,"",VLOOKUP(D84,期权合约要素!$D:$V,19,0)))</f>
        <v>√</v>
      </c>
    </row>
    <row r="85" ht="30" customHeight="1" spans="2:11">
      <c r="B85" s="940"/>
      <c r="C85" s="899" t="s">
        <v>225</v>
      </c>
      <c r="D85" s="904" t="s">
        <v>226</v>
      </c>
      <c r="E85" s="901" t="s">
        <v>54</v>
      </c>
      <c r="F85" s="941"/>
      <c r="G85" s="942"/>
      <c r="H85" s="943"/>
      <c r="I85" s="932"/>
      <c r="J85" s="322" t="str">
        <f>IFERROR(IF(VLOOKUP(D85,期货合约要素!$D:$Q,12,0)=0,"",VLOOKUP(D85,期货合约要素!$D:$Q,12,0)),IF(VLOOKUP(D85,期权合约要素!$D:$V,17,0)=0,"",VLOOKUP(D85,期权合约要素!$D:$V,17,0)))</f>
        <v>√</v>
      </c>
      <c r="K85" s="323" t="str">
        <f>IFERROR(IF(VLOOKUP(D85,期货合约要素!$D:$Q,14,0)=0,"",VLOOKUP(D85,期货合约要素!$D:$Q,14,0)),IF(VLOOKUP(D85,期权合约要素!$D:$V,19,0)=0,"",VLOOKUP(D85,期权合约要素!$D:$V,19,0)))</f>
        <v/>
      </c>
    </row>
    <row r="86" ht="30" customHeight="1" spans="2:11">
      <c r="B86" s="940"/>
      <c r="C86" s="899" t="s">
        <v>227</v>
      </c>
      <c r="D86" s="904" t="s">
        <v>228</v>
      </c>
      <c r="E86" s="901" t="s">
        <v>54</v>
      </c>
      <c r="F86" s="941"/>
      <c r="G86" s="942"/>
      <c r="H86" s="943"/>
      <c r="I86" s="932"/>
      <c r="J86" s="322" t="str">
        <f>IFERROR(IF(VLOOKUP(D86,期货合约要素!$D:$Q,12,0)=0,"",VLOOKUP(D86,期货合约要素!$D:$Q,12,0)),IF(VLOOKUP(D86,期权合约要素!$D:$V,17,0)=0,"",VLOOKUP(D86,期权合约要素!$D:$V,17,0)))</f>
        <v/>
      </c>
      <c r="K86" s="323" t="str">
        <f>IFERROR(IF(VLOOKUP(D86,期货合约要素!$D:$Q,14,0)=0,"",VLOOKUP(D86,期货合约要素!$D:$Q,14,0)),IF(VLOOKUP(D86,期权合约要素!$D:$V,19,0)=0,"",VLOOKUP(D86,期权合约要素!$D:$V,19,0)))</f>
        <v/>
      </c>
    </row>
    <row r="87" ht="30" customHeight="1" spans="2:11">
      <c r="B87" s="944"/>
      <c r="C87" s="899" t="s">
        <v>229</v>
      </c>
      <c r="D87" s="904" t="s">
        <v>230</v>
      </c>
      <c r="E87" s="901" t="s">
        <v>54</v>
      </c>
      <c r="F87" s="945"/>
      <c r="G87" s="946"/>
      <c r="H87" s="947"/>
      <c r="I87" s="928"/>
      <c r="J87" s="322" t="str">
        <f>IFERROR(IF(VLOOKUP(D87,期货合约要素!$D:$Q,12,0)=0,"",VLOOKUP(D87,期货合约要素!$D:$Q,12,0)),IF(VLOOKUP(D87,期权合约要素!$D:$V,17,0)=0,"",VLOOKUP(D87,期权合约要素!$D:$V,17,0)))</f>
        <v/>
      </c>
      <c r="K87" s="323" t="str">
        <f>IFERROR(IF(VLOOKUP(D87,期货合约要素!$D:$Q,14,0)=0,"",VLOOKUP(D87,期货合约要素!$D:$Q,14,0)),IF(VLOOKUP(D87,期权合约要素!$D:$V,19,0)=0,"",VLOOKUP(D87,期权合约要素!$D:$V,19,0)))</f>
        <v/>
      </c>
    </row>
    <row r="88" ht="30" customHeight="1" spans="2:11">
      <c r="B88" s="948" t="s">
        <v>231</v>
      </c>
      <c r="C88" s="899" t="s">
        <v>232</v>
      </c>
      <c r="D88" s="900" t="s">
        <v>233</v>
      </c>
      <c r="E88" s="901"/>
      <c r="F88" s="900" t="s">
        <v>49</v>
      </c>
      <c r="G88" s="900"/>
      <c r="H88" s="678" t="s">
        <v>234</v>
      </c>
      <c r="I88" s="933" t="s">
        <v>235</v>
      </c>
      <c r="J88" s="322" t="str">
        <f>IFERROR(IF(VLOOKUP(D88,期货合约要素!$D:$Q,12,0)=0,"",VLOOKUP(D88,期货合约要素!$D:$Q,12,0)),IF(VLOOKUP(D88,期权合约要素!$D:$V,17,0)=0,"",VLOOKUP(D88,期权合约要素!$D:$V,17,0)))</f>
        <v>√</v>
      </c>
      <c r="K88" s="323" t="str">
        <f>IFERROR(IF(VLOOKUP(D88,期货合约要素!$D:$Q,14,0)=0,"",VLOOKUP(D88,期货合约要素!$D:$Q,14,0)),IF(VLOOKUP(D88,期权合约要素!$D:$V,19,0)=0,"",VLOOKUP(D88,期权合约要素!$D:$V,19,0)))</f>
        <v/>
      </c>
    </row>
    <row r="89" ht="30" customHeight="1" spans="2:11">
      <c r="B89" s="949"/>
      <c r="C89" s="899" t="s">
        <v>236</v>
      </c>
      <c r="D89" s="900" t="s">
        <v>237</v>
      </c>
      <c r="E89" s="901"/>
      <c r="F89" s="900"/>
      <c r="G89" s="900"/>
      <c r="H89" s="678"/>
      <c r="I89" s="929"/>
      <c r="J89" s="322" t="str">
        <f>IFERROR(IF(VLOOKUP(D89,期货合约要素!$D:$Q,12,0)=0,"",VLOOKUP(D89,期货合约要素!$D:$Q,12,0)),IF(VLOOKUP(D89,期权合约要素!$D:$V,17,0)=0,"",VLOOKUP(D89,期权合约要素!$D:$V,17,0)))</f>
        <v>√</v>
      </c>
      <c r="K89" s="323" t="str">
        <f>IFERROR(IF(VLOOKUP(D89,期货合约要素!$D:$Q,14,0)=0,"",VLOOKUP(D89,期货合约要素!$D:$Q,14,0)),IF(VLOOKUP(D89,期权合约要素!$D:$V,19,0)=0,"",VLOOKUP(D89,期权合约要素!$D:$V,19,0)))</f>
        <v/>
      </c>
    </row>
    <row r="90" ht="30" customHeight="1" spans="2:11">
      <c r="B90" s="949"/>
      <c r="C90" s="899" t="s">
        <v>238</v>
      </c>
      <c r="D90" s="900" t="s">
        <v>239</v>
      </c>
      <c r="E90" s="901"/>
      <c r="F90" s="900"/>
      <c r="G90" s="900"/>
      <c r="H90" s="678"/>
      <c r="I90" s="929"/>
      <c r="J90" s="322" t="str">
        <f>IFERROR(IF(VLOOKUP(D90,期货合约要素!$D:$Q,12,0)=0,"",VLOOKUP(D90,期货合约要素!$D:$Q,12,0)),IF(VLOOKUP(D90,期权合约要素!$D:$V,17,0)=0,"",VLOOKUP(D90,期权合约要素!$D:$V,17,0)))</f>
        <v>√</v>
      </c>
      <c r="K90" s="323" t="str">
        <f>IFERROR(IF(VLOOKUP(D90,期货合约要素!$D:$Q,14,0)=0,"",VLOOKUP(D90,期货合约要素!$D:$Q,14,0)),IF(VLOOKUP(D90,期权合约要素!$D:$V,19,0)=0,"",VLOOKUP(D90,期权合约要素!$D:$V,19,0)))</f>
        <v/>
      </c>
    </row>
    <row r="91" ht="30" customHeight="1" spans="2:11">
      <c r="B91" s="949"/>
      <c r="C91" s="899" t="s">
        <v>240</v>
      </c>
      <c r="D91" s="900" t="s">
        <v>241</v>
      </c>
      <c r="E91" s="901"/>
      <c r="F91" s="900"/>
      <c r="G91" s="900"/>
      <c r="H91" s="678"/>
      <c r="I91" s="929"/>
      <c r="J91" s="322" t="str">
        <f>IFERROR(IF(VLOOKUP(D91,期货合约要素!$D:$Q,12,0)=0,"",VLOOKUP(D91,期货合约要素!$D:$Q,12,0)),IF(VLOOKUP(D91,期权合约要素!$D:$V,17,0)=0,"",VLOOKUP(D91,期权合约要素!$D:$V,17,0)))</f>
        <v>√</v>
      </c>
      <c r="K91" s="323" t="str">
        <f>IFERROR(IF(VLOOKUP(D91,期货合约要素!$D:$Q,14,0)=0,"",VLOOKUP(D91,期货合约要素!$D:$Q,14,0)),IF(VLOOKUP(D91,期权合约要素!$D:$V,19,0)=0,"",VLOOKUP(D91,期权合约要素!$D:$V,19,0)))</f>
        <v/>
      </c>
    </row>
    <row r="92" ht="30" customHeight="1" spans="2:11">
      <c r="B92" s="949"/>
      <c r="C92" s="899" t="s">
        <v>242</v>
      </c>
      <c r="D92" s="900" t="s">
        <v>243</v>
      </c>
      <c r="E92" s="901"/>
      <c r="F92" s="900"/>
      <c r="G92" s="900"/>
      <c r="H92" s="678"/>
      <c r="I92" s="933" t="s">
        <v>244</v>
      </c>
      <c r="J92" s="322" t="str">
        <f>IFERROR(IF(VLOOKUP(D92,期货合约要素!$D:$Q,12,0)=0,"",VLOOKUP(D92,期货合约要素!$D:$Q,12,0)),IF(VLOOKUP(D92,期权合约要素!$D:$V,17,0)=0,"",VLOOKUP(D92,期权合约要素!$D:$V,17,0)))</f>
        <v>√</v>
      </c>
      <c r="K92" s="323" t="str">
        <f>IFERROR(IF(VLOOKUP(D92,期货合约要素!$D:$Q,14,0)=0,"",VLOOKUP(D92,期货合约要素!$D:$Q,14,0)),IF(VLOOKUP(D92,期权合约要素!$D:$V,19,0)=0,"",VLOOKUP(D92,期权合约要素!$D:$V,19,0)))</f>
        <v/>
      </c>
    </row>
    <row r="93" ht="30" customHeight="1" spans="2:11">
      <c r="B93" s="949"/>
      <c r="C93" s="899" t="s">
        <v>245</v>
      </c>
      <c r="D93" s="900" t="s">
        <v>246</v>
      </c>
      <c r="E93" s="901"/>
      <c r="F93" s="900"/>
      <c r="G93" s="900"/>
      <c r="H93" s="678"/>
      <c r="I93" s="929"/>
      <c r="J93" s="322" t="str">
        <f>IFERROR(IF(VLOOKUP(D93,期货合约要素!$D:$Q,12,0)=0,"",VLOOKUP(D93,期货合约要素!$D:$Q,12,0)),IF(VLOOKUP(D93,期权合约要素!$D:$V,17,0)=0,"",VLOOKUP(D93,期权合约要素!$D:$V,17,0)))</f>
        <v>√</v>
      </c>
      <c r="K93" s="323" t="str">
        <f>IFERROR(IF(VLOOKUP(D93,期货合约要素!$D:$Q,14,0)=0,"",VLOOKUP(D93,期货合约要素!$D:$Q,14,0)),IF(VLOOKUP(D93,期权合约要素!$D:$V,19,0)=0,"",VLOOKUP(D93,期权合约要素!$D:$V,19,0)))</f>
        <v/>
      </c>
    </row>
    <row r="94" ht="30" customHeight="1" spans="2:11">
      <c r="B94" s="949"/>
      <c r="C94" s="899" t="s">
        <v>247</v>
      </c>
      <c r="D94" s="900" t="s">
        <v>248</v>
      </c>
      <c r="E94" s="901"/>
      <c r="F94" s="900"/>
      <c r="G94" s="900"/>
      <c r="H94" s="678"/>
      <c r="I94" s="929"/>
      <c r="J94" s="322" t="str">
        <f>IFERROR(IF(VLOOKUP(D94,期货合约要素!$D:$Q,12,0)=0,"",VLOOKUP(D94,期货合约要素!$D:$Q,12,0)),IF(VLOOKUP(D94,期权合约要素!$D:$V,17,0)=0,"",VLOOKUP(D94,期权合约要素!$D:$V,17,0)))</f>
        <v>√</v>
      </c>
      <c r="K94" s="323" t="str">
        <f>IFERROR(IF(VLOOKUP(D94,期货合约要素!$D:$Q,14,0)=0,"",VLOOKUP(D94,期货合约要素!$D:$Q,14,0)),IF(VLOOKUP(D94,期权合约要素!$D:$V,19,0)=0,"",VLOOKUP(D94,期权合约要素!$D:$V,19,0)))</f>
        <v/>
      </c>
    </row>
    <row r="95" ht="30" customHeight="1" spans="2:11">
      <c r="B95" s="949"/>
      <c r="C95" s="899" t="s">
        <v>249</v>
      </c>
      <c r="D95" s="900" t="s">
        <v>250</v>
      </c>
      <c r="E95" s="901"/>
      <c r="F95" s="900"/>
      <c r="G95" s="900"/>
      <c r="H95" s="678"/>
      <c r="I95" s="929"/>
      <c r="J95" s="322" t="str">
        <f>IFERROR(IF(VLOOKUP(D95,期货合约要素!$D:$Q,12,0)=0,"",VLOOKUP(D95,期货合约要素!$D:$Q,12,0)),IF(VLOOKUP(D95,期权合约要素!$D:$V,17,0)=0,"",VLOOKUP(D95,期权合约要素!$D:$V,17,0)))</f>
        <v>√</v>
      </c>
      <c r="K95" s="323" t="str">
        <f>IFERROR(IF(VLOOKUP(D95,期货合约要素!$D:$Q,14,0)=0,"",VLOOKUP(D95,期货合约要素!$D:$Q,14,0)),IF(VLOOKUP(D95,期权合约要素!$D:$V,19,0)=0,"",VLOOKUP(D95,期权合约要素!$D:$V,19,0)))</f>
        <v/>
      </c>
    </row>
    <row r="96" ht="30" customHeight="1" spans="2:11">
      <c r="B96" s="949"/>
      <c r="C96" s="899" t="s">
        <v>251</v>
      </c>
      <c r="D96" s="900" t="s">
        <v>252</v>
      </c>
      <c r="E96" s="901"/>
      <c r="F96" s="900"/>
      <c r="G96" s="900"/>
      <c r="H96" s="901" t="s">
        <v>253</v>
      </c>
      <c r="I96" s="933" t="s">
        <v>254</v>
      </c>
      <c r="J96" s="322" t="str">
        <f>IFERROR(IF(VLOOKUP(D96,期货合约要素!$D:$Q,12,0)=0,"",VLOOKUP(D96,期货合约要素!$D:$Q,12,0)),IF(VLOOKUP(D96,期权合约要素!$D:$V,17,0)=0,"",VLOOKUP(D96,期权合约要素!$D:$V,17,0)))</f>
        <v>√</v>
      </c>
      <c r="K96" s="323" t="str">
        <f>IFERROR(IF(VLOOKUP(D96,期货合约要素!$D:$Q,14,0)=0,"",VLOOKUP(D96,期货合约要素!$D:$Q,14,0)),IF(VLOOKUP(D96,期权合约要素!$D:$V,19,0)=0,"",VLOOKUP(D96,期权合约要素!$D:$V,19,0)))</f>
        <v/>
      </c>
    </row>
    <row r="97" ht="30" customHeight="1" spans="2:11">
      <c r="B97" s="949"/>
      <c r="C97" s="899" t="s">
        <v>255</v>
      </c>
      <c r="D97" s="900" t="s">
        <v>256</v>
      </c>
      <c r="E97" s="901"/>
      <c r="F97" s="900"/>
      <c r="G97" s="900"/>
      <c r="H97" s="678"/>
      <c r="I97" s="929"/>
      <c r="J97" s="322" t="str">
        <f>IFERROR(IF(VLOOKUP(D97,期货合约要素!$D:$Q,12,0)=0,"",VLOOKUP(D97,期货合约要素!$D:$Q,12,0)),IF(VLOOKUP(D97,期权合约要素!$D:$V,17,0)=0,"",VLOOKUP(D97,期权合约要素!$D:$V,17,0)))</f>
        <v>√</v>
      </c>
      <c r="K97" s="323" t="str">
        <f>IFERROR(IF(VLOOKUP(D97,期货合约要素!$D:$Q,14,0)=0,"",VLOOKUP(D97,期货合约要素!$D:$Q,14,0)),IF(VLOOKUP(D97,期权合约要素!$D:$V,19,0)=0,"",VLOOKUP(D97,期权合约要素!$D:$V,19,0)))</f>
        <v/>
      </c>
    </row>
    <row r="98" ht="30" customHeight="1" spans="2:11">
      <c r="B98" s="950"/>
      <c r="C98" s="951" t="s">
        <v>257</v>
      </c>
      <c r="D98" s="952" t="s">
        <v>258</v>
      </c>
      <c r="E98" s="612"/>
      <c r="F98" s="913"/>
      <c r="G98" s="913"/>
      <c r="H98" s="902"/>
      <c r="I98" s="930"/>
      <c r="J98" s="330" t="str">
        <f>IFERROR(IF(VLOOKUP(D98,期货合约要素!$D:$Q,12,0)=0,"",VLOOKUP(D98,期货合约要素!$D:$Q,12,0)),IF(VLOOKUP(D98,期权合约要素!$D:$V,17,0)=0,"",VLOOKUP(D98,期权合约要素!$D:$V,17,0)))</f>
        <v>√</v>
      </c>
      <c r="K98" s="391" t="str">
        <f>IFERROR(IF(VLOOKUP(D98,期货合约要素!$D:$Q,14,0)=0,"",VLOOKUP(D98,期货合约要素!$D:$Q,14,0)),IF(VLOOKUP(D98,期权合约要素!$D:$V,19,0)=0,"",VLOOKUP(D98,期权合约要素!$D:$V,19,0)))</f>
        <v/>
      </c>
    </row>
    <row r="99" customHeight="1" spans="2:11">
      <c r="B99" s="953" t="s">
        <v>259</v>
      </c>
      <c r="C99" s="954" t="s">
        <v>260</v>
      </c>
      <c r="D99" s="955"/>
      <c r="E99" s="955"/>
      <c r="F99" s="955"/>
      <c r="G99" s="955"/>
      <c r="H99" s="955"/>
      <c r="I99" s="955"/>
      <c r="J99" s="955"/>
      <c r="K99" s="959"/>
    </row>
    <row r="100" ht="24" customHeight="1" spans="2:11">
      <c r="B100" s="956"/>
      <c r="C100" s="957"/>
      <c r="D100" s="958"/>
      <c r="E100" s="958"/>
      <c r="F100" s="958"/>
      <c r="G100" s="958"/>
      <c r="H100" s="958"/>
      <c r="I100" s="958"/>
      <c r="J100" s="958"/>
      <c r="K100" s="960"/>
    </row>
  </sheetData>
  <mergeCells count="50">
    <mergeCell ref="A1:C1"/>
    <mergeCell ref="B2:K2"/>
    <mergeCell ref="F3:I3"/>
    <mergeCell ref="F5:G5"/>
    <mergeCell ref="F29:G29"/>
    <mergeCell ref="B3:B4"/>
    <mergeCell ref="B5:B24"/>
    <mergeCell ref="B25:B29"/>
    <mergeCell ref="B30:B55"/>
    <mergeCell ref="B56:B82"/>
    <mergeCell ref="B83:B87"/>
    <mergeCell ref="B88:B98"/>
    <mergeCell ref="B99:B100"/>
    <mergeCell ref="C3:C4"/>
    <mergeCell ref="D3:D4"/>
    <mergeCell ref="E3:E4"/>
    <mergeCell ref="F6:F13"/>
    <mergeCell ref="F14:F22"/>
    <mergeCell ref="F23:F25"/>
    <mergeCell ref="F26:F27"/>
    <mergeCell ref="F30:F50"/>
    <mergeCell ref="F56:F70"/>
    <mergeCell ref="G6:G13"/>
    <mergeCell ref="G14:G22"/>
    <mergeCell ref="G23:G25"/>
    <mergeCell ref="G26:G27"/>
    <mergeCell ref="G30:G50"/>
    <mergeCell ref="G56:G70"/>
    <mergeCell ref="H6:H28"/>
    <mergeCell ref="H30:H50"/>
    <mergeCell ref="H51:H55"/>
    <mergeCell ref="H56:H70"/>
    <mergeCell ref="H71:H82"/>
    <mergeCell ref="H83:H87"/>
    <mergeCell ref="H88:H95"/>
    <mergeCell ref="H96:H98"/>
    <mergeCell ref="I5:I29"/>
    <mergeCell ref="I30:I55"/>
    <mergeCell ref="I56:I82"/>
    <mergeCell ref="I83:I87"/>
    <mergeCell ref="I88:I91"/>
    <mergeCell ref="I92:I95"/>
    <mergeCell ref="I96:I98"/>
    <mergeCell ref="J3:J4"/>
    <mergeCell ref="K3:K4"/>
    <mergeCell ref="F71:G82"/>
    <mergeCell ref="F51:G55"/>
    <mergeCell ref="C99:K100"/>
    <mergeCell ref="F88:G98"/>
    <mergeCell ref="F83:G87"/>
  </mergeCells>
  <hyperlinks>
    <hyperlink ref="A1" location="'目录'!A1" display="点此返回目录"/>
  </hyperlinks>
  <pageMargins left="0.75" right="0.75" top="1" bottom="1" header="0.5" footer="0.5"/>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B95"/>
  <sheetViews>
    <sheetView topLeftCell="A54" workbookViewId="0">
      <selection activeCell="D72" sqref="D72"/>
    </sheetView>
  </sheetViews>
  <sheetFormatPr defaultColWidth="9" defaultRowHeight="16.5"/>
  <cols>
    <col min="1" max="1" width="5" style="20" customWidth="1"/>
    <col min="2" max="2" width="11.5" style="844" customWidth="1"/>
    <col min="3" max="3" width="21.6333333333333" style="20" customWidth="1"/>
    <col min="4" max="4" width="14" style="20" customWidth="1"/>
    <col min="5" max="5" width="17.5" style="20" customWidth="1"/>
    <col min="6" max="6" width="16.6333333333333" style="20" customWidth="1"/>
    <col min="7" max="7" width="18.1333333333333" style="20" customWidth="1"/>
    <col min="8" max="8" width="24.1333333333333" style="20" customWidth="1"/>
    <col min="9" max="9" width="30.8833333333333" style="20" customWidth="1"/>
    <col min="10" max="10" width="20.8833333333333" style="20" customWidth="1"/>
    <col min="11" max="11" width="43.3833333333333" style="20" customWidth="1"/>
    <col min="12" max="12" width="37" style="20" customWidth="1"/>
    <col min="13" max="13" width="43.75" style="20" customWidth="1"/>
    <col min="14" max="14" width="21.25" style="845" customWidth="1"/>
    <col min="15" max="15" width="14.6333333333333" style="777" customWidth="1"/>
    <col min="16" max="16" width="14.8833333333333" style="777" customWidth="1"/>
    <col min="17" max="17" width="12.6333333333333" style="777" customWidth="1"/>
    <col min="18" max="28" width="9" style="20"/>
  </cols>
  <sheetData>
    <row r="1" ht="24.95" customHeight="1" spans="1:4">
      <c r="A1" s="158" t="s">
        <v>33</v>
      </c>
      <c r="B1" s="158"/>
      <c r="C1" s="158"/>
      <c r="D1" s="158"/>
    </row>
    <row r="2" ht="45" customHeight="1" spans="2:17">
      <c r="B2" s="453" t="s">
        <v>261</v>
      </c>
      <c r="C2" s="454"/>
      <c r="D2" s="454"/>
      <c r="E2" s="454"/>
      <c r="F2" s="454"/>
      <c r="G2" s="454"/>
      <c r="H2" s="454"/>
      <c r="I2" s="454"/>
      <c r="J2" s="454"/>
      <c r="K2" s="454"/>
      <c r="L2" s="454"/>
      <c r="M2" s="454"/>
      <c r="N2" s="866"/>
      <c r="O2" s="867"/>
      <c r="P2" s="867"/>
      <c r="Q2" s="871"/>
    </row>
    <row r="3" ht="38.1" customHeight="1" spans="2:17">
      <c r="B3" s="441" t="s">
        <v>35</v>
      </c>
      <c r="C3" s="442" t="s">
        <v>36</v>
      </c>
      <c r="D3" s="442" t="s">
        <v>37</v>
      </c>
      <c r="E3" s="442" t="s">
        <v>262</v>
      </c>
      <c r="F3" s="442" t="s">
        <v>263</v>
      </c>
      <c r="G3" s="442" t="s">
        <v>264</v>
      </c>
      <c r="H3" s="442" t="s">
        <v>265</v>
      </c>
      <c r="I3" s="442" t="s">
        <v>266</v>
      </c>
      <c r="J3" s="442" t="s">
        <v>267</v>
      </c>
      <c r="K3" s="442" t="s">
        <v>268</v>
      </c>
      <c r="L3" s="442" t="s">
        <v>269</v>
      </c>
      <c r="M3" s="442" t="s">
        <v>270</v>
      </c>
      <c r="N3" s="868" t="s">
        <v>271</v>
      </c>
      <c r="O3" s="442" t="s">
        <v>40</v>
      </c>
      <c r="P3" s="869" t="s">
        <v>272</v>
      </c>
      <c r="Q3" s="474" t="s">
        <v>41</v>
      </c>
    </row>
    <row r="4" ht="30" customHeight="1" spans="2:17">
      <c r="B4" s="846" t="s">
        <v>3</v>
      </c>
      <c r="C4" s="847" t="s">
        <v>273</v>
      </c>
      <c r="D4" s="848" t="s">
        <v>243</v>
      </c>
      <c r="E4" s="849" t="s">
        <v>274</v>
      </c>
      <c r="F4" s="850" t="s">
        <v>275</v>
      </c>
      <c r="G4" s="850">
        <v>20</v>
      </c>
      <c r="H4" s="850" t="s">
        <v>276</v>
      </c>
      <c r="I4" s="850" t="s">
        <v>277</v>
      </c>
      <c r="J4" s="850">
        <v>1</v>
      </c>
      <c r="K4" s="849" t="s">
        <v>278</v>
      </c>
      <c r="L4" s="850" t="s">
        <v>279</v>
      </c>
      <c r="M4" s="850" t="s">
        <v>280</v>
      </c>
      <c r="N4" s="814">
        <v>40284</v>
      </c>
      <c r="O4" s="807" t="s">
        <v>281</v>
      </c>
      <c r="P4" s="814" t="s">
        <v>282</v>
      </c>
      <c r="Q4" s="872"/>
    </row>
    <row r="5" ht="30" customHeight="1" spans="2:17">
      <c r="B5" s="738"/>
      <c r="C5" s="851" t="s">
        <v>283</v>
      </c>
      <c r="D5" s="492" t="s">
        <v>246</v>
      </c>
      <c r="E5" s="458" t="s">
        <v>274</v>
      </c>
      <c r="F5" s="11" t="s">
        <v>275</v>
      </c>
      <c r="G5" s="11">
        <v>20</v>
      </c>
      <c r="H5" s="11" t="s">
        <v>276</v>
      </c>
      <c r="I5" s="11" t="s">
        <v>277</v>
      </c>
      <c r="J5" s="11">
        <v>1</v>
      </c>
      <c r="K5" s="458" t="s">
        <v>278</v>
      </c>
      <c r="L5" s="11" t="s">
        <v>279</v>
      </c>
      <c r="M5" s="11" t="s">
        <v>280</v>
      </c>
      <c r="N5" s="816">
        <v>42110</v>
      </c>
      <c r="O5" s="12" t="s">
        <v>281</v>
      </c>
      <c r="P5" s="816" t="s">
        <v>284</v>
      </c>
      <c r="Q5" s="443"/>
    </row>
    <row r="6" ht="30" customHeight="1" spans="2:17">
      <c r="B6" s="738"/>
      <c r="C6" s="851" t="s">
        <v>285</v>
      </c>
      <c r="D6" s="492" t="s">
        <v>248</v>
      </c>
      <c r="E6" s="458" t="s">
        <v>286</v>
      </c>
      <c r="F6" s="11" t="s">
        <v>275</v>
      </c>
      <c r="G6" s="11">
        <v>20</v>
      </c>
      <c r="H6" s="11" t="s">
        <v>276</v>
      </c>
      <c r="I6" s="11" t="s">
        <v>277</v>
      </c>
      <c r="J6" s="11">
        <v>1</v>
      </c>
      <c r="K6" s="458" t="s">
        <v>278</v>
      </c>
      <c r="L6" s="11" t="s">
        <v>279</v>
      </c>
      <c r="M6" s="11" t="s">
        <v>280</v>
      </c>
      <c r="N6" s="816">
        <v>42110</v>
      </c>
      <c r="O6" s="12" t="s">
        <v>281</v>
      </c>
      <c r="P6" s="816" t="s">
        <v>284</v>
      </c>
      <c r="Q6" s="443"/>
    </row>
    <row r="7" ht="30" customHeight="1" spans="2:17">
      <c r="B7" s="738"/>
      <c r="C7" s="851" t="s">
        <v>287</v>
      </c>
      <c r="D7" s="492" t="s">
        <v>250</v>
      </c>
      <c r="E7" s="458" t="s">
        <v>286</v>
      </c>
      <c r="F7" s="11" t="s">
        <v>275</v>
      </c>
      <c r="G7" s="11">
        <v>20</v>
      </c>
      <c r="H7" s="11" t="s">
        <v>276</v>
      </c>
      <c r="I7" s="11" t="s">
        <v>277</v>
      </c>
      <c r="J7" s="11">
        <v>1</v>
      </c>
      <c r="K7" s="458" t="s">
        <v>278</v>
      </c>
      <c r="L7" s="11" t="s">
        <v>279</v>
      </c>
      <c r="M7" s="11" t="s">
        <v>280</v>
      </c>
      <c r="N7" s="816">
        <v>44764</v>
      </c>
      <c r="O7" s="12" t="s">
        <v>281</v>
      </c>
      <c r="P7" s="816" t="s">
        <v>288</v>
      </c>
      <c r="Q7" s="443"/>
    </row>
    <row r="8" ht="33" spans="2:17">
      <c r="B8" s="738"/>
      <c r="C8" s="851" t="s">
        <v>289</v>
      </c>
      <c r="D8" s="12" t="s">
        <v>233</v>
      </c>
      <c r="E8" s="11" t="s">
        <v>290</v>
      </c>
      <c r="F8" s="11" t="s">
        <v>291</v>
      </c>
      <c r="G8" s="11">
        <v>50</v>
      </c>
      <c r="H8" s="11" t="s">
        <v>292</v>
      </c>
      <c r="I8" s="11" t="s">
        <v>293</v>
      </c>
      <c r="J8" s="11">
        <v>1</v>
      </c>
      <c r="K8" s="458" t="s">
        <v>294</v>
      </c>
      <c r="L8" s="11" t="s">
        <v>295</v>
      </c>
      <c r="M8" s="11" t="s">
        <v>294</v>
      </c>
      <c r="N8" s="816">
        <v>43329</v>
      </c>
      <c r="O8" s="12" t="s">
        <v>281</v>
      </c>
      <c r="P8" s="816" t="s">
        <v>296</v>
      </c>
      <c r="Q8" s="443"/>
    </row>
    <row r="9" ht="33" spans="2:17">
      <c r="B9" s="738"/>
      <c r="C9" s="851" t="s">
        <v>297</v>
      </c>
      <c r="D9" s="492" t="s">
        <v>237</v>
      </c>
      <c r="E9" s="458" t="s">
        <v>298</v>
      </c>
      <c r="F9" s="11" t="s">
        <v>299</v>
      </c>
      <c r="G9" s="11">
        <v>50</v>
      </c>
      <c r="H9" s="11" t="s">
        <v>292</v>
      </c>
      <c r="I9" s="11" t="s">
        <v>293</v>
      </c>
      <c r="J9" s="11">
        <v>1</v>
      </c>
      <c r="K9" s="458" t="s">
        <v>294</v>
      </c>
      <c r="L9" s="11" t="s">
        <v>295</v>
      </c>
      <c r="M9" s="11" t="s">
        <v>294</v>
      </c>
      <c r="N9" s="816">
        <v>41523</v>
      </c>
      <c r="O9" s="12" t="s">
        <v>281</v>
      </c>
      <c r="P9" s="816" t="s">
        <v>296</v>
      </c>
      <c r="Q9" s="443"/>
    </row>
    <row r="10" ht="33" spans="2:17">
      <c r="B10" s="738"/>
      <c r="C10" s="851" t="s">
        <v>300</v>
      </c>
      <c r="D10" s="492" t="s">
        <v>239</v>
      </c>
      <c r="E10" s="458" t="s">
        <v>298</v>
      </c>
      <c r="F10" s="11" t="s">
        <v>299</v>
      </c>
      <c r="G10" s="11">
        <v>50</v>
      </c>
      <c r="H10" s="11" t="s">
        <v>292</v>
      </c>
      <c r="I10" s="11" t="s">
        <v>293</v>
      </c>
      <c r="J10" s="11">
        <v>1</v>
      </c>
      <c r="K10" s="458" t="s">
        <v>294</v>
      </c>
      <c r="L10" s="11" t="s">
        <v>295</v>
      </c>
      <c r="M10" s="11" t="s">
        <v>294</v>
      </c>
      <c r="N10" s="816">
        <v>42083</v>
      </c>
      <c r="O10" s="12" t="s">
        <v>281</v>
      </c>
      <c r="P10" s="816" t="s">
        <v>296</v>
      </c>
      <c r="Q10" s="443"/>
    </row>
    <row r="11" ht="33.75" spans="2:17">
      <c r="B11" s="744"/>
      <c r="C11" s="852" t="s">
        <v>301</v>
      </c>
      <c r="D11" s="450" t="s">
        <v>241</v>
      </c>
      <c r="E11" s="533" t="s">
        <v>298</v>
      </c>
      <c r="F11" s="533" t="s">
        <v>302</v>
      </c>
      <c r="G11" s="533">
        <v>50</v>
      </c>
      <c r="H11" s="533" t="s">
        <v>292</v>
      </c>
      <c r="I11" s="533" t="s">
        <v>293</v>
      </c>
      <c r="J11" s="533">
        <v>1</v>
      </c>
      <c r="K11" s="533" t="s">
        <v>294</v>
      </c>
      <c r="L11" s="533" t="s">
        <v>295</v>
      </c>
      <c r="M11" s="533" t="s">
        <v>294</v>
      </c>
      <c r="N11" s="818">
        <v>45037</v>
      </c>
      <c r="O11" s="450" t="s">
        <v>281</v>
      </c>
      <c r="P11" s="818" t="s">
        <v>296</v>
      </c>
      <c r="Q11" s="873"/>
    </row>
    <row r="12" ht="33" spans="2:17">
      <c r="B12" s="853" t="s">
        <v>9</v>
      </c>
      <c r="C12" s="847" t="s">
        <v>97</v>
      </c>
      <c r="D12" s="807" t="s">
        <v>98</v>
      </c>
      <c r="E12" s="850" t="s">
        <v>303</v>
      </c>
      <c r="F12" s="850" t="s">
        <v>304</v>
      </c>
      <c r="G12" s="850">
        <v>500</v>
      </c>
      <c r="H12" s="807">
        <v>60</v>
      </c>
      <c r="I12" s="850" t="s">
        <v>305</v>
      </c>
      <c r="J12" s="849">
        <v>1</v>
      </c>
      <c r="K12" s="850" t="s">
        <v>278</v>
      </c>
      <c r="L12" s="850" t="s">
        <v>306</v>
      </c>
      <c r="M12" s="850" t="s">
        <v>307</v>
      </c>
      <c r="N12" s="814">
        <v>43185</v>
      </c>
      <c r="O12" s="807" t="s">
        <v>281</v>
      </c>
      <c r="P12" s="814" t="s">
        <v>308</v>
      </c>
      <c r="Q12" s="872" t="s">
        <v>281</v>
      </c>
    </row>
    <row r="13" ht="30" customHeight="1" spans="2:17">
      <c r="B13" s="854"/>
      <c r="C13" s="851" t="s">
        <v>101</v>
      </c>
      <c r="D13" s="12" t="s">
        <v>102</v>
      </c>
      <c r="E13" s="11" t="s">
        <v>309</v>
      </c>
      <c r="F13" s="11" t="s">
        <v>310</v>
      </c>
      <c r="G13" s="11">
        <v>500</v>
      </c>
      <c r="H13" s="12">
        <v>60</v>
      </c>
      <c r="I13" s="458" t="s">
        <v>311</v>
      </c>
      <c r="J13" s="458">
        <v>10</v>
      </c>
      <c r="K13" s="11" t="s">
        <v>312</v>
      </c>
      <c r="L13" s="11" t="s">
        <v>313</v>
      </c>
      <c r="M13" s="11" t="s">
        <v>314</v>
      </c>
      <c r="N13" s="816">
        <v>43689</v>
      </c>
      <c r="O13" s="12" t="s">
        <v>281</v>
      </c>
      <c r="P13" s="816" t="s">
        <v>308</v>
      </c>
      <c r="Q13" s="443" t="s">
        <v>281</v>
      </c>
    </row>
    <row r="14" ht="30" customHeight="1" spans="2:17">
      <c r="B14" s="854"/>
      <c r="C14" s="851" t="s">
        <v>99</v>
      </c>
      <c r="D14" s="12" t="s">
        <v>100</v>
      </c>
      <c r="E14" s="11" t="s">
        <v>309</v>
      </c>
      <c r="F14" s="11" t="s">
        <v>315</v>
      </c>
      <c r="G14" s="11">
        <v>500</v>
      </c>
      <c r="H14" s="12">
        <v>60</v>
      </c>
      <c r="I14" s="458" t="s">
        <v>311</v>
      </c>
      <c r="J14" s="458">
        <v>1</v>
      </c>
      <c r="K14" s="11" t="s">
        <v>278</v>
      </c>
      <c r="L14" s="11" t="s">
        <v>306</v>
      </c>
      <c r="M14" s="11" t="s">
        <v>314</v>
      </c>
      <c r="N14" s="816">
        <v>44004</v>
      </c>
      <c r="O14" s="12" t="s">
        <v>281</v>
      </c>
      <c r="P14" s="816" t="s">
        <v>308</v>
      </c>
      <c r="Q14" s="443" t="s">
        <v>281</v>
      </c>
    </row>
    <row r="15" ht="30" customHeight="1" spans="2:17">
      <c r="B15" s="854"/>
      <c r="C15" s="851" t="s">
        <v>103</v>
      </c>
      <c r="D15" s="12" t="s">
        <v>104</v>
      </c>
      <c r="E15" s="11" t="s">
        <v>316</v>
      </c>
      <c r="F15" s="11" t="s">
        <v>317</v>
      </c>
      <c r="G15" s="11">
        <v>500</v>
      </c>
      <c r="H15" s="12">
        <v>60</v>
      </c>
      <c r="I15" s="458" t="s">
        <v>311</v>
      </c>
      <c r="J15" s="11">
        <v>5</v>
      </c>
      <c r="K15" s="11" t="s">
        <v>318</v>
      </c>
      <c r="L15" s="11" t="s">
        <v>313</v>
      </c>
      <c r="M15" s="11" t="s">
        <v>314</v>
      </c>
      <c r="N15" s="816">
        <v>44154</v>
      </c>
      <c r="O15" s="12" t="s">
        <v>281</v>
      </c>
      <c r="P15" s="816" t="s">
        <v>308</v>
      </c>
      <c r="Q15" s="443" t="s">
        <v>281</v>
      </c>
    </row>
    <row r="16" ht="60" customHeight="1" spans="2:17">
      <c r="B16" s="855"/>
      <c r="C16" s="852" t="s">
        <v>106</v>
      </c>
      <c r="D16" s="450" t="s">
        <v>107</v>
      </c>
      <c r="E16" s="533" t="s">
        <v>319</v>
      </c>
      <c r="F16" s="450" t="s">
        <v>320</v>
      </c>
      <c r="G16" s="533">
        <v>500</v>
      </c>
      <c r="H16" s="450">
        <v>60</v>
      </c>
      <c r="I16" s="533" t="s">
        <v>321</v>
      </c>
      <c r="J16" s="533">
        <v>1</v>
      </c>
      <c r="K16" s="533" t="s">
        <v>278</v>
      </c>
      <c r="L16" s="533" t="s">
        <v>322</v>
      </c>
      <c r="M16" s="533" t="s">
        <v>278</v>
      </c>
      <c r="N16" s="818">
        <v>45156</v>
      </c>
      <c r="O16" s="450" t="s">
        <v>281</v>
      </c>
      <c r="P16" s="818" t="s">
        <v>323</v>
      </c>
      <c r="Q16" s="873" t="s">
        <v>281</v>
      </c>
    </row>
    <row r="17" ht="30" customHeight="1" spans="2:17">
      <c r="B17" s="856" t="s">
        <v>6</v>
      </c>
      <c r="C17" s="847" t="s">
        <v>52</v>
      </c>
      <c r="D17" s="807" t="s">
        <v>53</v>
      </c>
      <c r="E17" s="850" t="s">
        <v>324</v>
      </c>
      <c r="F17" s="850" t="s">
        <v>315</v>
      </c>
      <c r="G17" s="850">
        <v>500</v>
      </c>
      <c r="H17" s="807">
        <v>60</v>
      </c>
      <c r="I17" s="850" t="s">
        <v>311</v>
      </c>
      <c r="J17" s="850">
        <v>30</v>
      </c>
      <c r="K17" s="850" t="s">
        <v>325</v>
      </c>
      <c r="L17" s="850" t="s">
        <v>313</v>
      </c>
      <c r="M17" s="850" t="s">
        <v>314</v>
      </c>
      <c r="N17" s="814">
        <v>39899</v>
      </c>
      <c r="O17" s="807" t="s">
        <v>281</v>
      </c>
      <c r="P17" s="814" t="s">
        <v>308</v>
      </c>
      <c r="Q17" s="872"/>
    </row>
    <row r="18" ht="30" customHeight="1" spans="2:17">
      <c r="B18" s="857"/>
      <c r="C18" s="851" t="s">
        <v>58</v>
      </c>
      <c r="D18" s="12" t="s">
        <v>59</v>
      </c>
      <c r="E18" s="11" t="s">
        <v>324</v>
      </c>
      <c r="F18" s="11" t="s">
        <v>315</v>
      </c>
      <c r="G18" s="11">
        <v>500</v>
      </c>
      <c r="H18" s="12">
        <v>60</v>
      </c>
      <c r="I18" s="11" t="s">
        <v>311</v>
      </c>
      <c r="J18" s="11">
        <v>30</v>
      </c>
      <c r="K18" s="11" t="s">
        <v>325</v>
      </c>
      <c r="L18" s="11" t="s">
        <v>313</v>
      </c>
      <c r="M18" s="11" t="s">
        <v>314</v>
      </c>
      <c r="N18" s="816">
        <v>41719</v>
      </c>
      <c r="O18" s="12" t="s">
        <v>281</v>
      </c>
      <c r="P18" s="816" t="s">
        <v>308</v>
      </c>
      <c r="Q18" s="443"/>
    </row>
    <row r="19" ht="30" customHeight="1" spans="2:17">
      <c r="B19" s="857"/>
      <c r="C19" s="851" t="s">
        <v>47</v>
      </c>
      <c r="D19" s="12" t="s">
        <v>48</v>
      </c>
      <c r="E19" s="11" t="s">
        <v>324</v>
      </c>
      <c r="F19" s="11" t="s">
        <v>315</v>
      </c>
      <c r="G19" s="11">
        <v>500</v>
      </c>
      <c r="H19" s="12">
        <v>60</v>
      </c>
      <c r="I19" s="11" t="s">
        <v>311</v>
      </c>
      <c r="J19" s="11">
        <v>30</v>
      </c>
      <c r="K19" s="11" t="s">
        <v>325</v>
      </c>
      <c r="L19" s="11" t="s">
        <v>313</v>
      </c>
      <c r="M19" s="11" t="s">
        <v>314</v>
      </c>
      <c r="N19" s="816">
        <v>39899</v>
      </c>
      <c r="O19" s="12"/>
      <c r="P19" s="816" t="s">
        <v>326</v>
      </c>
      <c r="Q19" s="443"/>
    </row>
    <row r="20" ht="30" customHeight="1" spans="2:17">
      <c r="B20" s="857"/>
      <c r="C20" s="851" t="s">
        <v>75</v>
      </c>
      <c r="D20" s="12" t="s">
        <v>76</v>
      </c>
      <c r="E20" s="11" t="s">
        <v>327</v>
      </c>
      <c r="F20" s="11" t="s">
        <v>317</v>
      </c>
      <c r="G20" s="11">
        <v>500</v>
      </c>
      <c r="H20" s="12">
        <v>60</v>
      </c>
      <c r="I20" s="11" t="s">
        <v>311</v>
      </c>
      <c r="J20" s="11">
        <v>5</v>
      </c>
      <c r="K20" s="11" t="s">
        <v>318</v>
      </c>
      <c r="L20" s="11" t="s">
        <v>313</v>
      </c>
      <c r="M20" s="11" t="s">
        <v>314</v>
      </c>
      <c r="N20" s="816">
        <v>34029</v>
      </c>
      <c r="O20" s="12" t="s">
        <v>281</v>
      </c>
      <c r="P20" s="816" t="s">
        <v>308</v>
      </c>
      <c r="Q20" s="443"/>
    </row>
    <row r="21" ht="30" customHeight="1" spans="2:17">
      <c r="B21" s="857"/>
      <c r="C21" s="851" t="s">
        <v>72</v>
      </c>
      <c r="D21" s="12" t="s">
        <v>73</v>
      </c>
      <c r="E21" s="11" t="s">
        <v>327</v>
      </c>
      <c r="F21" s="11" t="s">
        <v>310</v>
      </c>
      <c r="G21" s="11">
        <v>500</v>
      </c>
      <c r="H21" s="12">
        <v>60</v>
      </c>
      <c r="I21" s="11" t="s">
        <v>311</v>
      </c>
      <c r="J21" s="11">
        <v>5</v>
      </c>
      <c r="K21" s="11" t="s">
        <v>318</v>
      </c>
      <c r="L21" s="11" t="s">
        <v>313</v>
      </c>
      <c r="M21" s="11" t="s">
        <v>314</v>
      </c>
      <c r="N21" s="816">
        <v>33752</v>
      </c>
      <c r="O21" s="12" t="s">
        <v>281</v>
      </c>
      <c r="P21" s="816" t="s">
        <v>308</v>
      </c>
      <c r="Q21" s="443"/>
    </row>
    <row r="22" ht="30" customHeight="1" spans="2:17">
      <c r="B22" s="857"/>
      <c r="C22" s="851" t="s">
        <v>79</v>
      </c>
      <c r="D22" s="12" t="s">
        <v>80</v>
      </c>
      <c r="E22" s="11" t="s">
        <v>327</v>
      </c>
      <c r="F22" s="11" t="s">
        <v>310</v>
      </c>
      <c r="G22" s="11">
        <v>500</v>
      </c>
      <c r="H22" s="12">
        <v>60</v>
      </c>
      <c r="I22" s="11" t="s">
        <v>311</v>
      </c>
      <c r="J22" s="11">
        <v>5</v>
      </c>
      <c r="K22" s="11" t="s">
        <v>318</v>
      </c>
      <c r="L22" s="11" t="s">
        <v>313</v>
      </c>
      <c r="M22" s="11" t="s">
        <v>314</v>
      </c>
      <c r="N22" s="816">
        <v>39167</v>
      </c>
      <c r="O22" s="12" t="s">
        <v>281</v>
      </c>
      <c r="P22" s="816" t="s">
        <v>308</v>
      </c>
      <c r="Q22" s="443"/>
    </row>
    <row r="23" ht="30" customHeight="1" spans="2:17">
      <c r="B23" s="857"/>
      <c r="C23" s="851" t="s">
        <v>81</v>
      </c>
      <c r="D23" s="12" t="s">
        <v>82</v>
      </c>
      <c r="E23" s="11" t="s">
        <v>327</v>
      </c>
      <c r="F23" s="11" t="s">
        <v>310</v>
      </c>
      <c r="G23" s="11">
        <v>500</v>
      </c>
      <c r="H23" s="12">
        <v>60</v>
      </c>
      <c r="I23" s="11" t="s">
        <v>311</v>
      </c>
      <c r="J23" s="11">
        <v>5</v>
      </c>
      <c r="K23" s="11" t="s">
        <v>318</v>
      </c>
      <c r="L23" s="11" t="s">
        <v>313</v>
      </c>
      <c r="M23" s="11" t="s">
        <v>314</v>
      </c>
      <c r="N23" s="816">
        <v>40626</v>
      </c>
      <c r="O23" s="12" t="s">
        <v>281</v>
      </c>
      <c r="P23" s="816" t="s">
        <v>328</v>
      </c>
      <c r="Q23" s="443"/>
    </row>
    <row r="24" ht="30" customHeight="1" spans="2:17">
      <c r="B24" s="857"/>
      <c r="C24" s="851" t="s">
        <v>87</v>
      </c>
      <c r="D24" s="12" t="s">
        <v>88</v>
      </c>
      <c r="E24" s="11" t="s">
        <v>329</v>
      </c>
      <c r="F24" s="11" t="s">
        <v>315</v>
      </c>
      <c r="G24" s="11">
        <v>500</v>
      </c>
      <c r="H24" s="12">
        <v>60</v>
      </c>
      <c r="I24" s="11" t="s">
        <v>311</v>
      </c>
      <c r="J24" s="11">
        <v>15</v>
      </c>
      <c r="K24" s="11" t="s">
        <v>330</v>
      </c>
      <c r="L24" s="11" t="s">
        <v>313</v>
      </c>
      <c r="M24" s="11" t="s">
        <v>314</v>
      </c>
      <c r="N24" s="816">
        <v>45096</v>
      </c>
      <c r="O24" s="12"/>
      <c r="P24" s="816" t="s">
        <v>326</v>
      </c>
      <c r="Q24" s="443"/>
    </row>
    <row r="25" ht="30" customHeight="1" spans="2:17">
      <c r="B25" s="857"/>
      <c r="C25" s="851" t="s">
        <v>77</v>
      </c>
      <c r="D25" s="12" t="s">
        <v>78</v>
      </c>
      <c r="E25" s="11" t="s">
        <v>316</v>
      </c>
      <c r="F25" s="11" t="s">
        <v>310</v>
      </c>
      <c r="G25" s="11">
        <v>500</v>
      </c>
      <c r="H25" s="12">
        <v>60</v>
      </c>
      <c r="I25" s="11" t="s">
        <v>311</v>
      </c>
      <c r="J25" s="11">
        <v>12</v>
      </c>
      <c r="K25" s="11" t="s">
        <v>331</v>
      </c>
      <c r="L25" s="11" t="s">
        <v>313</v>
      </c>
      <c r="M25" s="11" t="s">
        <v>314</v>
      </c>
      <c r="N25" s="816">
        <v>43733</v>
      </c>
      <c r="O25" s="12" t="s">
        <v>281</v>
      </c>
      <c r="P25" s="816" t="s">
        <v>323</v>
      </c>
      <c r="Q25" s="443"/>
    </row>
    <row r="26" s="418" customFormat="1" ht="30" customHeight="1" spans="1:28">
      <c r="A26" s="777"/>
      <c r="B26" s="858"/>
      <c r="C26" s="859" t="s">
        <v>83</v>
      </c>
      <c r="D26" s="12" t="s">
        <v>84</v>
      </c>
      <c r="E26" s="12" t="s">
        <v>332</v>
      </c>
      <c r="F26" s="12" t="s">
        <v>317</v>
      </c>
      <c r="G26" s="12">
        <v>500</v>
      </c>
      <c r="H26" s="12">
        <v>60</v>
      </c>
      <c r="I26" s="12" t="s">
        <v>311</v>
      </c>
      <c r="J26" s="12">
        <v>6</v>
      </c>
      <c r="K26" s="12" t="s">
        <v>333</v>
      </c>
      <c r="L26" s="12" t="s">
        <v>313</v>
      </c>
      <c r="M26" s="12" t="s">
        <v>314</v>
      </c>
      <c r="N26" s="816">
        <v>42090</v>
      </c>
      <c r="O26" s="12" t="s">
        <v>281</v>
      </c>
      <c r="P26" s="816" t="s">
        <v>334</v>
      </c>
      <c r="Q26" s="443" t="s">
        <v>281</v>
      </c>
      <c r="R26" s="777"/>
      <c r="S26" s="777"/>
      <c r="T26" s="777"/>
      <c r="U26" s="777"/>
      <c r="V26" s="777"/>
      <c r="W26" s="777"/>
      <c r="X26" s="777"/>
      <c r="Y26" s="777"/>
      <c r="Z26" s="777"/>
      <c r="AA26" s="777"/>
      <c r="AB26" s="777"/>
    </row>
    <row r="27" ht="30" customHeight="1" spans="2:17">
      <c r="B27" s="857"/>
      <c r="C27" s="851" t="s">
        <v>85</v>
      </c>
      <c r="D27" s="12" t="s">
        <v>86</v>
      </c>
      <c r="E27" s="11" t="s">
        <v>332</v>
      </c>
      <c r="F27" s="11" t="s">
        <v>317</v>
      </c>
      <c r="G27" s="11">
        <v>500</v>
      </c>
      <c r="H27" s="12">
        <v>60</v>
      </c>
      <c r="I27" s="11" t="s">
        <v>311</v>
      </c>
      <c r="J27" s="11">
        <v>2</v>
      </c>
      <c r="K27" s="11" t="s">
        <v>335</v>
      </c>
      <c r="L27" s="11" t="s">
        <v>313</v>
      </c>
      <c r="M27" s="11" t="s">
        <v>314</v>
      </c>
      <c r="N27" s="816">
        <v>42090</v>
      </c>
      <c r="O27" s="12" t="s">
        <v>281</v>
      </c>
      <c r="P27" s="816" t="s">
        <v>328</v>
      </c>
      <c r="Q27" s="443"/>
    </row>
    <row r="28" ht="30" customHeight="1" spans="2:17">
      <c r="B28" s="857"/>
      <c r="C28" s="851" t="s">
        <v>91</v>
      </c>
      <c r="D28" s="12" t="s">
        <v>92</v>
      </c>
      <c r="E28" s="11" t="s">
        <v>336</v>
      </c>
      <c r="F28" s="11" t="s">
        <v>337</v>
      </c>
      <c r="G28" s="11">
        <v>500</v>
      </c>
      <c r="H28" s="12">
        <v>60</v>
      </c>
      <c r="I28" s="11" t="s">
        <v>338</v>
      </c>
      <c r="J28" s="11">
        <v>3</v>
      </c>
      <c r="K28" s="11" t="s">
        <v>339</v>
      </c>
      <c r="L28" s="11" t="s">
        <v>313</v>
      </c>
      <c r="M28" s="11" t="s">
        <v>314</v>
      </c>
      <c r="N28" s="816">
        <v>39456</v>
      </c>
      <c r="O28" s="12" t="s">
        <v>281</v>
      </c>
      <c r="P28" s="816" t="s">
        <v>308</v>
      </c>
      <c r="Q28" s="443"/>
    </row>
    <row r="29" ht="30" customHeight="1" spans="2:17">
      <c r="B29" s="857"/>
      <c r="C29" s="851" t="s">
        <v>94</v>
      </c>
      <c r="D29" s="12" t="s">
        <v>95</v>
      </c>
      <c r="E29" s="11" t="s">
        <v>340</v>
      </c>
      <c r="F29" s="11" t="s">
        <v>341</v>
      </c>
      <c r="G29" s="11">
        <v>500</v>
      </c>
      <c r="H29" s="12">
        <v>60</v>
      </c>
      <c r="I29" s="11" t="s">
        <v>311</v>
      </c>
      <c r="J29" s="11">
        <v>2</v>
      </c>
      <c r="K29" s="11" t="s">
        <v>342</v>
      </c>
      <c r="L29" s="11" t="s">
        <v>313</v>
      </c>
      <c r="M29" s="11" t="s">
        <v>314</v>
      </c>
      <c r="N29" s="816">
        <v>41039</v>
      </c>
      <c r="O29" s="12" t="s">
        <v>281</v>
      </c>
      <c r="P29" s="816" t="s">
        <v>308</v>
      </c>
      <c r="Q29" s="443"/>
    </row>
    <row r="30" ht="30" customHeight="1" spans="2:17">
      <c r="B30" s="857"/>
      <c r="C30" s="851" t="s">
        <v>64</v>
      </c>
      <c r="D30" s="12" t="s">
        <v>65</v>
      </c>
      <c r="E30" s="11" t="s">
        <v>309</v>
      </c>
      <c r="F30" s="11" t="s">
        <v>310</v>
      </c>
      <c r="G30" s="11">
        <v>500</v>
      </c>
      <c r="H30" s="12">
        <v>60</v>
      </c>
      <c r="I30" s="11" t="s">
        <v>343</v>
      </c>
      <c r="J30" s="11">
        <v>1</v>
      </c>
      <c r="K30" s="11" t="s">
        <v>278</v>
      </c>
      <c r="L30" s="11" t="s">
        <v>313</v>
      </c>
      <c r="M30" s="11" t="s">
        <v>314</v>
      </c>
      <c r="N30" s="816">
        <v>34055</v>
      </c>
      <c r="O30" s="12" t="s">
        <v>281</v>
      </c>
      <c r="P30" s="816" t="s">
        <v>328</v>
      </c>
      <c r="Q30" s="443"/>
    </row>
    <row r="31" ht="30" customHeight="1" spans="2:17">
      <c r="B31" s="857"/>
      <c r="C31" s="851" t="s">
        <v>62</v>
      </c>
      <c r="D31" s="12" t="s">
        <v>63</v>
      </c>
      <c r="E31" s="11" t="s">
        <v>309</v>
      </c>
      <c r="F31" s="11" t="s">
        <v>315</v>
      </c>
      <c r="G31" s="11">
        <v>500</v>
      </c>
      <c r="H31" s="12">
        <v>60</v>
      </c>
      <c r="I31" s="870" t="s">
        <v>344</v>
      </c>
      <c r="J31" s="11">
        <v>1</v>
      </c>
      <c r="K31" s="11" t="s">
        <v>278</v>
      </c>
      <c r="L31" s="11" t="s">
        <v>313</v>
      </c>
      <c r="M31" s="11" t="s">
        <v>314</v>
      </c>
      <c r="N31" s="816">
        <v>41556</v>
      </c>
      <c r="O31" s="12" t="s">
        <v>281</v>
      </c>
      <c r="P31" s="816" t="s">
        <v>345</v>
      </c>
      <c r="Q31" s="443"/>
    </row>
    <row r="32" ht="30" customHeight="1" spans="2:17">
      <c r="B32" s="857"/>
      <c r="C32" s="851" t="s">
        <v>346</v>
      </c>
      <c r="D32" s="12" t="s">
        <v>69</v>
      </c>
      <c r="E32" s="11" t="s">
        <v>309</v>
      </c>
      <c r="F32" s="11" t="s">
        <v>347</v>
      </c>
      <c r="G32" s="11">
        <v>500</v>
      </c>
      <c r="H32" s="12">
        <v>60</v>
      </c>
      <c r="I32" s="11" t="s">
        <v>311</v>
      </c>
      <c r="J32" s="11">
        <v>2</v>
      </c>
      <c r="K32" s="11" t="s">
        <v>342</v>
      </c>
      <c r="L32" s="11" t="s">
        <v>313</v>
      </c>
      <c r="M32" s="11" t="s">
        <v>314</v>
      </c>
      <c r="N32" s="816">
        <v>43431</v>
      </c>
      <c r="O32" s="12" t="s">
        <v>281</v>
      </c>
      <c r="P32" s="816" t="s">
        <v>323</v>
      </c>
      <c r="Q32" s="443"/>
    </row>
    <row r="33" ht="30" customHeight="1" spans="2:17">
      <c r="B33" s="857"/>
      <c r="C33" s="851" t="s">
        <v>348</v>
      </c>
      <c r="D33" s="12" t="s">
        <v>61</v>
      </c>
      <c r="E33" s="11" t="s">
        <v>309</v>
      </c>
      <c r="F33" s="11" t="s">
        <v>315</v>
      </c>
      <c r="G33" s="11">
        <v>500</v>
      </c>
      <c r="H33" s="12">
        <v>60</v>
      </c>
      <c r="I33" s="11" t="s">
        <v>311</v>
      </c>
      <c r="J33" s="11">
        <v>1</v>
      </c>
      <c r="K33" s="11" t="s">
        <v>278</v>
      </c>
      <c r="L33" s="11" t="s">
        <v>349</v>
      </c>
      <c r="M33" s="11" t="s">
        <v>314</v>
      </c>
      <c r="N33" s="816">
        <v>38224</v>
      </c>
      <c r="O33" s="12" t="s">
        <v>281</v>
      </c>
      <c r="P33" s="816" t="s">
        <v>323</v>
      </c>
      <c r="Q33" s="443"/>
    </row>
    <row r="34" ht="30" customHeight="1" spans="2:17">
      <c r="B34" s="857"/>
      <c r="C34" s="851" t="s">
        <v>350</v>
      </c>
      <c r="D34" s="12" t="s">
        <v>67</v>
      </c>
      <c r="E34" s="11" t="s">
        <v>316</v>
      </c>
      <c r="F34" s="11" t="s">
        <v>310</v>
      </c>
      <c r="G34" s="11">
        <v>500</v>
      </c>
      <c r="H34" s="12">
        <v>60</v>
      </c>
      <c r="I34" s="11" t="s">
        <v>311</v>
      </c>
      <c r="J34" s="11">
        <v>2</v>
      </c>
      <c r="K34" s="11" t="s">
        <v>342</v>
      </c>
      <c r="L34" s="11" t="s">
        <v>313</v>
      </c>
      <c r="M34" s="11" t="s">
        <v>314</v>
      </c>
      <c r="N34" s="816">
        <v>45135</v>
      </c>
      <c r="O34" s="12"/>
      <c r="P34" s="816" t="s">
        <v>326</v>
      </c>
      <c r="Q34" s="443"/>
    </row>
    <row r="35" ht="30" customHeight="1" spans="2:17">
      <c r="B35" s="857"/>
      <c r="C35" s="859" t="s">
        <v>89</v>
      </c>
      <c r="D35" s="12" t="s">
        <v>90</v>
      </c>
      <c r="E35" s="11" t="s">
        <v>309</v>
      </c>
      <c r="F35" s="11" t="s">
        <v>310</v>
      </c>
      <c r="G35" s="11">
        <v>500</v>
      </c>
      <c r="H35" s="12">
        <v>60</v>
      </c>
      <c r="I35" s="11" t="s">
        <v>311</v>
      </c>
      <c r="J35" s="11">
        <v>3</v>
      </c>
      <c r="K35" s="11" t="s">
        <v>339</v>
      </c>
      <c r="L35" s="11" t="s">
        <v>313</v>
      </c>
      <c r="M35" s="11" t="s">
        <v>314</v>
      </c>
      <c r="N35" s="816">
        <v>45818</v>
      </c>
      <c r="O35" s="12"/>
      <c r="P35" s="816" t="s">
        <v>326</v>
      </c>
      <c r="Q35" s="443"/>
    </row>
    <row r="36" ht="30" customHeight="1" spans="2:17">
      <c r="B36" s="860"/>
      <c r="C36" s="513" t="s">
        <v>70</v>
      </c>
      <c r="D36" s="450" t="s">
        <v>71</v>
      </c>
      <c r="E36" s="450" t="s">
        <v>351</v>
      </c>
      <c r="F36" s="450" t="s">
        <v>347</v>
      </c>
      <c r="G36" s="450">
        <v>500</v>
      </c>
      <c r="H36" s="450">
        <v>60</v>
      </c>
      <c r="I36" s="450" t="s">
        <v>311</v>
      </c>
      <c r="J36" s="450">
        <v>1</v>
      </c>
      <c r="K36" s="450" t="s">
        <v>278</v>
      </c>
      <c r="L36" s="450" t="s">
        <v>313</v>
      </c>
      <c r="M36" s="450" t="s">
        <v>314</v>
      </c>
      <c r="N36" s="818">
        <v>45910</v>
      </c>
      <c r="O36" s="534"/>
      <c r="P36" s="818" t="s">
        <v>326</v>
      </c>
      <c r="Q36" s="874"/>
    </row>
    <row r="37" ht="30" customHeight="1" spans="2:17">
      <c r="B37" s="861" t="s">
        <v>12</v>
      </c>
      <c r="C37" s="847" t="s">
        <v>352</v>
      </c>
      <c r="D37" s="848" t="s">
        <v>110</v>
      </c>
      <c r="E37" s="849" t="s">
        <v>353</v>
      </c>
      <c r="F37" s="850" t="s">
        <v>354</v>
      </c>
      <c r="G37" s="850">
        <v>1000</v>
      </c>
      <c r="H37" s="850">
        <v>1000</v>
      </c>
      <c r="I37" s="850" t="s">
        <v>355</v>
      </c>
      <c r="J37" s="850">
        <v>1</v>
      </c>
      <c r="K37" s="850" t="s">
        <v>356</v>
      </c>
      <c r="L37" s="850" t="s">
        <v>357</v>
      </c>
      <c r="M37" s="850" t="s">
        <v>356</v>
      </c>
      <c r="N37" s="814">
        <v>37330</v>
      </c>
      <c r="O37" s="807" t="s">
        <v>281</v>
      </c>
      <c r="P37" s="814" t="s">
        <v>308</v>
      </c>
      <c r="Q37" s="872" t="s">
        <v>281</v>
      </c>
    </row>
    <row r="38" ht="30" customHeight="1" spans="2:17">
      <c r="B38" s="862"/>
      <c r="C38" s="851" t="s">
        <v>358</v>
      </c>
      <c r="D38" s="492" t="s">
        <v>114</v>
      </c>
      <c r="E38" s="458" t="s">
        <v>353</v>
      </c>
      <c r="F38" s="11" t="s">
        <v>354</v>
      </c>
      <c r="G38" s="11">
        <v>1000</v>
      </c>
      <c r="H38" s="11">
        <v>1000</v>
      </c>
      <c r="I38" s="11" t="s">
        <v>311</v>
      </c>
      <c r="J38" s="11">
        <v>100</v>
      </c>
      <c r="K38" s="11" t="s">
        <v>356</v>
      </c>
      <c r="L38" s="11" t="s">
        <v>357</v>
      </c>
      <c r="M38" s="11" t="s">
        <v>356</v>
      </c>
      <c r="N38" s="816">
        <v>38343</v>
      </c>
      <c r="O38" s="12" t="s">
        <v>281</v>
      </c>
      <c r="P38" s="816" t="s">
        <v>308</v>
      </c>
      <c r="Q38" s="443" t="s">
        <v>281</v>
      </c>
    </row>
    <row r="39" ht="30" customHeight="1" spans="2:17">
      <c r="B39" s="862"/>
      <c r="C39" s="851" t="s">
        <v>115</v>
      </c>
      <c r="D39" s="492" t="s">
        <v>116</v>
      </c>
      <c r="E39" s="458" t="s">
        <v>353</v>
      </c>
      <c r="F39" s="11" t="s">
        <v>354</v>
      </c>
      <c r="G39" s="11">
        <v>1000</v>
      </c>
      <c r="H39" s="11">
        <v>1000</v>
      </c>
      <c r="I39" s="11" t="s">
        <v>359</v>
      </c>
      <c r="J39" s="11">
        <v>1</v>
      </c>
      <c r="K39" s="11" t="s">
        <v>356</v>
      </c>
      <c r="L39" s="11" t="s">
        <v>357</v>
      </c>
      <c r="M39" s="11" t="s">
        <v>356</v>
      </c>
      <c r="N39" s="816">
        <v>36724</v>
      </c>
      <c r="O39" s="12" t="s">
        <v>281</v>
      </c>
      <c r="P39" s="816" t="s">
        <v>308</v>
      </c>
      <c r="Q39" s="443" t="s">
        <v>281</v>
      </c>
    </row>
    <row r="40" ht="49.5" spans="2:17">
      <c r="B40" s="862"/>
      <c r="C40" s="851" t="s">
        <v>117</v>
      </c>
      <c r="D40" s="492" t="s">
        <v>118</v>
      </c>
      <c r="E40" s="458" t="s">
        <v>353</v>
      </c>
      <c r="F40" s="492" t="s">
        <v>360</v>
      </c>
      <c r="G40" s="11">
        <v>1000</v>
      </c>
      <c r="H40" s="11">
        <v>1000</v>
      </c>
      <c r="I40" s="11" t="s">
        <v>359</v>
      </c>
      <c r="J40" s="11">
        <v>1</v>
      </c>
      <c r="K40" s="11" t="s">
        <v>356</v>
      </c>
      <c r="L40" s="11" t="s">
        <v>357</v>
      </c>
      <c r="M40" s="11" t="s">
        <v>356</v>
      </c>
      <c r="N40" s="816">
        <v>38726</v>
      </c>
      <c r="O40" s="12" t="s">
        <v>281</v>
      </c>
      <c r="P40" s="816" t="s">
        <v>308</v>
      </c>
      <c r="Q40" s="443" t="s">
        <v>281</v>
      </c>
    </row>
    <row r="41" ht="49.5" spans="2:17">
      <c r="B41" s="862"/>
      <c r="C41" s="851" t="s">
        <v>119</v>
      </c>
      <c r="D41" s="492" t="s">
        <v>120</v>
      </c>
      <c r="E41" s="458" t="s">
        <v>353</v>
      </c>
      <c r="F41" s="492" t="s">
        <v>360</v>
      </c>
      <c r="G41" s="11">
        <v>1000</v>
      </c>
      <c r="H41" s="11">
        <v>1000</v>
      </c>
      <c r="I41" s="11" t="s">
        <v>311</v>
      </c>
      <c r="J41" s="11">
        <v>1</v>
      </c>
      <c r="K41" s="11" t="s">
        <v>356</v>
      </c>
      <c r="L41" s="11" t="s">
        <v>357</v>
      </c>
      <c r="M41" s="11" t="s">
        <v>356</v>
      </c>
      <c r="N41" s="816">
        <v>39384</v>
      </c>
      <c r="O41" s="12" t="s">
        <v>281</v>
      </c>
      <c r="P41" s="816" t="s">
        <v>308</v>
      </c>
      <c r="Q41" s="443" t="s">
        <v>281</v>
      </c>
    </row>
    <row r="42" ht="30" customHeight="1" spans="2:17">
      <c r="B42" s="862"/>
      <c r="C42" s="851" t="s">
        <v>143</v>
      </c>
      <c r="D42" s="12" t="s">
        <v>144</v>
      </c>
      <c r="E42" s="11" t="s">
        <v>361</v>
      </c>
      <c r="F42" s="458" t="s">
        <v>362</v>
      </c>
      <c r="G42" s="11">
        <v>1000</v>
      </c>
      <c r="H42" s="11">
        <v>1000</v>
      </c>
      <c r="I42" s="11" t="s">
        <v>311</v>
      </c>
      <c r="J42" s="12" t="s">
        <v>363</v>
      </c>
      <c r="K42" s="11" t="s">
        <v>356</v>
      </c>
      <c r="L42" s="11" t="s">
        <v>357</v>
      </c>
      <c r="M42" s="11" t="s">
        <v>356</v>
      </c>
      <c r="N42" s="816">
        <v>41355</v>
      </c>
      <c r="O42" s="12"/>
      <c r="P42" s="816" t="s">
        <v>326</v>
      </c>
      <c r="Q42" s="443"/>
    </row>
    <row r="43" ht="30" customHeight="1" spans="2:17">
      <c r="B43" s="862"/>
      <c r="C43" s="851" t="s">
        <v>364</v>
      </c>
      <c r="D43" s="492" t="s">
        <v>142</v>
      </c>
      <c r="E43" s="458" t="s">
        <v>365</v>
      </c>
      <c r="F43" s="458" t="s">
        <v>362</v>
      </c>
      <c r="G43" s="11">
        <v>500</v>
      </c>
      <c r="H43" s="11">
        <v>500</v>
      </c>
      <c r="I43" s="11" t="s">
        <v>311</v>
      </c>
      <c r="J43" s="12" t="s">
        <v>366</v>
      </c>
      <c r="K43" s="11" t="s">
        <v>356</v>
      </c>
      <c r="L43" s="11" t="s">
        <v>357</v>
      </c>
      <c r="M43" s="11" t="s">
        <v>356</v>
      </c>
      <c r="N43" s="816">
        <v>40648</v>
      </c>
      <c r="O43" s="12"/>
      <c r="P43" s="816" t="s">
        <v>326</v>
      </c>
      <c r="Q43" s="443"/>
    </row>
    <row r="44" ht="30" customHeight="1" spans="2:17">
      <c r="B44" s="862"/>
      <c r="C44" s="851" t="s">
        <v>149</v>
      </c>
      <c r="D44" s="492" t="s">
        <v>150</v>
      </c>
      <c r="E44" s="458" t="s">
        <v>365</v>
      </c>
      <c r="F44" s="458" t="s">
        <v>362</v>
      </c>
      <c r="G44" s="11">
        <v>1000</v>
      </c>
      <c r="H44" s="11">
        <v>1000</v>
      </c>
      <c r="I44" s="11" t="s">
        <v>311</v>
      </c>
      <c r="J44" s="12" t="s">
        <v>367</v>
      </c>
      <c r="K44" s="11" t="s">
        <v>356</v>
      </c>
      <c r="L44" s="11" t="s">
        <v>357</v>
      </c>
      <c r="M44" s="11" t="s">
        <v>356</v>
      </c>
      <c r="N44" s="816">
        <v>41565</v>
      </c>
      <c r="O44" s="12" t="s">
        <v>281</v>
      </c>
      <c r="P44" s="816" t="s">
        <v>308</v>
      </c>
      <c r="Q44" s="443" t="s">
        <v>281</v>
      </c>
    </row>
    <row r="45" ht="30" customHeight="1" spans="2:17">
      <c r="B45" s="862"/>
      <c r="C45" s="851" t="s">
        <v>121</v>
      </c>
      <c r="D45" s="492" t="s">
        <v>122</v>
      </c>
      <c r="E45" s="458" t="s">
        <v>353</v>
      </c>
      <c r="F45" s="11" t="s">
        <v>354</v>
      </c>
      <c r="G45" s="11">
        <v>2000</v>
      </c>
      <c r="H45" s="11">
        <v>2000</v>
      </c>
      <c r="I45" s="11" t="s">
        <v>355</v>
      </c>
      <c r="J45" s="11">
        <v>1</v>
      </c>
      <c r="K45" s="11" t="s">
        <v>356</v>
      </c>
      <c r="L45" s="11" t="s">
        <v>357</v>
      </c>
      <c r="M45" s="11" t="s">
        <v>356</v>
      </c>
      <c r="N45" s="816">
        <v>38252</v>
      </c>
      <c r="O45" s="12"/>
      <c r="P45" s="816" t="s">
        <v>326</v>
      </c>
      <c r="Q45" s="443"/>
    </row>
    <row r="46" ht="30" customHeight="1" spans="2:17">
      <c r="B46" s="862"/>
      <c r="C46" s="851" t="s">
        <v>123</v>
      </c>
      <c r="D46" s="492" t="s">
        <v>124</v>
      </c>
      <c r="E46" s="458" t="s">
        <v>353</v>
      </c>
      <c r="F46" s="11" t="s">
        <v>354</v>
      </c>
      <c r="G46" s="11">
        <v>1000</v>
      </c>
      <c r="H46" s="11">
        <v>1000</v>
      </c>
      <c r="I46" s="11" t="s">
        <v>355</v>
      </c>
      <c r="J46" s="11">
        <v>1</v>
      </c>
      <c r="K46" s="11" t="s">
        <v>356</v>
      </c>
      <c r="L46" s="11" t="s">
        <v>357</v>
      </c>
      <c r="M46" s="11" t="s">
        <v>356</v>
      </c>
      <c r="N46" s="816">
        <v>41992</v>
      </c>
      <c r="O46" s="12"/>
      <c r="P46" s="816" t="s">
        <v>326</v>
      </c>
      <c r="Q46" s="443"/>
    </row>
    <row r="47" ht="30" customHeight="1" spans="2:17">
      <c r="B47" s="862"/>
      <c r="C47" s="851" t="s">
        <v>133</v>
      </c>
      <c r="D47" s="492" t="s">
        <v>134</v>
      </c>
      <c r="E47" s="458" t="s">
        <v>368</v>
      </c>
      <c r="F47" s="11" t="s">
        <v>354</v>
      </c>
      <c r="G47" s="11">
        <v>1000</v>
      </c>
      <c r="H47" s="11">
        <v>1000</v>
      </c>
      <c r="I47" s="11" t="s">
        <v>311</v>
      </c>
      <c r="J47" s="11">
        <v>1</v>
      </c>
      <c r="K47" s="11" t="s">
        <v>356</v>
      </c>
      <c r="L47" s="11" t="s">
        <v>357</v>
      </c>
      <c r="M47" s="11" t="s">
        <v>356</v>
      </c>
      <c r="N47" s="816">
        <v>39294</v>
      </c>
      <c r="O47" s="12" t="s">
        <v>281</v>
      </c>
      <c r="P47" s="816" t="s">
        <v>308</v>
      </c>
      <c r="Q47" s="443"/>
    </row>
    <row r="48" ht="30" customHeight="1" spans="2:17">
      <c r="B48" s="862"/>
      <c r="C48" s="859" t="s">
        <v>135</v>
      </c>
      <c r="D48" s="492" t="s">
        <v>136</v>
      </c>
      <c r="E48" s="492" t="s">
        <v>368</v>
      </c>
      <c r="F48" s="12" t="s">
        <v>354</v>
      </c>
      <c r="G48" s="12">
        <v>1000</v>
      </c>
      <c r="H48" s="12">
        <v>1000</v>
      </c>
      <c r="I48" s="12" t="s">
        <v>311</v>
      </c>
      <c r="J48" s="12">
        <v>1</v>
      </c>
      <c r="K48" s="492" t="s">
        <v>278</v>
      </c>
      <c r="L48" s="12" t="s">
        <v>369</v>
      </c>
      <c r="M48" s="12" t="s">
        <v>326</v>
      </c>
      <c r="N48" s="816">
        <v>45959</v>
      </c>
      <c r="O48" s="12" t="s">
        <v>281</v>
      </c>
      <c r="P48" s="816" t="s">
        <v>370</v>
      </c>
      <c r="Q48" s="875"/>
    </row>
    <row r="49" ht="30" customHeight="1" spans="2:17">
      <c r="B49" s="862"/>
      <c r="C49" s="859" t="s">
        <v>125</v>
      </c>
      <c r="D49" s="492" t="s">
        <v>126</v>
      </c>
      <c r="E49" s="492" t="s">
        <v>368</v>
      </c>
      <c r="F49" s="12" t="s">
        <v>354</v>
      </c>
      <c r="G49" s="12">
        <v>1000</v>
      </c>
      <c r="H49" s="12">
        <v>1000</v>
      </c>
      <c r="I49" s="12" t="s">
        <v>311</v>
      </c>
      <c r="J49" s="12">
        <v>1</v>
      </c>
      <c r="K49" s="12" t="s">
        <v>356</v>
      </c>
      <c r="L49" s="12" t="s">
        <v>357</v>
      </c>
      <c r="M49" s="12" t="s">
        <v>356</v>
      </c>
      <c r="N49" s="816">
        <v>39958</v>
      </c>
      <c r="O49" s="12" t="s">
        <v>281</v>
      </c>
      <c r="P49" s="816" t="s">
        <v>323</v>
      </c>
      <c r="Q49" s="443"/>
    </row>
    <row r="50" ht="30" customHeight="1" spans="2:17">
      <c r="B50" s="862"/>
      <c r="C50" s="859" t="s">
        <v>127</v>
      </c>
      <c r="D50" s="492" t="s">
        <v>128</v>
      </c>
      <c r="E50" s="492" t="s">
        <v>368</v>
      </c>
      <c r="F50" s="12" t="s">
        <v>354</v>
      </c>
      <c r="G50" s="12">
        <v>1000</v>
      </c>
      <c r="H50" s="12">
        <v>1000</v>
      </c>
      <c r="I50" s="12" t="s">
        <v>311</v>
      </c>
      <c r="J50" s="12">
        <v>1</v>
      </c>
      <c r="K50" s="492" t="s">
        <v>278</v>
      </c>
      <c r="L50" s="12" t="s">
        <v>369</v>
      </c>
      <c r="M50" s="12" t="s">
        <v>326</v>
      </c>
      <c r="N50" s="816">
        <v>45959</v>
      </c>
      <c r="O50" s="12" t="s">
        <v>281</v>
      </c>
      <c r="P50" s="816" t="s">
        <v>370</v>
      </c>
      <c r="Q50" s="875"/>
    </row>
    <row r="51" ht="30" customHeight="1" spans="2:17">
      <c r="B51" s="862"/>
      <c r="C51" s="859" t="s">
        <v>129</v>
      </c>
      <c r="D51" s="492" t="s">
        <v>130</v>
      </c>
      <c r="E51" s="492" t="s">
        <v>368</v>
      </c>
      <c r="F51" s="12" t="s">
        <v>354</v>
      </c>
      <c r="G51" s="12">
        <v>1000</v>
      </c>
      <c r="H51" s="12">
        <v>1000</v>
      </c>
      <c r="I51" s="12" t="s">
        <v>311</v>
      </c>
      <c r="J51" s="12">
        <v>1</v>
      </c>
      <c r="K51" s="12" t="s">
        <v>356</v>
      </c>
      <c r="L51" s="12" t="s">
        <v>357</v>
      </c>
      <c r="M51" s="12" t="s">
        <v>356</v>
      </c>
      <c r="N51" s="816">
        <v>41698</v>
      </c>
      <c r="O51" s="12" t="s">
        <v>281</v>
      </c>
      <c r="P51" s="816" t="s">
        <v>323</v>
      </c>
      <c r="Q51" s="443"/>
    </row>
    <row r="52" ht="30" customHeight="1" spans="1:17">
      <c r="A52" s="777"/>
      <c r="B52" s="862"/>
      <c r="C52" s="859" t="s">
        <v>131</v>
      </c>
      <c r="D52" s="492" t="s">
        <v>132</v>
      </c>
      <c r="E52" s="492" t="s">
        <v>368</v>
      </c>
      <c r="F52" s="12" t="s">
        <v>354</v>
      </c>
      <c r="G52" s="12">
        <v>1000</v>
      </c>
      <c r="H52" s="12">
        <v>1000</v>
      </c>
      <c r="I52" s="12" t="s">
        <v>311</v>
      </c>
      <c r="J52" s="12">
        <v>1</v>
      </c>
      <c r="K52" s="492" t="s">
        <v>278</v>
      </c>
      <c r="L52" s="12" t="s">
        <v>369</v>
      </c>
      <c r="M52" s="12" t="s">
        <v>326</v>
      </c>
      <c r="N52" s="816">
        <v>45959</v>
      </c>
      <c r="O52" s="12" t="s">
        <v>281</v>
      </c>
      <c r="P52" s="816" t="s">
        <v>370</v>
      </c>
      <c r="Q52" s="875"/>
    </row>
    <row r="53" ht="30" customHeight="1" spans="1:17">
      <c r="A53" s="777"/>
      <c r="B53" s="862"/>
      <c r="C53" s="859" t="s">
        <v>139</v>
      </c>
      <c r="D53" s="12" t="s">
        <v>140</v>
      </c>
      <c r="E53" s="12" t="s">
        <v>309</v>
      </c>
      <c r="F53" s="12" t="s">
        <v>354</v>
      </c>
      <c r="G53" s="12">
        <v>1000</v>
      </c>
      <c r="H53" s="12">
        <v>1000</v>
      </c>
      <c r="I53" s="12" t="s">
        <v>311</v>
      </c>
      <c r="J53" s="12">
        <v>1</v>
      </c>
      <c r="K53" s="12" t="s">
        <v>356</v>
      </c>
      <c r="L53" s="12" t="s">
        <v>371</v>
      </c>
      <c r="M53" s="12" t="s">
        <v>356</v>
      </c>
      <c r="N53" s="816">
        <v>43444</v>
      </c>
      <c r="O53" s="12" t="s">
        <v>281</v>
      </c>
      <c r="P53" s="816" t="s">
        <v>328</v>
      </c>
      <c r="Q53" s="443"/>
    </row>
    <row r="54" ht="30" customHeight="1" spans="2:17">
      <c r="B54" s="862"/>
      <c r="C54" s="859" t="s">
        <v>147</v>
      </c>
      <c r="D54" s="12" t="s">
        <v>148</v>
      </c>
      <c r="E54" s="12" t="s">
        <v>368</v>
      </c>
      <c r="F54" s="12" t="s">
        <v>354</v>
      </c>
      <c r="G54" s="12">
        <v>1000</v>
      </c>
      <c r="H54" s="12">
        <v>1000</v>
      </c>
      <c r="I54" s="12" t="s">
        <v>311</v>
      </c>
      <c r="J54" s="12">
        <v>1</v>
      </c>
      <c r="K54" s="12" t="s">
        <v>356</v>
      </c>
      <c r="L54" s="12" t="s">
        <v>371</v>
      </c>
      <c r="M54" s="12" t="s">
        <v>356</v>
      </c>
      <c r="N54" s="816">
        <v>43734</v>
      </c>
      <c r="O54" s="12" t="s">
        <v>281</v>
      </c>
      <c r="P54" s="816" t="s">
        <v>323</v>
      </c>
      <c r="Q54" s="443"/>
    </row>
    <row r="55" ht="30" customHeight="1" spans="2:17">
      <c r="B55" s="862"/>
      <c r="C55" s="859" t="s">
        <v>137</v>
      </c>
      <c r="D55" s="12" t="s">
        <v>138</v>
      </c>
      <c r="E55" s="12" t="s">
        <v>329</v>
      </c>
      <c r="F55" s="12" t="s">
        <v>354</v>
      </c>
      <c r="G55" s="12">
        <v>1000</v>
      </c>
      <c r="H55" s="12">
        <v>1000</v>
      </c>
      <c r="I55" s="12" t="s">
        <v>311</v>
      </c>
      <c r="J55" s="12">
        <v>1</v>
      </c>
      <c r="K55" s="12" t="s">
        <v>356</v>
      </c>
      <c r="L55" s="12" t="s">
        <v>371</v>
      </c>
      <c r="M55" s="12" t="s">
        <v>356</v>
      </c>
      <c r="N55" s="816">
        <v>43920</v>
      </c>
      <c r="O55" s="12" t="s">
        <v>281</v>
      </c>
      <c r="P55" s="816" t="s">
        <v>328</v>
      </c>
      <c r="Q55" s="443"/>
    </row>
    <row r="56" ht="30" customHeight="1" spans="2:17">
      <c r="B56" s="862"/>
      <c r="C56" s="859" t="s">
        <v>145</v>
      </c>
      <c r="D56" s="12" t="s">
        <v>146</v>
      </c>
      <c r="E56" s="12" t="s">
        <v>309</v>
      </c>
      <c r="F56" s="12" t="s">
        <v>354</v>
      </c>
      <c r="G56" s="12">
        <v>1000</v>
      </c>
      <c r="H56" s="12">
        <v>1000</v>
      </c>
      <c r="I56" s="12" t="s">
        <v>311</v>
      </c>
      <c r="J56" s="12">
        <v>1</v>
      </c>
      <c r="K56" s="12" t="s">
        <v>356</v>
      </c>
      <c r="L56" s="12" t="s">
        <v>357</v>
      </c>
      <c r="M56" s="12" t="s">
        <v>356</v>
      </c>
      <c r="N56" s="816">
        <v>43693</v>
      </c>
      <c r="O56" s="12"/>
      <c r="P56" s="816" t="s">
        <v>326</v>
      </c>
      <c r="Q56" s="443"/>
    </row>
    <row r="57" ht="30" customHeight="1" spans="2:17">
      <c r="B57" s="862"/>
      <c r="C57" s="859" t="s">
        <v>157</v>
      </c>
      <c r="D57" s="12" t="s">
        <v>158</v>
      </c>
      <c r="E57" s="12" t="s">
        <v>372</v>
      </c>
      <c r="F57" s="12" t="s">
        <v>373</v>
      </c>
      <c r="G57" s="12">
        <v>1000</v>
      </c>
      <c r="H57" s="12">
        <v>1000</v>
      </c>
      <c r="I57" s="12" t="s">
        <v>374</v>
      </c>
      <c r="J57" s="12">
        <v>1</v>
      </c>
      <c r="K57" s="12" t="s">
        <v>356</v>
      </c>
      <c r="L57" s="12" t="s">
        <v>357</v>
      </c>
      <c r="M57" s="12" t="s">
        <v>356</v>
      </c>
      <c r="N57" s="816">
        <v>41614</v>
      </c>
      <c r="O57" s="12"/>
      <c r="P57" s="816" t="s">
        <v>326</v>
      </c>
      <c r="Q57" s="443"/>
    </row>
    <row r="58" ht="30" customHeight="1" spans="2:17">
      <c r="B58" s="862"/>
      <c r="C58" s="859" t="s">
        <v>159</v>
      </c>
      <c r="D58" s="12" t="s">
        <v>160</v>
      </c>
      <c r="E58" s="12" t="s">
        <v>375</v>
      </c>
      <c r="F58" s="12" t="s">
        <v>376</v>
      </c>
      <c r="G58" s="12">
        <v>1000</v>
      </c>
      <c r="H58" s="12">
        <v>1000</v>
      </c>
      <c r="I58" s="12" t="s">
        <v>311</v>
      </c>
      <c r="J58" s="12">
        <v>1</v>
      </c>
      <c r="K58" s="12" t="s">
        <v>356</v>
      </c>
      <c r="L58" s="12" t="s">
        <v>357</v>
      </c>
      <c r="M58" s="12" t="s">
        <v>356</v>
      </c>
      <c r="N58" s="816">
        <v>41614</v>
      </c>
      <c r="O58" s="12"/>
      <c r="P58" s="816" t="s">
        <v>326</v>
      </c>
      <c r="Q58" s="443"/>
    </row>
    <row r="59" ht="30" customHeight="1" spans="2:17">
      <c r="B59" s="862"/>
      <c r="C59" s="859" t="s">
        <v>161</v>
      </c>
      <c r="D59" s="12" t="s">
        <v>162</v>
      </c>
      <c r="E59" s="12" t="s">
        <v>377</v>
      </c>
      <c r="F59" s="12" t="s">
        <v>376</v>
      </c>
      <c r="G59" s="12">
        <v>1000</v>
      </c>
      <c r="H59" s="12">
        <v>1000</v>
      </c>
      <c r="I59" s="12" t="s">
        <v>355</v>
      </c>
      <c r="J59" s="12">
        <v>1</v>
      </c>
      <c r="K59" s="12" t="s">
        <v>356</v>
      </c>
      <c r="L59" s="12" t="s">
        <v>371</v>
      </c>
      <c r="M59" s="12" t="s">
        <v>356</v>
      </c>
      <c r="N59" s="816">
        <v>45614</v>
      </c>
      <c r="O59" s="12"/>
      <c r="P59" s="816" t="s">
        <v>326</v>
      </c>
      <c r="Q59" s="443"/>
    </row>
    <row r="60" ht="30" customHeight="1" spans="2:17">
      <c r="B60" s="862"/>
      <c r="C60" s="859" t="s">
        <v>151</v>
      </c>
      <c r="D60" s="12" t="s">
        <v>152</v>
      </c>
      <c r="E60" s="12" t="s">
        <v>378</v>
      </c>
      <c r="F60" s="12" t="s">
        <v>354</v>
      </c>
      <c r="G60" s="12">
        <v>1000</v>
      </c>
      <c r="H60" s="12">
        <v>1000</v>
      </c>
      <c r="I60" s="12" t="s">
        <v>311</v>
      </c>
      <c r="J60" s="12">
        <v>1</v>
      </c>
      <c r="K60" s="12" t="s">
        <v>356</v>
      </c>
      <c r="L60" s="12" t="s">
        <v>371</v>
      </c>
      <c r="M60" s="12" t="s">
        <v>356</v>
      </c>
      <c r="N60" s="816">
        <v>45846</v>
      </c>
      <c r="O60" s="12"/>
      <c r="P60" s="816" t="s">
        <v>326</v>
      </c>
      <c r="Q60" s="443"/>
    </row>
    <row r="61" ht="30" customHeight="1" spans="2:17">
      <c r="B61" s="862"/>
      <c r="C61" s="851" t="s">
        <v>153</v>
      </c>
      <c r="D61" s="12" t="s">
        <v>154</v>
      </c>
      <c r="E61" s="11" t="s">
        <v>316</v>
      </c>
      <c r="F61" s="11" t="s">
        <v>379</v>
      </c>
      <c r="G61" s="11">
        <v>300</v>
      </c>
      <c r="H61" s="12">
        <v>300</v>
      </c>
      <c r="I61" s="12" t="s">
        <v>311</v>
      </c>
      <c r="J61" s="12">
        <v>1</v>
      </c>
      <c r="K61" s="12" t="s">
        <v>356</v>
      </c>
      <c r="L61" s="12" t="s">
        <v>371</v>
      </c>
      <c r="M61" s="12" t="s">
        <v>356</v>
      </c>
      <c r="N61" s="816">
        <v>41586</v>
      </c>
      <c r="O61" s="12"/>
      <c r="P61" s="816" t="s">
        <v>326</v>
      </c>
      <c r="Q61" s="443"/>
    </row>
    <row r="62" ht="30" customHeight="1" spans="2:17">
      <c r="B62" s="863"/>
      <c r="C62" s="852" t="s">
        <v>155</v>
      </c>
      <c r="D62" s="450" t="s">
        <v>156</v>
      </c>
      <c r="E62" s="533" t="s">
        <v>380</v>
      </c>
      <c r="F62" s="533" t="s">
        <v>310</v>
      </c>
      <c r="G62" s="533">
        <v>50</v>
      </c>
      <c r="H62" s="450">
        <v>50</v>
      </c>
      <c r="I62" s="450" t="s">
        <v>381</v>
      </c>
      <c r="J62" s="450">
        <v>1</v>
      </c>
      <c r="K62" s="450" t="s">
        <v>356</v>
      </c>
      <c r="L62" s="450" t="s">
        <v>371</v>
      </c>
      <c r="M62" s="450" t="s">
        <v>356</v>
      </c>
      <c r="N62" s="818">
        <v>44204</v>
      </c>
      <c r="O62" s="450"/>
      <c r="P62" s="818" t="s">
        <v>326</v>
      </c>
      <c r="Q62" s="873"/>
    </row>
    <row r="63" ht="30" customHeight="1" spans="2:17">
      <c r="B63" s="864" t="s">
        <v>15</v>
      </c>
      <c r="C63" s="847" t="s">
        <v>164</v>
      </c>
      <c r="D63" s="807" t="s">
        <v>165</v>
      </c>
      <c r="E63" s="850" t="s">
        <v>368</v>
      </c>
      <c r="F63" s="850" t="s">
        <v>310</v>
      </c>
      <c r="G63" s="850">
        <v>1000</v>
      </c>
      <c r="H63" s="807">
        <v>200</v>
      </c>
      <c r="I63" s="807" t="s">
        <v>381</v>
      </c>
      <c r="J63" s="807">
        <v>8</v>
      </c>
      <c r="K63" s="807" t="s">
        <v>356</v>
      </c>
      <c r="L63" s="807" t="s">
        <v>357</v>
      </c>
      <c r="M63" s="807" t="s">
        <v>356</v>
      </c>
      <c r="N63" s="814">
        <v>38139</v>
      </c>
      <c r="O63" s="807"/>
      <c r="P63" s="814" t="s">
        <v>326</v>
      </c>
      <c r="Q63" s="872"/>
    </row>
    <row r="64" ht="30" customHeight="1" spans="2:17">
      <c r="B64" s="865"/>
      <c r="C64" s="851" t="s">
        <v>168</v>
      </c>
      <c r="D64" s="12" t="s">
        <v>169</v>
      </c>
      <c r="E64" s="11" t="s">
        <v>316</v>
      </c>
      <c r="F64" s="11" t="s">
        <v>310</v>
      </c>
      <c r="G64" s="11">
        <v>1000</v>
      </c>
      <c r="H64" s="12">
        <v>200</v>
      </c>
      <c r="I64" s="12" t="s">
        <v>311</v>
      </c>
      <c r="J64" s="12">
        <v>6</v>
      </c>
      <c r="K64" s="12" t="s">
        <v>356</v>
      </c>
      <c r="L64" s="12" t="s">
        <v>357</v>
      </c>
      <c r="M64" s="12" t="s">
        <v>356</v>
      </c>
      <c r="N64" s="816">
        <v>42965</v>
      </c>
      <c r="O64" s="12"/>
      <c r="P64" s="816" t="s">
        <v>326</v>
      </c>
      <c r="Q64" s="443"/>
    </row>
    <row r="65" ht="30" customHeight="1" spans="2:17">
      <c r="B65" s="865"/>
      <c r="C65" s="851" t="s">
        <v>170</v>
      </c>
      <c r="D65" s="12" t="s">
        <v>171</v>
      </c>
      <c r="E65" s="11" t="s">
        <v>353</v>
      </c>
      <c r="F65" s="11" t="s">
        <v>382</v>
      </c>
      <c r="G65" s="11">
        <v>1000</v>
      </c>
      <c r="H65" s="12">
        <v>200</v>
      </c>
      <c r="I65" s="12" t="s">
        <v>381</v>
      </c>
      <c r="J65" s="12">
        <v>1</v>
      </c>
      <c r="K65" s="12" t="s">
        <v>356</v>
      </c>
      <c r="L65" s="12" t="s">
        <v>357</v>
      </c>
      <c r="M65" s="12" t="s">
        <v>356</v>
      </c>
      <c r="N65" s="816">
        <v>38723</v>
      </c>
      <c r="O65" s="12" t="s">
        <v>281</v>
      </c>
      <c r="P65" s="816" t="s">
        <v>308</v>
      </c>
      <c r="Q65" s="443"/>
    </row>
    <row r="66" ht="30" customHeight="1" spans="2:17">
      <c r="B66" s="865"/>
      <c r="C66" s="851" t="s">
        <v>178</v>
      </c>
      <c r="D66" s="12" t="s">
        <v>179</v>
      </c>
      <c r="E66" s="11" t="s">
        <v>368</v>
      </c>
      <c r="F66" s="11" t="s">
        <v>347</v>
      </c>
      <c r="G66" s="11">
        <v>1000</v>
      </c>
      <c r="H66" s="12">
        <v>200</v>
      </c>
      <c r="I66" s="12" t="s">
        <v>311</v>
      </c>
      <c r="J66" s="12">
        <v>1</v>
      </c>
      <c r="K66" s="12" t="s">
        <v>356</v>
      </c>
      <c r="L66" s="12" t="s">
        <v>357</v>
      </c>
      <c r="M66" s="12" t="s">
        <v>356</v>
      </c>
      <c r="N66" s="816">
        <v>39069</v>
      </c>
      <c r="O66" s="12" t="s">
        <v>281</v>
      </c>
      <c r="P66" s="816" t="s">
        <v>308</v>
      </c>
      <c r="Q66" s="443" t="s">
        <v>281</v>
      </c>
    </row>
    <row r="67" ht="30" customHeight="1" spans="2:17">
      <c r="B67" s="865"/>
      <c r="C67" s="851" t="s">
        <v>180</v>
      </c>
      <c r="D67" s="12" t="s">
        <v>181</v>
      </c>
      <c r="E67" s="11" t="s">
        <v>368</v>
      </c>
      <c r="F67" s="11" t="s">
        <v>347</v>
      </c>
      <c r="G67" s="11">
        <v>1000</v>
      </c>
      <c r="H67" s="12">
        <v>200</v>
      </c>
      <c r="I67" s="12" t="s">
        <v>311</v>
      </c>
      <c r="J67" s="12">
        <v>1</v>
      </c>
      <c r="K67" s="12" t="s">
        <v>356</v>
      </c>
      <c r="L67" s="12" t="s">
        <v>357</v>
      </c>
      <c r="M67" s="12" t="s">
        <v>356</v>
      </c>
      <c r="N67" s="816">
        <v>44116</v>
      </c>
      <c r="O67" s="12" t="s">
        <v>281</v>
      </c>
      <c r="P67" s="816" t="s">
        <v>308</v>
      </c>
      <c r="Q67" s="443" t="s">
        <v>281</v>
      </c>
    </row>
    <row r="68" ht="30" customHeight="1" spans="2:17">
      <c r="B68" s="865"/>
      <c r="C68" s="851" t="s">
        <v>172</v>
      </c>
      <c r="D68" s="12" t="s">
        <v>173</v>
      </c>
      <c r="E68" s="11" t="s">
        <v>329</v>
      </c>
      <c r="F68" s="11" t="s">
        <v>383</v>
      </c>
      <c r="G68" s="11">
        <v>1000</v>
      </c>
      <c r="H68" s="12">
        <v>200</v>
      </c>
      <c r="I68" s="12" t="s">
        <v>311</v>
      </c>
      <c r="J68" s="12">
        <v>1</v>
      </c>
      <c r="K68" s="12" t="s">
        <v>356</v>
      </c>
      <c r="L68" s="12" t="s">
        <v>357</v>
      </c>
      <c r="M68" s="12" t="s">
        <v>356</v>
      </c>
      <c r="N68" s="816">
        <v>41246</v>
      </c>
      <c r="O68" s="12" t="s">
        <v>281</v>
      </c>
      <c r="P68" s="816" t="s">
        <v>328</v>
      </c>
      <c r="Q68" s="443"/>
    </row>
    <row r="69" ht="30" customHeight="1" spans="2:17">
      <c r="B69" s="865"/>
      <c r="C69" s="851" t="s">
        <v>176</v>
      </c>
      <c r="D69" s="12" t="s">
        <v>177</v>
      </c>
      <c r="E69" s="11" t="s">
        <v>309</v>
      </c>
      <c r="F69" s="11" t="s">
        <v>383</v>
      </c>
      <c r="G69" s="11">
        <v>1000</v>
      </c>
      <c r="H69" s="12">
        <v>200</v>
      </c>
      <c r="I69" s="12" t="s">
        <v>311</v>
      </c>
      <c r="J69" s="12">
        <v>1</v>
      </c>
      <c r="K69" s="12" t="s">
        <v>356</v>
      </c>
      <c r="L69" s="12" t="s">
        <v>357</v>
      </c>
      <c r="M69" s="12" t="s">
        <v>356</v>
      </c>
      <c r="N69" s="816">
        <v>40844</v>
      </c>
      <c r="O69" s="12" t="s">
        <v>281</v>
      </c>
      <c r="P69" s="816" t="s">
        <v>308</v>
      </c>
      <c r="Q69" s="443"/>
    </row>
    <row r="70" ht="30" customHeight="1" spans="2:17">
      <c r="B70" s="865"/>
      <c r="C70" s="851" t="s">
        <v>174</v>
      </c>
      <c r="D70" s="12" t="s">
        <v>175</v>
      </c>
      <c r="E70" s="11" t="s">
        <v>329</v>
      </c>
      <c r="F70" s="11" t="s">
        <v>315</v>
      </c>
      <c r="G70" s="322">
        <v>1000</v>
      </c>
      <c r="H70" s="324">
        <v>200</v>
      </c>
      <c r="I70" s="12" t="s">
        <v>311</v>
      </c>
      <c r="J70" s="12">
        <v>1</v>
      </c>
      <c r="K70" s="12" t="s">
        <v>356</v>
      </c>
      <c r="L70" s="12" t="s">
        <v>357</v>
      </c>
      <c r="M70" s="12" t="s">
        <v>356</v>
      </c>
      <c r="N70" s="816">
        <v>43805</v>
      </c>
      <c r="O70" s="12" t="s">
        <v>281</v>
      </c>
      <c r="P70" s="816" t="s">
        <v>328</v>
      </c>
      <c r="Q70" s="443"/>
    </row>
    <row r="71" ht="30" customHeight="1" spans="2:17">
      <c r="B71" s="865"/>
      <c r="C71" s="876" t="s">
        <v>184</v>
      </c>
      <c r="D71" s="877" t="s">
        <v>185</v>
      </c>
      <c r="E71" s="11" t="s">
        <v>309</v>
      </c>
      <c r="F71" s="11" t="s">
        <v>383</v>
      </c>
      <c r="G71" s="11">
        <v>1000</v>
      </c>
      <c r="H71" s="12">
        <v>200</v>
      </c>
      <c r="I71" s="12" t="s">
        <v>384</v>
      </c>
      <c r="J71" s="12">
        <v>1</v>
      </c>
      <c r="K71" s="12" t="s">
        <v>356</v>
      </c>
      <c r="L71" s="12" t="s">
        <v>357</v>
      </c>
      <c r="M71" s="12" t="s">
        <v>356</v>
      </c>
      <c r="N71" s="816">
        <v>41271</v>
      </c>
      <c r="O71" s="12" t="s">
        <v>281</v>
      </c>
      <c r="P71" s="816" t="s">
        <v>323</v>
      </c>
      <c r="Q71" s="443" t="s">
        <v>281</v>
      </c>
    </row>
    <row r="72" ht="30" customHeight="1" spans="2:17">
      <c r="B72" s="865"/>
      <c r="C72" s="851" t="s">
        <v>385</v>
      </c>
      <c r="D72" s="12" t="s">
        <v>183</v>
      </c>
      <c r="E72" s="11" t="s">
        <v>353</v>
      </c>
      <c r="F72" s="11" t="s">
        <v>315</v>
      </c>
      <c r="G72" s="11">
        <v>1000</v>
      </c>
      <c r="H72" s="12">
        <v>200</v>
      </c>
      <c r="I72" s="12" t="s">
        <v>381</v>
      </c>
      <c r="J72" s="12">
        <v>1</v>
      </c>
      <c r="K72" s="12" t="s">
        <v>356</v>
      </c>
      <c r="L72" s="12" t="s">
        <v>357</v>
      </c>
      <c r="M72" s="12" t="s">
        <v>356</v>
      </c>
      <c r="N72" s="816">
        <v>39241</v>
      </c>
      <c r="O72" s="12" t="s">
        <v>281</v>
      </c>
      <c r="P72" s="816" t="s">
        <v>308</v>
      </c>
      <c r="Q72" s="443" t="s">
        <v>281</v>
      </c>
    </row>
    <row r="73" ht="30" customHeight="1" spans="2:17">
      <c r="B73" s="865"/>
      <c r="C73" s="851" t="s">
        <v>192</v>
      </c>
      <c r="D73" s="12" t="s">
        <v>193</v>
      </c>
      <c r="E73" s="11" t="s">
        <v>365</v>
      </c>
      <c r="F73" s="11" t="s">
        <v>386</v>
      </c>
      <c r="G73" s="322">
        <v>50</v>
      </c>
      <c r="H73" s="324">
        <v>10</v>
      </c>
      <c r="I73" s="12" t="s">
        <v>311</v>
      </c>
      <c r="J73" s="12">
        <v>200</v>
      </c>
      <c r="K73" s="12" t="s">
        <v>356</v>
      </c>
      <c r="L73" s="12" t="s">
        <v>387</v>
      </c>
      <c r="M73" s="12" t="s">
        <v>356</v>
      </c>
      <c r="N73" s="816">
        <v>41543</v>
      </c>
      <c r="O73" s="12"/>
      <c r="P73" s="816" t="s">
        <v>326</v>
      </c>
      <c r="Q73" s="443"/>
    </row>
    <row r="74" ht="30" customHeight="1" spans="2:17">
      <c r="B74" s="865"/>
      <c r="C74" s="851" t="s">
        <v>210</v>
      </c>
      <c r="D74" s="12" t="s">
        <v>211</v>
      </c>
      <c r="E74" s="11" t="s">
        <v>388</v>
      </c>
      <c r="F74" s="11" t="s">
        <v>383</v>
      </c>
      <c r="G74" s="322">
        <v>1000</v>
      </c>
      <c r="H74" s="324">
        <v>200</v>
      </c>
      <c r="I74" s="12" t="s">
        <v>381</v>
      </c>
      <c r="J74" s="12">
        <v>1</v>
      </c>
      <c r="K74" s="12" t="s">
        <v>356</v>
      </c>
      <c r="L74" s="12" t="s">
        <v>389</v>
      </c>
      <c r="M74" s="12" t="s">
        <v>356</v>
      </c>
      <c r="N74" s="816">
        <v>37708</v>
      </c>
      <c r="O74" s="12"/>
      <c r="P74" s="816" t="s">
        <v>326</v>
      </c>
      <c r="Q74" s="443"/>
    </row>
    <row r="75" ht="30" customHeight="1" spans="2:17">
      <c r="B75" s="865"/>
      <c r="C75" s="851" t="s">
        <v>198</v>
      </c>
      <c r="D75" s="12" t="s">
        <v>199</v>
      </c>
      <c r="E75" s="11" t="s">
        <v>390</v>
      </c>
      <c r="F75" s="11" t="s">
        <v>315</v>
      </c>
      <c r="G75" s="322">
        <v>1000</v>
      </c>
      <c r="H75" s="324">
        <v>200</v>
      </c>
      <c r="I75" s="12" t="s">
        <v>381</v>
      </c>
      <c r="J75" s="12">
        <v>1</v>
      </c>
      <c r="K75" s="12" t="s">
        <v>356</v>
      </c>
      <c r="L75" s="12" t="s">
        <v>389</v>
      </c>
      <c r="M75" s="12" t="s">
        <v>356</v>
      </c>
      <c r="N75" s="816">
        <v>40925</v>
      </c>
      <c r="O75" s="12"/>
      <c r="P75" s="816" t="s">
        <v>326</v>
      </c>
      <c r="Q75" s="443"/>
    </row>
    <row r="76" ht="30" customHeight="1" spans="2:17">
      <c r="B76" s="865"/>
      <c r="C76" s="851" t="s">
        <v>218</v>
      </c>
      <c r="D76" s="12" t="s">
        <v>219</v>
      </c>
      <c r="E76" s="11" t="s">
        <v>391</v>
      </c>
      <c r="F76" s="458" t="s">
        <v>383</v>
      </c>
      <c r="G76" s="322">
        <v>1000</v>
      </c>
      <c r="H76" s="322">
        <v>200</v>
      </c>
      <c r="I76" s="11" t="s">
        <v>381</v>
      </c>
      <c r="J76" s="11">
        <v>1</v>
      </c>
      <c r="K76" s="11" t="s">
        <v>356</v>
      </c>
      <c r="L76" s="11" t="s">
        <v>389</v>
      </c>
      <c r="M76" s="11" t="s">
        <v>356</v>
      </c>
      <c r="N76" s="816">
        <v>39923</v>
      </c>
      <c r="O76" s="12"/>
      <c r="P76" s="816" t="s">
        <v>326</v>
      </c>
      <c r="Q76" s="443"/>
    </row>
    <row r="77" ht="30" customHeight="1" spans="2:17">
      <c r="B77" s="865"/>
      <c r="C77" s="851" t="s">
        <v>216</v>
      </c>
      <c r="D77" s="12" t="s">
        <v>217</v>
      </c>
      <c r="E77" s="11" t="s">
        <v>391</v>
      </c>
      <c r="F77" s="458" t="s">
        <v>383</v>
      </c>
      <c r="G77" s="322">
        <v>1000</v>
      </c>
      <c r="H77" s="322">
        <v>200</v>
      </c>
      <c r="I77" s="11" t="s">
        <v>381</v>
      </c>
      <c r="J77" s="11">
        <v>1</v>
      </c>
      <c r="K77" s="11" t="s">
        <v>356</v>
      </c>
      <c r="L77" s="11" t="s">
        <v>389</v>
      </c>
      <c r="M77" s="11" t="s">
        <v>356</v>
      </c>
      <c r="N77" s="816">
        <v>41828</v>
      </c>
      <c r="O77" s="12"/>
      <c r="P77" s="816" t="s">
        <v>326</v>
      </c>
      <c r="Q77" s="443"/>
    </row>
    <row r="78" ht="30" customHeight="1" spans="2:17">
      <c r="B78" s="865"/>
      <c r="C78" s="851" t="s">
        <v>200</v>
      </c>
      <c r="D78" s="12" t="s">
        <v>201</v>
      </c>
      <c r="E78" s="11" t="s">
        <v>391</v>
      </c>
      <c r="F78" s="458" t="s">
        <v>383</v>
      </c>
      <c r="G78" s="322">
        <v>1000</v>
      </c>
      <c r="H78" s="322">
        <v>200</v>
      </c>
      <c r="I78" s="11" t="s">
        <v>381</v>
      </c>
      <c r="J78" s="11">
        <v>1</v>
      </c>
      <c r="K78" s="11" t="s">
        <v>356</v>
      </c>
      <c r="L78" s="11" t="s">
        <v>389</v>
      </c>
      <c r="M78" s="12" t="s">
        <v>356</v>
      </c>
      <c r="N78" s="816">
        <v>41596</v>
      </c>
      <c r="O78" s="12"/>
      <c r="P78" s="816" t="s">
        <v>326</v>
      </c>
      <c r="Q78" s="443"/>
    </row>
    <row r="79" ht="30" customHeight="1" spans="2:17">
      <c r="B79" s="865"/>
      <c r="C79" s="851" t="s">
        <v>204</v>
      </c>
      <c r="D79" s="12" t="s">
        <v>205</v>
      </c>
      <c r="E79" s="11" t="s">
        <v>309</v>
      </c>
      <c r="F79" s="11" t="s">
        <v>315</v>
      </c>
      <c r="G79" s="11">
        <v>1000</v>
      </c>
      <c r="H79" s="11">
        <v>200</v>
      </c>
      <c r="I79" s="11" t="s">
        <v>392</v>
      </c>
      <c r="J79" s="11">
        <v>2</v>
      </c>
      <c r="K79" s="11" t="s">
        <v>356</v>
      </c>
      <c r="L79" s="11" t="s">
        <v>389</v>
      </c>
      <c r="M79" s="12" t="s">
        <v>356</v>
      </c>
      <c r="N79" s="816">
        <v>43091</v>
      </c>
      <c r="O79" s="12"/>
      <c r="P79" s="816" t="s">
        <v>326</v>
      </c>
      <c r="Q79" s="443"/>
    </row>
    <row r="80" ht="30" customHeight="1" spans="2:17">
      <c r="B80" s="865"/>
      <c r="C80" s="851" t="s">
        <v>208</v>
      </c>
      <c r="D80" s="12" t="s">
        <v>209</v>
      </c>
      <c r="E80" s="11" t="s">
        <v>316</v>
      </c>
      <c r="F80" s="11" t="s">
        <v>310</v>
      </c>
      <c r="G80" s="11">
        <v>100</v>
      </c>
      <c r="H80" s="11">
        <v>20</v>
      </c>
      <c r="I80" s="11" t="s">
        <v>393</v>
      </c>
      <c r="J80" s="11">
        <v>1</v>
      </c>
      <c r="K80" s="11" t="s">
        <v>356</v>
      </c>
      <c r="L80" s="11" t="s">
        <v>389</v>
      </c>
      <c r="M80" s="12" t="s">
        <v>356</v>
      </c>
      <c r="N80" s="816">
        <v>43585</v>
      </c>
      <c r="O80" s="12"/>
      <c r="P80" s="816" t="s">
        <v>326</v>
      </c>
      <c r="Q80" s="443"/>
    </row>
    <row r="81" ht="30" customHeight="1" spans="2:17">
      <c r="B81" s="865"/>
      <c r="C81" s="851" t="s">
        <v>212</v>
      </c>
      <c r="D81" s="12" t="s">
        <v>213</v>
      </c>
      <c r="E81" s="11" t="s">
        <v>329</v>
      </c>
      <c r="F81" s="11" t="s">
        <v>315</v>
      </c>
      <c r="G81" s="324">
        <v>1000</v>
      </c>
      <c r="H81" s="324">
        <v>200</v>
      </c>
      <c r="I81" s="11" t="s">
        <v>311</v>
      </c>
      <c r="J81" s="11">
        <v>1</v>
      </c>
      <c r="K81" s="11" t="s">
        <v>356</v>
      </c>
      <c r="L81" s="11" t="s">
        <v>389</v>
      </c>
      <c r="M81" s="12" t="s">
        <v>356</v>
      </c>
      <c r="N81" s="816">
        <v>43686</v>
      </c>
      <c r="O81" s="12"/>
      <c r="P81" s="816" t="s">
        <v>326</v>
      </c>
      <c r="Q81" s="443"/>
    </row>
    <row r="82" ht="30" customHeight="1" spans="2:17">
      <c r="B82" s="865"/>
      <c r="C82" s="851" t="s">
        <v>214</v>
      </c>
      <c r="D82" s="12" t="s">
        <v>215</v>
      </c>
      <c r="E82" s="11" t="s">
        <v>316</v>
      </c>
      <c r="F82" s="11" t="s">
        <v>347</v>
      </c>
      <c r="G82" s="11">
        <v>1000</v>
      </c>
      <c r="H82" s="11">
        <v>200</v>
      </c>
      <c r="I82" s="11" t="s">
        <v>392</v>
      </c>
      <c r="J82" s="11">
        <v>1</v>
      </c>
      <c r="K82" s="11" t="s">
        <v>356</v>
      </c>
      <c r="L82" s="11" t="s">
        <v>389</v>
      </c>
      <c r="M82" s="12" t="s">
        <v>356</v>
      </c>
      <c r="N82" s="816">
        <v>44228</v>
      </c>
      <c r="O82" s="12" t="s">
        <v>281</v>
      </c>
      <c r="P82" s="816" t="s">
        <v>323</v>
      </c>
      <c r="Q82" s="443" t="s">
        <v>281</v>
      </c>
    </row>
    <row r="83" ht="30" customHeight="1" spans="2:17">
      <c r="B83" s="865"/>
      <c r="C83" s="851" t="s">
        <v>206</v>
      </c>
      <c r="D83" s="12" t="s">
        <v>207</v>
      </c>
      <c r="E83" s="11" t="s">
        <v>309</v>
      </c>
      <c r="F83" s="11" t="s">
        <v>383</v>
      </c>
      <c r="G83" s="11">
        <v>1000</v>
      </c>
      <c r="H83" s="11">
        <v>200</v>
      </c>
      <c r="I83" s="11" t="s">
        <v>394</v>
      </c>
      <c r="J83" s="11">
        <v>1</v>
      </c>
      <c r="K83" s="11" t="s">
        <v>356</v>
      </c>
      <c r="L83" s="11" t="s">
        <v>389</v>
      </c>
      <c r="M83" s="12" t="s">
        <v>356</v>
      </c>
      <c r="N83" s="816">
        <v>41271</v>
      </c>
      <c r="O83" s="12"/>
      <c r="P83" s="816" t="s">
        <v>326</v>
      </c>
      <c r="Q83" s="443"/>
    </row>
    <row r="84" ht="30" customHeight="1" spans="2:17">
      <c r="B84" s="865"/>
      <c r="C84" s="851" t="s">
        <v>196</v>
      </c>
      <c r="D84" s="12" t="s">
        <v>197</v>
      </c>
      <c r="E84" s="11" t="s">
        <v>316</v>
      </c>
      <c r="F84" s="11" t="s">
        <v>347</v>
      </c>
      <c r="G84" s="11">
        <v>1000</v>
      </c>
      <c r="H84" s="11">
        <v>200</v>
      </c>
      <c r="I84" s="11" t="s">
        <v>311</v>
      </c>
      <c r="J84" s="11">
        <v>1</v>
      </c>
      <c r="K84" s="11" t="s">
        <v>356</v>
      </c>
      <c r="L84" s="11" t="s">
        <v>389</v>
      </c>
      <c r="M84" s="12" t="s">
        <v>356</v>
      </c>
      <c r="N84" s="816">
        <v>41859</v>
      </c>
      <c r="O84" s="12" t="s">
        <v>281</v>
      </c>
      <c r="P84" s="816" t="s">
        <v>323</v>
      </c>
      <c r="Q84" s="443"/>
    </row>
    <row r="85" ht="30" customHeight="1" spans="2:17">
      <c r="B85" s="865"/>
      <c r="C85" s="851" t="s">
        <v>202</v>
      </c>
      <c r="D85" s="12" t="s">
        <v>203</v>
      </c>
      <c r="E85" s="11" t="s">
        <v>316</v>
      </c>
      <c r="F85" s="11" t="s">
        <v>347</v>
      </c>
      <c r="G85" s="11">
        <v>1000</v>
      </c>
      <c r="H85" s="11">
        <v>200</v>
      </c>
      <c r="I85" s="11" t="s">
        <v>311</v>
      </c>
      <c r="J85" s="11">
        <v>1</v>
      </c>
      <c r="K85" s="11" t="s">
        <v>356</v>
      </c>
      <c r="L85" s="11" t="s">
        <v>389</v>
      </c>
      <c r="M85" s="12" t="s">
        <v>356</v>
      </c>
      <c r="N85" s="816">
        <v>41859</v>
      </c>
      <c r="O85" s="12" t="s">
        <v>281</v>
      </c>
      <c r="P85" s="816" t="s">
        <v>328</v>
      </c>
      <c r="Q85" s="443"/>
    </row>
    <row r="86" ht="30" customHeight="1" spans="2:17">
      <c r="B86" s="865"/>
      <c r="C86" s="851" t="s">
        <v>186</v>
      </c>
      <c r="D86" s="12" t="s">
        <v>187</v>
      </c>
      <c r="E86" s="11" t="s">
        <v>316</v>
      </c>
      <c r="F86" s="11" t="s">
        <v>347</v>
      </c>
      <c r="G86" s="11">
        <v>1000</v>
      </c>
      <c r="H86" s="11">
        <v>200</v>
      </c>
      <c r="I86" s="11" t="s">
        <v>311</v>
      </c>
      <c r="J86" s="11">
        <v>1</v>
      </c>
      <c r="K86" s="11" t="s">
        <v>356</v>
      </c>
      <c r="L86" s="11" t="s">
        <v>389</v>
      </c>
      <c r="M86" s="12" t="s">
        <v>356</v>
      </c>
      <c r="N86" s="816">
        <v>45184</v>
      </c>
      <c r="O86" s="12" t="s">
        <v>281</v>
      </c>
      <c r="P86" s="816" t="s">
        <v>323</v>
      </c>
      <c r="Q86" s="443" t="s">
        <v>281</v>
      </c>
    </row>
    <row r="87" ht="30" customHeight="1" spans="2:17">
      <c r="B87" s="865"/>
      <c r="C87" s="851" t="s">
        <v>188</v>
      </c>
      <c r="D87" s="12" t="s">
        <v>189</v>
      </c>
      <c r="E87" s="11" t="s">
        <v>378</v>
      </c>
      <c r="F87" s="11" t="s">
        <v>315</v>
      </c>
      <c r="G87" s="11">
        <v>1000</v>
      </c>
      <c r="H87" s="11">
        <v>200</v>
      </c>
      <c r="I87" s="11" t="s">
        <v>311</v>
      </c>
      <c r="J87" s="11">
        <v>1</v>
      </c>
      <c r="K87" s="11" t="s">
        <v>356</v>
      </c>
      <c r="L87" s="11" t="s">
        <v>389</v>
      </c>
      <c r="M87" s="12" t="s">
        <v>356</v>
      </c>
      <c r="N87" s="816">
        <v>45184</v>
      </c>
      <c r="O87" s="12"/>
      <c r="P87" s="816" t="s">
        <v>326</v>
      </c>
      <c r="Q87" s="443"/>
    </row>
    <row r="88" s="419" customFormat="1" ht="30" customHeight="1" spans="1:28">
      <c r="A88" s="776"/>
      <c r="B88" s="865"/>
      <c r="C88" s="859" t="s">
        <v>190</v>
      </c>
      <c r="D88" s="12" t="s">
        <v>191</v>
      </c>
      <c r="E88" s="12" t="s">
        <v>395</v>
      </c>
      <c r="F88" s="12" t="s">
        <v>347</v>
      </c>
      <c r="G88" s="12">
        <v>1000</v>
      </c>
      <c r="H88" s="12">
        <v>200</v>
      </c>
      <c r="I88" s="12" t="s">
        <v>311</v>
      </c>
      <c r="J88" s="12">
        <v>1</v>
      </c>
      <c r="K88" s="12" t="s">
        <v>356</v>
      </c>
      <c r="L88" s="12" t="s">
        <v>389</v>
      </c>
      <c r="M88" s="12" t="s">
        <v>356</v>
      </c>
      <c r="N88" s="816">
        <v>45534</v>
      </c>
      <c r="O88" s="12" t="s">
        <v>281</v>
      </c>
      <c r="P88" s="816" t="s">
        <v>323</v>
      </c>
      <c r="Q88" s="443" t="s">
        <v>281</v>
      </c>
      <c r="R88" s="776"/>
      <c r="S88" s="776"/>
      <c r="T88" s="776"/>
      <c r="U88" s="776"/>
      <c r="V88" s="776"/>
      <c r="W88" s="776"/>
      <c r="X88" s="776"/>
      <c r="Y88" s="776"/>
      <c r="Z88" s="776"/>
      <c r="AA88" s="776"/>
      <c r="AB88" s="776"/>
    </row>
    <row r="89" s="418" customFormat="1" ht="30" customHeight="1" spans="1:28">
      <c r="A89" s="777"/>
      <c r="B89" s="878"/>
      <c r="C89" s="513" t="s">
        <v>194</v>
      </c>
      <c r="D89" s="450" t="s">
        <v>195</v>
      </c>
      <c r="E89" s="450" t="s">
        <v>329</v>
      </c>
      <c r="F89" s="450" t="s">
        <v>315</v>
      </c>
      <c r="G89" s="450">
        <v>1000</v>
      </c>
      <c r="H89" s="450">
        <v>200</v>
      </c>
      <c r="I89" s="450" t="s">
        <v>311</v>
      </c>
      <c r="J89" s="450">
        <v>1</v>
      </c>
      <c r="K89" s="450" t="s">
        <v>356</v>
      </c>
      <c r="L89" s="450" t="s">
        <v>389</v>
      </c>
      <c r="M89" s="450" t="s">
        <v>356</v>
      </c>
      <c r="N89" s="818">
        <v>45860</v>
      </c>
      <c r="O89" s="450"/>
      <c r="P89" s="818" t="s">
        <v>326</v>
      </c>
      <c r="Q89" s="873"/>
      <c r="R89" s="777"/>
      <c r="S89" s="777"/>
      <c r="T89" s="777"/>
      <c r="U89" s="777"/>
      <c r="V89" s="777"/>
      <c r="W89" s="777"/>
      <c r="X89" s="777"/>
      <c r="Y89" s="777"/>
      <c r="Z89" s="777"/>
      <c r="AA89" s="777"/>
      <c r="AB89" s="777"/>
    </row>
    <row r="90" ht="30" customHeight="1" spans="2:17">
      <c r="B90" s="879" t="s">
        <v>18</v>
      </c>
      <c r="C90" s="847" t="s">
        <v>221</v>
      </c>
      <c r="D90" s="807" t="s">
        <v>222</v>
      </c>
      <c r="E90" s="850" t="s">
        <v>316</v>
      </c>
      <c r="F90" s="850" t="s">
        <v>310</v>
      </c>
      <c r="G90" s="850">
        <v>1000</v>
      </c>
      <c r="H90" s="850">
        <v>1000</v>
      </c>
      <c r="I90" s="807" t="s">
        <v>311</v>
      </c>
      <c r="J90" s="850">
        <v>1</v>
      </c>
      <c r="K90" s="850" t="s">
        <v>356</v>
      </c>
      <c r="L90" s="850" t="s">
        <v>396</v>
      </c>
      <c r="M90" s="807" t="s">
        <v>356</v>
      </c>
      <c r="N90" s="814">
        <v>44917</v>
      </c>
      <c r="O90" s="807" t="s">
        <v>281</v>
      </c>
      <c r="P90" s="814" t="s">
        <v>323</v>
      </c>
      <c r="Q90" s="872"/>
    </row>
    <row r="91" ht="30" customHeight="1" spans="2:17">
      <c r="B91" s="880"/>
      <c r="C91" s="851" t="s">
        <v>223</v>
      </c>
      <c r="D91" s="12" t="s">
        <v>224</v>
      </c>
      <c r="E91" s="11" t="s">
        <v>332</v>
      </c>
      <c r="F91" s="12" t="s">
        <v>397</v>
      </c>
      <c r="G91" s="11">
        <v>1000</v>
      </c>
      <c r="H91" s="11">
        <v>1000</v>
      </c>
      <c r="I91" s="11" t="s">
        <v>311</v>
      </c>
      <c r="J91" s="11">
        <v>1</v>
      </c>
      <c r="K91" s="11" t="s">
        <v>356</v>
      </c>
      <c r="L91" s="11" t="s">
        <v>396</v>
      </c>
      <c r="M91" s="11" t="s">
        <v>356</v>
      </c>
      <c r="N91" s="816">
        <v>45128</v>
      </c>
      <c r="O91" s="12" t="s">
        <v>281</v>
      </c>
      <c r="P91" s="816" t="s">
        <v>323</v>
      </c>
      <c r="Q91" s="885" t="s">
        <v>281</v>
      </c>
    </row>
    <row r="92" ht="30" customHeight="1" spans="2:17">
      <c r="B92" s="880"/>
      <c r="C92" s="881" t="s">
        <v>225</v>
      </c>
      <c r="D92" s="492" t="s">
        <v>226</v>
      </c>
      <c r="E92" s="492" t="s">
        <v>398</v>
      </c>
      <c r="F92" s="492" t="s">
        <v>310</v>
      </c>
      <c r="G92" s="492">
        <v>1000</v>
      </c>
      <c r="H92" s="492">
        <v>1000</v>
      </c>
      <c r="I92" s="492" t="s">
        <v>311</v>
      </c>
      <c r="J92" s="492">
        <v>10</v>
      </c>
      <c r="K92" s="492" t="s">
        <v>356</v>
      </c>
      <c r="L92" s="492" t="s">
        <v>396</v>
      </c>
      <c r="M92" s="492" t="s">
        <v>356</v>
      </c>
      <c r="N92" s="839">
        <v>45652</v>
      </c>
      <c r="O92" s="492" t="s">
        <v>281</v>
      </c>
      <c r="P92" s="816" t="s">
        <v>323</v>
      </c>
      <c r="Q92" s="885"/>
    </row>
    <row r="93" ht="30" customHeight="1" spans="2:17">
      <c r="B93" s="880"/>
      <c r="C93" s="881" t="s">
        <v>227</v>
      </c>
      <c r="D93" s="492" t="s">
        <v>228</v>
      </c>
      <c r="E93" s="492" t="s">
        <v>399</v>
      </c>
      <c r="F93" s="492" t="s">
        <v>400</v>
      </c>
      <c r="G93" s="492">
        <v>1000</v>
      </c>
      <c r="H93" s="492">
        <v>1000</v>
      </c>
      <c r="I93" s="492" t="s">
        <v>401</v>
      </c>
      <c r="J93" s="492">
        <v>1</v>
      </c>
      <c r="K93" s="492" t="s">
        <v>356</v>
      </c>
      <c r="L93" s="492" t="s">
        <v>396</v>
      </c>
      <c r="M93" s="492" t="s">
        <v>356</v>
      </c>
      <c r="N93" s="839">
        <v>45988</v>
      </c>
      <c r="O93" s="492"/>
      <c r="P93" s="816" t="s">
        <v>326</v>
      </c>
      <c r="Q93" s="885"/>
    </row>
    <row r="94" ht="30" customHeight="1" spans="2:17">
      <c r="B94" s="882"/>
      <c r="C94" s="513" t="s">
        <v>229</v>
      </c>
      <c r="D94" s="450" t="s">
        <v>230</v>
      </c>
      <c r="E94" s="450" t="s">
        <v>399</v>
      </c>
      <c r="F94" s="450" t="s">
        <v>400</v>
      </c>
      <c r="G94" s="450">
        <v>1000</v>
      </c>
      <c r="H94" s="450">
        <v>1000</v>
      </c>
      <c r="I94" s="450" t="s">
        <v>401</v>
      </c>
      <c r="J94" s="450">
        <v>1</v>
      </c>
      <c r="K94" s="450" t="s">
        <v>356</v>
      </c>
      <c r="L94" s="450" t="s">
        <v>396</v>
      </c>
      <c r="M94" s="450" t="s">
        <v>356</v>
      </c>
      <c r="N94" s="818">
        <v>45988</v>
      </c>
      <c r="O94" s="450"/>
      <c r="P94" s="818" t="s">
        <v>326</v>
      </c>
      <c r="Q94" s="873"/>
    </row>
    <row r="95" ht="75" customHeight="1" spans="2:17">
      <c r="B95" s="883" t="s">
        <v>402</v>
      </c>
      <c r="C95" s="884"/>
      <c r="D95" s="884"/>
      <c r="E95" s="884"/>
      <c r="F95" s="884"/>
      <c r="G95" s="884"/>
      <c r="H95" s="884"/>
      <c r="I95" s="884"/>
      <c r="J95" s="884"/>
      <c r="K95" s="884"/>
      <c r="L95" s="884"/>
      <c r="M95" s="884"/>
      <c r="N95" s="884"/>
      <c r="O95" s="884"/>
      <c r="P95" s="884"/>
      <c r="Q95" s="886"/>
    </row>
  </sheetData>
  <mergeCells count="9">
    <mergeCell ref="A1:C1"/>
    <mergeCell ref="B2:Q2"/>
    <mergeCell ref="B95:Q95"/>
    <mergeCell ref="B4:B11"/>
    <mergeCell ref="B12:B16"/>
    <mergeCell ref="B17:B36"/>
    <mergeCell ref="B37:B62"/>
    <mergeCell ref="B63:B89"/>
    <mergeCell ref="B90:B94"/>
  </mergeCells>
  <hyperlinks>
    <hyperlink ref="A1" location="'目录'!A1" display="点此返回目录"/>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V224"/>
  <sheetViews>
    <sheetView workbookViewId="0">
      <pane xSplit="5" ySplit="3" topLeftCell="F4" activePane="bottomRight" state="frozen"/>
      <selection/>
      <selection pane="topRight"/>
      <selection pane="bottomLeft"/>
      <selection pane="bottomRight" activeCell="A1" sqref="A1:C1"/>
    </sheetView>
  </sheetViews>
  <sheetFormatPr defaultColWidth="9" defaultRowHeight="16.5"/>
  <cols>
    <col min="1" max="1" width="3.63333333333333" style="20" customWidth="1"/>
    <col min="2" max="2" width="9" style="20"/>
    <col min="3" max="3" width="21.3833333333333" style="20" customWidth="1"/>
    <col min="4" max="4" width="18.25" style="20" customWidth="1"/>
    <col min="5" max="5" width="19.3833333333333" style="20" customWidth="1"/>
    <col min="6" max="6" width="13.5" style="20" customWidth="1"/>
    <col min="7" max="7" width="24.5" style="20" customWidth="1"/>
    <col min="8" max="8" width="36.3833333333333" style="20" customWidth="1"/>
    <col min="9" max="9" width="16.6333333333333" style="20" customWidth="1"/>
    <col min="10" max="10" width="9.63333333333333" style="20" customWidth="1"/>
    <col min="11" max="11" width="9.75" style="20" customWidth="1"/>
    <col min="12" max="12" width="24.3833333333333" style="20" customWidth="1"/>
    <col min="13" max="13" width="13.3833333333333" style="20" customWidth="1"/>
    <col min="14" max="14" width="70.3833333333333" style="20" customWidth="1"/>
    <col min="15" max="15" width="26.75" style="20" customWidth="1"/>
    <col min="16" max="16" width="9.88333333333333" style="20" customWidth="1"/>
    <col min="17" max="17" width="8.13333333333333" style="20" customWidth="1"/>
    <col min="18" max="18" width="8.88333333333333" style="20" customWidth="1"/>
    <col min="19" max="19" width="14.25" style="778" customWidth="1"/>
    <col min="20" max="21" width="13.6333333333333" style="777" customWidth="1"/>
    <col min="22" max="22" width="10.75" style="777" customWidth="1"/>
    <col min="23" max="28" width="9" style="20"/>
  </cols>
  <sheetData>
    <row r="1" ht="26.25" customHeight="1" spans="1:4">
      <c r="A1" s="21" t="s">
        <v>33</v>
      </c>
      <c r="B1" s="21"/>
      <c r="C1" s="21"/>
      <c r="D1" s="21"/>
    </row>
    <row r="2" ht="48.95" customHeight="1" spans="2:22">
      <c r="B2" s="779" t="s">
        <v>403</v>
      </c>
      <c r="C2" s="780"/>
      <c r="D2" s="780"/>
      <c r="E2" s="780"/>
      <c r="F2" s="780"/>
      <c r="G2" s="780"/>
      <c r="H2" s="780"/>
      <c r="I2" s="780"/>
      <c r="J2" s="780"/>
      <c r="K2" s="780"/>
      <c r="L2" s="780"/>
      <c r="M2" s="780"/>
      <c r="N2" s="780"/>
      <c r="O2" s="780"/>
      <c r="P2" s="780"/>
      <c r="Q2" s="780"/>
      <c r="R2" s="780"/>
      <c r="S2" s="808"/>
      <c r="T2" s="809"/>
      <c r="U2" s="809"/>
      <c r="V2" s="810"/>
    </row>
    <row r="3" ht="45.75" spans="2:22">
      <c r="B3" s="781" t="s">
        <v>35</v>
      </c>
      <c r="C3" s="782" t="s">
        <v>36</v>
      </c>
      <c r="D3" s="783" t="s">
        <v>37</v>
      </c>
      <c r="E3" s="783" t="s">
        <v>404</v>
      </c>
      <c r="F3" s="783" t="s">
        <v>405</v>
      </c>
      <c r="G3" s="783" t="s">
        <v>406</v>
      </c>
      <c r="H3" s="783" t="s">
        <v>407</v>
      </c>
      <c r="I3" s="783" t="s">
        <v>408</v>
      </c>
      <c r="J3" s="783" t="s">
        <v>409</v>
      </c>
      <c r="K3" s="783" t="s">
        <v>263</v>
      </c>
      <c r="L3" s="783" t="s">
        <v>264</v>
      </c>
      <c r="M3" s="783" t="s">
        <v>265</v>
      </c>
      <c r="N3" s="783" t="s">
        <v>266</v>
      </c>
      <c r="O3" s="783" t="s">
        <v>269</v>
      </c>
      <c r="P3" s="783" t="s">
        <v>410</v>
      </c>
      <c r="Q3" s="811" t="s">
        <v>411</v>
      </c>
      <c r="R3" s="811" t="s">
        <v>412</v>
      </c>
      <c r="S3" s="812" t="s">
        <v>271</v>
      </c>
      <c r="T3" s="811" t="s">
        <v>40</v>
      </c>
      <c r="U3" s="811" t="s">
        <v>272</v>
      </c>
      <c r="V3" s="813" t="s">
        <v>41</v>
      </c>
    </row>
    <row r="4" s="20" customFormat="1" ht="38.1" customHeight="1" spans="2:22">
      <c r="B4" s="784" t="s">
        <v>231</v>
      </c>
      <c r="C4" s="785" t="s">
        <v>413</v>
      </c>
      <c r="D4" s="786" t="s">
        <v>252</v>
      </c>
      <c r="E4" s="786" t="s">
        <v>414</v>
      </c>
      <c r="F4" s="786" t="s">
        <v>280</v>
      </c>
      <c r="G4" s="786" t="s">
        <v>415</v>
      </c>
      <c r="H4" s="787" t="s">
        <v>416</v>
      </c>
      <c r="I4" s="786" t="s">
        <v>417</v>
      </c>
      <c r="J4" s="807">
        <v>100</v>
      </c>
      <c r="K4" s="786" t="s">
        <v>275</v>
      </c>
      <c r="L4" s="807">
        <v>20</v>
      </c>
      <c r="M4" s="807" t="s">
        <v>418</v>
      </c>
      <c r="N4" s="786" t="s">
        <v>419</v>
      </c>
      <c r="O4" s="786" t="s">
        <v>420</v>
      </c>
      <c r="P4" s="786" t="s">
        <v>421</v>
      </c>
      <c r="Q4" s="807" t="s">
        <v>422</v>
      </c>
      <c r="R4" s="807" t="s">
        <v>423</v>
      </c>
      <c r="S4" s="814">
        <v>43822</v>
      </c>
      <c r="T4" s="786" t="s">
        <v>281</v>
      </c>
      <c r="U4" s="786" t="s">
        <v>308</v>
      </c>
      <c r="V4" s="815"/>
    </row>
    <row r="5" s="20" customFormat="1" ht="38.1" customHeight="1" spans="2:22">
      <c r="B5" s="788"/>
      <c r="C5" s="789" t="s">
        <v>424</v>
      </c>
      <c r="D5" s="628" t="s">
        <v>256</v>
      </c>
      <c r="E5" s="628" t="s">
        <v>425</v>
      </c>
      <c r="F5" s="628" t="s">
        <v>280</v>
      </c>
      <c r="G5" s="628"/>
      <c r="H5" s="790"/>
      <c r="I5" s="628"/>
      <c r="J5" s="12">
        <v>100</v>
      </c>
      <c r="K5" s="628" t="s">
        <v>275</v>
      </c>
      <c r="L5" s="12">
        <v>20</v>
      </c>
      <c r="M5" s="12" t="s">
        <v>418</v>
      </c>
      <c r="N5" s="628" t="s">
        <v>419</v>
      </c>
      <c r="O5" s="628"/>
      <c r="P5" s="628"/>
      <c r="Q5" s="12"/>
      <c r="R5" s="12"/>
      <c r="S5" s="816">
        <v>44764</v>
      </c>
      <c r="T5" s="628" t="s">
        <v>281</v>
      </c>
      <c r="U5" s="628" t="s">
        <v>308</v>
      </c>
      <c r="V5" s="817"/>
    </row>
    <row r="6" s="20" customFormat="1" ht="38.1" customHeight="1" spans="2:22">
      <c r="B6" s="791"/>
      <c r="C6" s="792" t="s">
        <v>426</v>
      </c>
      <c r="D6" s="681" t="s">
        <v>258</v>
      </c>
      <c r="E6" s="681" t="s">
        <v>427</v>
      </c>
      <c r="F6" s="681" t="s">
        <v>280</v>
      </c>
      <c r="G6" s="681"/>
      <c r="H6" s="793"/>
      <c r="I6" s="681"/>
      <c r="J6" s="450">
        <v>100</v>
      </c>
      <c r="K6" s="681" t="s">
        <v>275</v>
      </c>
      <c r="L6" s="450">
        <v>20</v>
      </c>
      <c r="M6" s="450" t="s">
        <v>418</v>
      </c>
      <c r="N6" s="681" t="s">
        <v>419</v>
      </c>
      <c r="O6" s="681"/>
      <c r="P6" s="681"/>
      <c r="Q6" s="450"/>
      <c r="R6" s="450"/>
      <c r="S6" s="818">
        <v>44914</v>
      </c>
      <c r="T6" s="681" t="s">
        <v>281</v>
      </c>
      <c r="U6" s="681" t="s">
        <v>428</v>
      </c>
      <c r="V6" s="819"/>
    </row>
    <row r="7" s="20" customFormat="1" ht="42.95" customHeight="1" spans="2:22">
      <c r="B7" s="794" t="s">
        <v>96</v>
      </c>
      <c r="C7" s="785" t="s">
        <v>429</v>
      </c>
      <c r="D7" s="786" t="s">
        <v>430</v>
      </c>
      <c r="E7" s="786" t="s">
        <v>431</v>
      </c>
      <c r="F7" s="786" t="s">
        <v>432</v>
      </c>
      <c r="G7" s="786" t="s">
        <v>433</v>
      </c>
      <c r="H7" s="786" t="s">
        <v>434</v>
      </c>
      <c r="I7" s="786" t="s">
        <v>435</v>
      </c>
      <c r="J7" s="786" t="s">
        <v>303</v>
      </c>
      <c r="K7" s="786" t="s">
        <v>436</v>
      </c>
      <c r="L7" s="807">
        <v>100</v>
      </c>
      <c r="M7" s="12">
        <v>30</v>
      </c>
      <c r="N7" s="786" t="s">
        <v>437</v>
      </c>
      <c r="O7" s="786" t="s">
        <v>438</v>
      </c>
      <c r="P7" s="786" t="s">
        <v>421</v>
      </c>
      <c r="Q7" s="807" t="s">
        <v>439</v>
      </c>
      <c r="R7" s="807" t="s">
        <v>440</v>
      </c>
      <c r="S7" s="814">
        <v>44368</v>
      </c>
      <c r="T7" s="786" t="s">
        <v>281</v>
      </c>
      <c r="U7" s="786" t="s">
        <v>308</v>
      </c>
      <c r="V7" s="815" t="s">
        <v>281</v>
      </c>
    </row>
    <row r="8" s="20" customFormat="1" ht="42.95" customHeight="1" spans="2:22">
      <c r="B8" s="795"/>
      <c r="C8" s="789" t="s">
        <v>441</v>
      </c>
      <c r="D8" s="628" t="s">
        <v>442</v>
      </c>
      <c r="E8" s="628" t="s">
        <v>443</v>
      </c>
      <c r="F8" s="628" t="s">
        <v>444</v>
      </c>
      <c r="G8" s="628"/>
      <c r="H8" s="628"/>
      <c r="I8" s="628"/>
      <c r="J8" s="628" t="s">
        <v>309</v>
      </c>
      <c r="K8" s="628" t="s">
        <v>315</v>
      </c>
      <c r="L8" s="12">
        <v>100</v>
      </c>
      <c r="M8" s="12">
        <v>30</v>
      </c>
      <c r="N8" s="628" t="s">
        <v>445</v>
      </c>
      <c r="O8" s="628" t="s">
        <v>446</v>
      </c>
      <c r="P8" s="628" t="s">
        <v>421</v>
      </c>
      <c r="Q8" s="12" t="s">
        <v>439</v>
      </c>
      <c r="R8" s="12" t="s">
        <v>440</v>
      </c>
      <c r="S8" s="816">
        <v>46134</v>
      </c>
      <c r="T8" s="628" t="s">
        <v>281</v>
      </c>
      <c r="U8" s="820" t="s">
        <v>447</v>
      </c>
      <c r="V8" s="817" t="s">
        <v>281</v>
      </c>
    </row>
    <row r="9" s="20" customFormat="1" ht="42.95" customHeight="1" spans="2:22">
      <c r="B9" s="796"/>
      <c r="C9" s="789" t="s">
        <v>448</v>
      </c>
      <c r="D9" s="628" t="s">
        <v>449</v>
      </c>
      <c r="E9" s="628" t="s">
        <v>450</v>
      </c>
      <c r="F9" s="628" t="s">
        <v>451</v>
      </c>
      <c r="G9" s="628"/>
      <c r="H9" s="628"/>
      <c r="I9" s="628"/>
      <c r="J9" s="628" t="s">
        <v>316</v>
      </c>
      <c r="K9" s="628" t="s">
        <v>347</v>
      </c>
      <c r="L9" s="12">
        <v>100</v>
      </c>
      <c r="M9" s="12">
        <v>30</v>
      </c>
      <c r="N9" s="628" t="s">
        <v>445</v>
      </c>
      <c r="O9" s="628"/>
      <c r="P9" s="628" t="s">
        <v>421</v>
      </c>
      <c r="Q9" s="12" t="s">
        <v>439</v>
      </c>
      <c r="R9" s="12" t="s">
        <v>440</v>
      </c>
      <c r="S9" s="816">
        <v>46134</v>
      </c>
      <c r="T9" s="628" t="s">
        <v>281</v>
      </c>
      <c r="U9" s="820" t="s">
        <v>447</v>
      </c>
      <c r="V9" s="817" t="s">
        <v>281</v>
      </c>
    </row>
    <row r="10" s="20" customFormat="1" ht="42.95" customHeight="1" spans="2:22">
      <c r="B10" s="797" t="s">
        <v>46</v>
      </c>
      <c r="C10" s="789" t="s">
        <v>452</v>
      </c>
      <c r="D10" s="628" t="s">
        <v>453</v>
      </c>
      <c r="E10" s="628" t="s">
        <v>454</v>
      </c>
      <c r="F10" s="628" t="s">
        <v>451</v>
      </c>
      <c r="G10" s="628"/>
      <c r="H10" s="628"/>
      <c r="I10" s="628"/>
      <c r="J10" s="628" t="s">
        <v>368</v>
      </c>
      <c r="K10" s="628" t="s">
        <v>347</v>
      </c>
      <c r="L10" s="12">
        <v>100</v>
      </c>
      <c r="M10" s="12">
        <v>30</v>
      </c>
      <c r="N10" s="628" t="s">
        <v>455</v>
      </c>
      <c r="O10" s="628" t="s">
        <v>456</v>
      </c>
      <c r="P10" s="628" t="s">
        <v>421</v>
      </c>
      <c r="Q10" s="628" t="s">
        <v>439</v>
      </c>
      <c r="R10" s="628" t="s">
        <v>440</v>
      </c>
      <c r="S10" s="816">
        <v>43364</v>
      </c>
      <c r="T10" s="628" t="s">
        <v>281</v>
      </c>
      <c r="U10" s="628" t="s">
        <v>308</v>
      </c>
      <c r="V10" s="817"/>
    </row>
    <row r="11" s="20" customFormat="1" ht="42.95" customHeight="1" spans="2:22">
      <c r="B11" s="798"/>
      <c r="C11" s="789" t="s">
        <v>457</v>
      </c>
      <c r="D11" s="628" t="s">
        <v>458</v>
      </c>
      <c r="E11" s="628" t="s">
        <v>459</v>
      </c>
      <c r="F11" s="628" t="s">
        <v>444</v>
      </c>
      <c r="G11" s="628"/>
      <c r="H11" s="628"/>
      <c r="I11" s="628"/>
      <c r="J11" s="628" t="s">
        <v>309</v>
      </c>
      <c r="K11" s="628" t="s">
        <v>383</v>
      </c>
      <c r="L11" s="12">
        <v>100</v>
      </c>
      <c r="M11" s="12">
        <v>30</v>
      </c>
      <c r="N11" s="628" t="s">
        <v>460</v>
      </c>
      <c r="O11" s="628"/>
      <c r="P11" s="628"/>
      <c r="Q11" s="628"/>
      <c r="R11" s="628"/>
      <c r="S11" s="816">
        <v>43493</v>
      </c>
      <c r="T11" s="628" t="s">
        <v>281</v>
      </c>
      <c r="U11" s="628" t="s">
        <v>328</v>
      </c>
      <c r="V11" s="817"/>
    </row>
    <row r="12" s="20" customFormat="1" ht="42.95" customHeight="1" spans="2:22">
      <c r="B12" s="798"/>
      <c r="C12" s="789" t="s">
        <v>461</v>
      </c>
      <c r="D12" s="628" t="s">
        <v>462</v>
      </c>
      <c r="E12" s="628" t="s">
        <v>463</v>
      </c>
      <c r="F12" s="628" t="s">
        <v>432</v>
      </c>
      <c r="G12" s="628"/>
      <c r="H12" s="628"/>
      <c r="I12" s="628"/>
      <c r="J12" s="628" t="s">
        <v>336</v>
      </c>
      <c r="K12" s="628" t="s">
        <v>337</v>
      </c>
      <c r="L12" s="12">
        <v>100</v>
      </c>
      <c r="M12" s="12">
        <v>30</v>
      </c>
      <c r="N12" s="628" t="s">
        <v>437</v>
      </c>
      <c r="O12" s="628"/>
      <c r="P12" s="628"/>
      <c r="Q12" s="628"/>
      <c r="R12" s="628"/>
      <c r="S12" s="816">
        <v>43819</v>
      </c>
      <c r="T12" s="628" t="s">
        <v>281</v>
      </c>
      <c r="U12" s="628" t="s">
        <v>308</v>
      </c>
      <c r="V12" s="817"/>
    </row>
    <row r="13" s="20" customFormat="1" ht="42.95" customHeight="1" spans="2:22">
      <c r="B13" s="798"/>
      <c r="C13" s="789" t="s">
        <v>464</v>
      </c>
      <c r="D13" s="628" t="s">
        <v>465</v>
      </c>
      <c r="E13" s="628" t="s">
        <v>466</v>
      </c>
      <c r="F13" s="628" t="s">
        <v>451</v>
      </c>
      <c r="G13" s="628"/>
      <c r="H13" s="628"/>
      <c r="I13" s="628"/>
      <c r="J13" s="628" t="s">
        <v>368</v>
      </c>
      <c r="K13" s="628" t="s">
        <v>315</v>
      </c>
      <c r="L13" s="12">
        <v>100</v>
      </c>
      <c r="M13" s="12">
        <v>30</v>
      </c>
      <c r="N13" s="628" t="s">
        <v>467</v>
      </c>
      <c r="O13" s="628"/>
      <c r="P13" s="628"/>
      <c r="Q13" s="628"/>
      <c r="R13" s="628"/>
      <c r="S13" s="816">
        <v>44053</v>
      </c>
      <c r="T13" s="628" t="s">
        <v>281</v>
      </c>
      <c r="U13" s="628" t="s">
        <v>308</v>
      </c>
      <c r="V13" s="817"/>
    </row>
    <row r="14" s="20" customFormat="1" ht="42.95" customHeight="1" spans="2:22">
      <c r="B14" s="798"/>
      <c r="C14" s="789" t="s">
        <v>468</v>
      </c>
      <c r="D14" s="628" t="s">
        <v>469</v>
      </c>
      <c r="E14" s="628" t="s">
        <v>470</v>
      </c>
      <c r="F14" s="628" t="s">
        <v>451</v>
      </c>
      <c r="G14" s="628"/>
      <c r="H14" s="628"/>
      <c r="I14" s="628"/>
      <c r="J14" s="628" t="s">
        <v>368</v>
      </c>
      <c r="K14" s="628" t="s">
        <v>315</v>
      </c>
      <c r="L14" s="12">
        <v>100</v>
      </c>
      <c r="M14" s="12">
        <v>30</v>
      </c>
      <c r="N14" s="628" t="s">
        <v>471</v>
      </c>
      <c r="O14" s="628"/>
      <c r="P14" s="628"/>
      <c r="Q14" s="628"/>
      <c r="R14" s="628"/>
      <c r="S14" s="816">
        <v>44053</v>
      </c>
      <c r="T14" s="628" t="s">
        <v>281</v>
      </c>
      <c r="U14" s="628" t="s">
        <v>308</v>
      </c>
      <c r="V14" s="817"/>
    </row>
    <row r="15" s="20" customFormat="1" ht="42.95" customHeight="1" spans="2:22">
      <c r="B15" s="798"/>
      <c r="C15" s="789" t="s">
        <v>472</v>
      </c>
      <c r="D15" s="628" t="s">
        <v>473</v>
      </c>
      <c r="E15" s="628" t="s">
        <v>474</v>
      </c>
      <c r="F15" s="628" t="s">
        <v>444</v>
      </c>
      <c r="G15" s="628"/>
      <c r="H15" s="628"/>
      <c r="I15" s="628"/>
      <c r="J15" s="628" t="s">
        <v>309</v>
      </c>
      <c r="K15" s="628" t="s">
        <v>475</v>
      </c>
      <c r="L15" s="12">
        <v>100</v>
      </c>
      <c r="M15" s="12">
        <v>30</v>
      </c>
      <c r="N15" s="628" t="s">
        <v>476</v>
      </c>
      <c r="O15" s="628"/>
      <c r="P15" s="628"/>
      <c r="Q15" s="628"/>
      <c r="R15" s="628"/>
      <c r="S15" s="816">
        <v>44921</v>
      </c>
      <c r="T15" s="628" t="s">
        <v>281</v>
      </c>
      <c r="U15" s="628" t="s">
        <v>323</v>
      </c>
      <c r="V15" s="817"/>
    </row>
    <row r="16" s="20" customFormat="1" ht="42.95" customHeight="1" spans="2:22">
      <c r="B16" s="798"/>
      <c r="C16" s="789" t="s">
        <v>477</v>
      </c>
      <c r="D16" s="628" t="s">
        <v>478</v>
      </c>
      <c r="E16" s="628" t="s">
        <v>479</v>
      </c>
      <c r="F16" s="628" t="s">
        <v>432</v>
      </c>
      <c r="G16" s="628"/>
      <c r="H16" s="628"/>
      <c r="I16" s="628"/>
      <c r="J16" s="628" t="s">
        <v>340</v>
      </c>
      <c r="K16" s="628" t="s">
        <v>480</v>
      </c>
      <c r="L16" s="12">
        <v>100</v>
      </c>
      <c r="M16" s="12">
        <v>30</v>
      </c>
      <c r="N16" s="628" t="s">
        <v>481</v>
      </c>
      <c r="O16" s="628"/>
      <c r="P16" s="628"/>
      <c r="Q16" s="628"/>
      <c r="R16" s="628"/>
      <c r="S16" s="816">
        <v>44921</v>
      </c>
      <c r="T16" s="628" t="s">
        <v>281</v>
      </c>
      <c r="U16" s="628" t="s">
        <v>323</v>
      </c>
      <c r="V16" s="817"/>
    </row>
    <row r="17" s="20" customFormat="1" ht="42.95" customHeight="1" spans="2:22">
      <c r="B17" s="798"/>
      <c r="C17" s="789" t="s">
        <v>482</v>
      </c>
      <c r="D17" s="628" t="s">
        <v>483</v>
      </c>
      <c r="E17" s="628" t="s">
        <v>484</v>
      </c>
      <c r="F17" s="628" t="s">
        <v>444</v>
      </c>
      <c r="G17" s="628"/>
      <c r="H17" s="628"/>
      <c r="I17" s="628"/>
      <c r="J17" s="628" t="s">
        <v>316</v>
      </c>
      <c r="K17" s="628" t="s">
        <v>315</v>
      </c>
      <c r="L17" s="12">
        <v>100</v>
      </c>
      <c r="M17" s="12">
        <v>30</v>
      </c>
      <c r="N17" s="628" t="s">
        <v>471</v>
      </c>
      <c r="O17" s="628"/>
      <c r="P17" s="628"/>
      <c r="Q17" s="628"/>
      <c r="R17" s="628"/>
      <c r="S17" s="816">
        <v>45138</v>
      </c>
      <c r="T17" s="628"/>
      <c r="U17" s="628" t="s">
        <v>326</v>
      </c>
      <c r="V17" s="817"/>
    </row>
    <row r="18" s="20" customFormat="1" ht="42.95" customHeight="1" spans="2:22">
      <c r="B18" s="798"/>
      <c r="C18" s="789" t="s">
        <v>485</v>
      </c>
      <c r="D18" s="628" t="s">
        <v>486</v>
      </c>
      <c r="E18" s="628" t="s">
        <v>487</v>
      </c>
      <c r="F18" s="628" t="s">
        <v>451</v>
      </c>
      <c r="G18" s="628"/>
      <c r="H18" s="628"/>
      <c r="I18" s="628"/>
      <c r="J18" s="628" t="s">
        <v>316</v>
      </c>
      <c r="K18" s="628" t="s">
        <v>315</v>
      </c>
      <c r="L18" s="12">
        <v>100</v>
      </c>
      <c r="M18" s="12">
        <v>30</v>
      </c>
      <c r="N18" s="628" t="s">
        <v>488</v>
      </c>
      <c r="O18" s="628"/>
      <c r="P18" s="628"/>
      <c r="Q18" s="628"/>
      <c r="R18" s="628"/>
      <c r="S18" s="816">
        <v>45537</v>
      </c>
      <c r="T18" s="628" t="s">
        <v>281</v>
      </c>
      <c r="U18" s="628" t="s">
        <v>328</v>
      </c>
      <c r="V18" s="817"/>
    </row>
    <row r="19" s="20" customFormat="1" ht="42.95" customHeight="1" spans="2:22">
      <c r="B19" s="798"/>
      <c r="C19" s="789" t="s">
        <v>489</v>
      </c>
      <c r="D19" s="628" t="s">
        <v>490</v>
      </c>
      <c r="E19" s="628" t="s">
        <v>491</v>
      </c>
      <c r="F19" s="628" t="s">
        <v>451</v>
      </c>
      <c r="G19" s="628"/>
      <c r="H19" s="628"/>
      <c r="I19" s="628"/>
      <c r="J19" s="628" t="s">
        <v>332</v>
      </c>
      <c r="K19" s="628" t="s">
        <v>347</v>
      </c>
      <c r="L19" s="12">
        <v>100</v>
      </c>
      <c r="M19" s="12">
        <v>30</v>
      </c>
      <c r="N19" s="628" t="s">
        <v>488</v>
      </c>
      <c r="O19" s="628"/>
      <c r="P19" s="628"/>
      <c r="Q19" s="628"/>
      <c r="R19" s="628"/>
      <c r="S19" s="816">
        <v>45537</v>
      </c>
      <c r="T19" s="628" t="s">
        <v>281</v>
      </c>
      <c r="U19" s="628" t="s">
        <v>334</v>
      </c>
      <c r="V19" s="817" t="s">
        <v>281</v>
      </c>
    </row>
    <row r="20" s="20" customFormat="1" ht="42.95" customHeight="1" spans="2:22">
      <c r="B20" s="798"/>
      <c r="C20" s="789" t="s">
        <v>492</v>
      </c>
      <c r="D20" s="628" t="s">
        <v>493</v>
      </c>
      <c r="E20" s="628" t="s">
        <v>494</v>
      </c>
      <c r="F20" s="628" t="s">
        <v>451</v>
      </c>
      <c r="G20" s="628"/>
      <c r="H20" s="628"/>
      <c r="I20" s="628"/>
      <c r="J20" s="628" t="s">
        <v>332</v>
      </c>
      <c r="K20" s="628" t="s">
        <v>347</v>
      </c>
      <c r="L20" s="12">
        <v>100</v>
      </c>
      <c r="M20" s="12">
        <v>30</v>
      </c>
      <c r="N20" s="628" t="s">
        <v>488</v>
      </c>
      <c r="O20" s="628"/>
      <c r="P20" s="628"/>
      <c r="Q20" s="628"/>
      <c r="R20" s="628"/>
      <c r="S20" s="816">
        <v>45537</v>
      </c>
      <c r="T20" s="628" t="s">
        <v>281</v>
      </c>
      <c r="U20" s="628" t="s">
        <v>328</v>
      </c>
      <c r="V20" s="817"/>
    </row>
    <row r="21" s="20" customFormat="1" ht="42.75" customHeight="1" spans="2:22">
      <c r="B21" s="798"/>
      <c r="C21" s="789" t="s">
        <v>495</v>
      </c>
      <c r="D21" s="628" t="s">
        <v>496</v>
      </c>
      <c r="E21" s="628" t="s">
        <v>497</v>
      </c>
      <c r="F21" s="628" t="s">
        <v>451</v>
      </c>
      <c r="G21" s="628"/>
      <c r="H21" s="628"/>
      <c r="I21" s="628"/>
      <c r="J21" s="628" t="s">
        <v>329</v>
      </c>
      <c r="K21" s="628" t="s">
        <v>475</v>
      </c>
      <c r="L21" s="12">
        <v>100</v>
      </c>
      <c r="M21" s="12">
        <v>30</v>
      </c>
      <c r="N21" s="628" t="s">
        <v>488</v>
      </c>
      <c r="O21" s="628"/>
      <c r="P21" s="628"/>
      <c r="Q21" s="628"/>
      <c r="R21" s="628"/>
      <c r="S21" s="816">
        <v>45537</v>
      </c>
      <c r="T21" s="628"/>
      <c r="U21" s="628" t="s">
        <v>326</v>
      </c>
      <c r="V21" s="817"/>
    </row>
    <row r="22" s="20" customFormat="1" ht="42.75" customHeight="1" spans="2:22">
      <c r="B22" s="798"/>
      <c r="C22" s="789" t="s">
        <v>498</v>
      </c>
      <c r="D22" s="628" t="s">
        <v>499</v>
      </c>
      <c r="E22" s="628" t="s">
        <v>500</v>
      </c>
      <c r="F22" s="628" t="s">
        <v>451</v>
      </c>
      <c r="G22" s="628"/>
      <c r="H22" s="628"/>
      <c r="I22" s="628"/>
      <c r="J22" s="628" t="s">
        <v>309</v>
      </c>
      <c r="K22" s="628" t="s">
        <v>315</v>
      </c>
      <c r="L22" s="12">
        <v>100</v>
      </c>
      <c r="M22" s="12">
        <v>30</v>
      </c>
      <c r="N22" s="628" t="s">
        <v>488</v>
      </c>
      <c r="O22" s="628"/>
      <c r="P22" s="628"/>
      <c r="Q22" s="628"/>
      <c r="R22" s="628"/>
      <c r="S22" s="816">
        <v>45819</v>
      </c>
      <c r="T22" s="628"/>
      <c r="U22" s="628" t="s">
        <v>326</v>
      </c>
      <c r="V22" s="817"/>
    </row>
    <row r="23" s="20" customFormat="1" ht="42.75" customHeight="1" spans="2:22">
      <c r="B23" s="798"/>
      <c r="C23" s="789" t="s">
        <v>501</v>
      </c>
      <c r="D23" s="628" t="s">
        <v>502</v>
      </c>
      <c r="E23" s="628" t="s">
        <v>503</v>
      </c>
      <c r="F23" s="628" t="s">
        <v>444</v>
      </c>
      <c r="G23" s="628"/>
      <c r="H23" s="628"/>
      <c r="I23" s="628"/>
      <c r="J23" s="628" t="s">
        <v>309</v>
      </c>
      <c r="K23" s="628" t="s">
        <v>475</v>
      </c>
      <c r="L23" s="12">
        <v>100</v>
      </c>
      <c r="M23" s="12">
        <v>30</v>
      </c>
      <c r="N23" s="628" t="s">
        <v>504</v>
      </c>
      <c r="O23" s="628"/>
      <c r="P23" s="628"/>
      <c r="Q23" s="628"/>
      <c r="R23" s="628"/>
      <c r="S23" s="816">
        <v>45910</v>
      </c>
      <c r="T23" s="628" t="s">
        <v>281</v>
      </c>
      <c r="U23" s="628" t="s">
        <v>345</v>
      </c>
      <c r="V23" s="817"/>
    </row>
    <row r="24" s="20" customFormat="1" ht="42.75" customHeight="1" spans="2:22">
      <c r="B24" s="798"/>
      <c r="C24" s="789" t="s">
        <v>505</v>
      </c>
      <c r="D24" s="628" t="s">
        <v>506</v>
      </c>
      <c r="E24" s="628" t="s">
        <v>507</v>
      </c>
      <c r="F24" s="628" t="s">
        <v>444</v>
      </c>
      <c r="G24" s="628"/>
      <c r="H24" s="628"/>
      <c r="I24" s="628"/>
      <c r="J24" s="628" t="s">
        <v>309</v>
      </c>
      <c r="K24" s="628" t="s">
        <v>315</v>
      </c>
      <c r="L24" s="12">
        <v>100</v>
      </c>
      <c r="M24" s="12">
        <v>30</v>
      </c>
      <c r="N24" s="628" t="s">
        <v>508</v>
      </c>
      <c r="O24" s="628"/>
      <c r="P24" s="628"/>
      <c r="Q24" s="628"/>
      <c r="R24" s="628"/>
      <c r="S24" s="816">
        <v>45910</v>
      </c>
      <c r="T24" s="628" t="s">
        <v>281</v>
      </c>
      <c r="U24" s="628" t="s">
        <v>345</v>
      </c>
      <c r="V24" s="817"/>
    </row>
    <row r="25" s="20" customFormat="1" ht="42.75" customHeight="1" spans="2:22">
      <c r="B25" s="798"/>
      <c r="C25" s="789" t="s">
        <v>509</v>
      </c>
      <c r="D25" s="628" t="s">
        <v>510</v>
      </c>
      <c r="E25" s="628" t="s">
        <v>511</v>
      </c>
      <c r="F25" s="628" t="s">
        <v>444</v>
      </c>
      <c r="G25" s="628"/>
      <c r="H25" s="628"/>
      <c r="I25" s="628"/>
      <c r="J25" s="628" t="s">
        <v>351</v>
      </c>
      <c r="K25" s="628" t="s">
        <v>315</v>
      </c>
      <c r="L25" s="12">
        <v>100</v>
      </c>
      <c r="M25" s="12">
        <v>30</v>
      </c>
      <c r="N25" s="628" t="s">
        <v>512</v>
      </c>
      <c r="O25" s="628"/>
      <c r="P25" s="628"/>
      <c r="Q25" s="628"/>
      <c r="R25" s="628"/>
      <c r="S25" s="816">
        <v>45910</v>
      </c>
      <c r="T25" s="628"/>
      <c r="U25" s="628" t="s">
        <v>326</v>
      </c>
      <c r="V25" s="817"/>
    </row>
    <row r="26" s="20" customFormat="1" ht="42.75" customHeight="1" spans="2:22">
      <c r="B26" s="799"/>
      <c r="C26" s="792" t="s">
        <v>513</v>
      </c>
      <c r="D26" s="681" t="s">
        <v>514</v>
      </c>
      <c r="E26" s="681" t="s">
        <v>515</v>
      </c>
      <c r="F26" s="681" t="s">
        <v>444</v>
      </c>
      <c r="G26" s="681"/>
      <c r="H26" s="681"/>
      <c r="I26" s="681"/>
      <c r="J26" s="681" t="s">
        <v>309</v>
      </c>
      <c r="K26" s="681" t="s">
        <v>475</v>
      </c>
      <c r="L26" s="450">
        <v>100</v>
      </c>
      <c r="M26" s="450">
        <v>30</v>
      </c>
      <c r="N26" s="681" t="s">
        <v>516</v>
      </c>
      <c r="O26" s="681" t="s">
        <v>517</v>
      </c>
      <c r="P26" s="681"/>
      <c r="Q26" s="681"/>
      <c r="R26" s="681"/>
      <c r="S26" s="818">
        <v>45910</v>
      </c>
      <c r="T26" s="681" t="s">
        <v>281</v>
      </c>
      <c r="U26" s="681" t="s">
        <v>345</v>
      </c>
      <c r="V26" s="819"/>
    </row>
    <row r="27" s="20" customFormat="1" ht="66" spans="2:22">
      <c r="B27" s="800" t="s">
        <v>108</v>
      </c>
      <c r="C27" s="785" t="s">
        <v>518</v>
      </c>
      <c r="D27" s="786" t="s">
        <v>519</v>
      </c>
      <c r="E27" s="786" t="s">
        <v>520</v>
      </c>
      <c r="F27" s="786" t="s">
        <v>444</v>
      </c>
      <c r="G27" s="786" t="s">
        <v>433</v>
      </c>
      <c r="H27" s="786" t="s">
        <v>434</v>
      </c>
      <c r="I27" s="786" t="s">
        <v>435</v>
      </c>
      <c r="J27" s="786" t="s">
        <v>353</v>
      </c>
      <c r="K27" s="786" t="s">
        <v>475</v>
      </c>
      <c r="L27" s="807">
        <v>1000</v>
      </c>
      <c r="M27" s="807" t="s">
        <v>418</v>
      </c>
      <c r="N27" s="786" t="s">
        <v>359</v>
      </c>
      <c r="O27" s="807" t="s">
        <v>521</v>
      </c>
      <c r="P27" s="786" t="s">
        <v>421</v>
      </c>
      <c r="Q27" s="786" t="s">
        <v>439</v>
      </c>
      <c r="R27" s="786" t="s">
        <v>440</v>
      </c>
      <c r="S27" s="814" t="s">
        <v>522</v>
      </c>
      <c r="T27" s="786" t="s">
        <v>281</v>
      </c>
      <c r="U27" s="786" t="s">
        <v>308</v>
      </c>
      <c r="V27" s="815" t="s">
        <v>281</v>
      </c>
    </row>
    <row r="28" s="20" customFormat="1" ht="66" spans="2:22">
      <c r="B28" s="801"/>
      <c r="C28" s="789" t="s">
        <v>523</v>
      </c>
      <c r="D28" s="628" t="s">
        <v>524</v>
      </c>
      <c r="E28" s="628" t="s">
        <v>525</v>
      </c>
      <c r="F28" s="628" t="s">
        <v>444</v>
      </c>
      <c r="G28" s="628"/>
      <c r="H28" s="628"/>
      <c r="I28" s="628"/>
      <c r="J28" s="628" t="s">
        <v>353</v>
      </c>
      <c r="K28" s="628" t="s">
        <v>475</v>
      </c>
      <c r="L28" s="12">
        <v>2000</v>
      </c>
      <c r="M28" s="12" t="s">
        <v>418</v>
      </c>
      <c r="N28" s="628" t="s">
        <v>381</v>
      </c>
      <c r="O28" s="12"/>
      <c r="P28" s="628"/>
      <c r="Q28" s="628"/>
      <c r="R28" s="628"/>
      <c r="S28" s="816" t="s">
        <v>526</v>
      </c>
      <c r="T28" s="628"/>
      <c r="U28" s="628" t="s">
        <v>326</v>
      </c>
      <c r="V28" s="817"/>
    </row>
    <row r="29" s="20" customFormat="1" ht="30" customHeight="1" spans="2:22">
      <c r="B29" s="801"/>
      <c r="C29" s="789" t="s">
        <v>527</v>
      </c>
      <c r="D29" s="628" t="s">
        <v>528</v>
      </c>
      <c r="E29" s="628" t="s">
        <v>529</v>
      </c>
      <c r="F29" s="628" t="s">
        <v>444</v>
      </c>
      <c r="G29" s="628"/>
      <c r="H29" s="628"/>
      <c r="I29" s="628"/>
      <c r="J29" s="628" t="s">
        <v>365</v>
      </c>
      <c r="K29" s="628" t="s">
        <v>530</v>
      </c>
      <c r="L29" s="12">
        <v>1000</v>
      </c>
      <c r="M29" s="12" t="s">
        <v>418</v>
      </c>
      <c r="N29" s="628" t="s">
        <v>311</v>
      </c>
      <c r="O29" s="628" t="s">
        <v>531</v>
      </c>
      <c r="P29" s="628"/>
      <c r="Q29" s="628"/>
      <c r="R29" s="628"/>
      <c r="S29" s="816">
        <v>43808</v>
      </c>
      <c r="T29" s="628" t="s">
        <v>281</v>
      </c>
      <c r="U29" s="628" t="s">
        <v>308</v>
      </c>
      <c r="V29" s="817"/>
    </row>
    <row r="30" s="20" customFormat="1" ht="30" customHeight="1" spans="2:22">
      <c r="B30" s="801"/>
      <c r="C30" s="789" t="s">
        <v>532</v>
      </c>
      <c r="D30" s="628" t="s">
        <v>533</v>
      </c>
      <c r="E30" s="628" t="s">
        <v>534</v>
      </c>
      <c r="F30" s="628" t="s">
        <v>444</v>
      </c>
      <c r="G30" s="628"/>
      <c r="H30" s="628"/>
      <c r="I30" s="628"/>
      <c r="J30" s="628" t="s">
        <v>329</v>
      </c>
      <c r="K30" s="628" t="s">
        <v>386</v>
      </c>
      <c r="L30" s="12">
        <v>1000</v>
      </c>
      <c r="M30" s="12" t="s">
        <v>418</v>
      </c>
      <c r="N30" s="628" t="s">
        <v>311</v>
      </c>
      <c r="O30" s="628"/>
      <c r="P30" s="628"/>
      <c r="Q30" s="628"/>
      <c r="R30" s="628"/>
      <c r="S30" s="816">
        <v>43920</v>
      </c>
      <c r="T30" s="628" t="s">
        <v>281</v>
      </c>
      <c r="U30" s="628" t="s">
        <v>328</v>
      </c>
      <c r="V30" s="817"/>
    </row>
    <row r="31" s="20" customFormat="1" ht="30" customHeight="1" spans="2:22">
      <c r="B31" s="801"/>
      <c r="C31" s="789" t="s">
        <v>535</v>
      </c>
      <c r="D31" s="628" t="s">
        <v>536</v>
      </c>
      <c r="E31" s="628" t="s">
        <v>537</v>
      </c>
      <c r="F31" s="628" t="s">
        <v>444</v>
      </c>
      <c r="G31" s="628"/>
      <c r="H31" s="628"/>
      <c r="I31" s="628"/>
      <c r="J31" s="628" t="s">
        <v>316</v>
      </c>
      <c r="K31" s="628" t="s">
        <v>475</v>
      </c>
      <c r="L31" s="12">
        <v>1000</v>
      </c>
      <c r="M31" s="12" t="s">
        <v>418</v>
      </c>
      <c r="N31" s="628" t="s">
        <v>311</v>
      </c>
      <c r="O31" s="628"/>
      <c r="P31" s="628"/>
      <c r="Q31" s="628"/>
      <c r="R31" s="628"/>
      <c r="S31" s="816">
        <v>44018</v>
      </c>
      <c r="T31" s="628" t="s">
        <v>281</v>
      </c>
      <c r="U31" s="628" t="s">
        <v>323</v>
      </c>
      <c r="V31" s="817"/>
    </row>
    <row r="32" s="20" customFormat="1" ht="30" customHeight="1" spans="2:22">
      <c r="B32" s="801"/>
      <c r="C32" s="789" t="s">
        <v>538</v>
      </c>
      <c r="D32" s="628" t="s">
        <v>539</v>
      </c>
      <c r="E32" s="628" t="s">
        <v>540</v>
      </c>
      <c r="F32" s="628" t="s">
        <v>444</v>
      </c>
      <c r="G32" s="628"/>
      <c r="H32" s="628"/>
      <c r="I32" s="628"/>
      <c r="J32" s="628" t="s">
        <v>316</v>
      </c>
      <c r="K32" s="628" t="s">
        <v>475</v>
      </c>
      <c r="L32" s="12">
        <v>1000</v>
      </c>
      <c r="M32" s="12" t="s">
        <v>418</v>
      </c>
      <c r="N32" s="628" t="s">
        <v>311</v>
      </c>
      <c r="O32" s="628"/>
      <c r="P32" s="628"/>
      <c r="Q32" s="628"/>
      <c r="R32" s="628"/>
      <c r="S32" s="816">
        <v>44018</v>
      </c>
      <c r="T32" s="628" t="s">
        <v>281</v>
      </c>
      <c r="U32" s="628" t="s">
        <v>323</v>
      </c>
      <c r="V32" s="817"/>
    </row>
    <row r="33" s="20" customFormat="1" ht="30" customHeight="1" spans="2:22">
      <c r="B33" s="801"/>
      <c r="C33" s="789" t="s">
        <v>541</v>
      </c>
      <c r="D33" s="628" t="s">
        <v>542</v>
      </c>
      <c r="E33" s="628" t="s">
        <v>543</v>
      </c>
      <c r="F33" s="628" t="s">
        <v>444</v>
      </c>
      <c r="G33" s="628"/>
      <c r="H33" s="628"/>
      <c r="I33" s="628"/>
      <c r="J33" s="628" t="s">
        <v>316</v>
      </c>
      <c r="K33" s="628" t="s">
        <v>475</v>
      </c>
      <c r="L33" s="12">
        <v>1000</v>
      </c>
      <c r="M33" s="12" t="s">
        <v>418</v>
      </c>
      <c r="N33" s="628" t="s">
        <v>311</v>
      </c>
      <c r="O33" s="628"/>
      <c r="P33" s="628"/>
      <c r="Q33" s="628"/>
      <c r="R33" s="628"/>
      <c r="S33" s="816">
        <v>44018</v>
      </c>
      <c r="T33" s="628" t="s">
        <v>281</v>
      </c>
      <c r="U33" s="628" t="s">
        <v>308</v>
      </c>
      <c r="V33" s="817"/>
    </row>
    <row r="34" s="20" customFormat="1" ht="30" customHeight="1" spans="2:22">
      <c r="B34" s="801"/>
      <c r="C34" s="789" t="s">
        <v>544</v>
      </c>
      <c r="D34" s="628" t="s">
        <v>545</v>
      </c>
      <c r="E34" s="628" t="s">
        <v>546</v>
      </c>
      <c r="F34" s="628" t="s">
        <v>444</v>
      </c>
      <c r="G34" s="628"/>
      <c r="H34" s="628"/>
      <c r="I34" s="628"/>
      <c r="J34" s="628" t="s">
        <v>309</v>
      </c>
      <c r="K34" s="628" t="s">
        <v>475</v>
      </c>
      <c r="L34" s="12">
        <v>1000</v>
      </c>
      <c r="M34" s="12" t="s">
        <v>418</v>
      </c>
      <c r="N34" s="628" t="s">
        <v>311</v>
      </c>
      <c r="O34" s="628"/>
      <c r="P34" s="628"/>
      <c r="Q34" s="628"/>
      <c r="R34" s="628"/>
      <c r="S34" s="816">
        <v>44365</v>
      </c>
      <c r="T34" s="628" t="s">
        <v>281</v>
      </c>
      <c r="U34" s="628" t="s">
        <v>308</v>
      </c>
      <c r="V34" s="817" t="s">
        <v>281</v>
      </c>
    </row>
    <row r="35" s="20" customFormat="1" ht="98.1" customHeight="1" spans="2:22">
      <c r="B35" s="801"/>
      <c r="C35" s="789" t="s">
        <v>547</v>
      </c>
      <c r="D35" s="628" t="s">
        <v>548</v>
      </c>
      <c r="E35" s="628" t="s">
        <v>549</v>
      </c>
      <c r="F35" s="628" t="s">
        <v>444</v>
      </c>
      <c r="G35" s="628"/>
      <c r="H35" s="628"/>
      <c r="I35" s="628"/>
      <c r="J35" s="628" t="s">
        <v>309</v>
      </c>
      <c r="K35" s="628" t="s">
        <v>475</v>
      </c>
      <c r="L35" s="12">
        <v>1000</v>
      </c>
      <c r="M35" s="12" t="s">
        <v>418</v>
      </c>
      <c r="N35" s="628" t="s">
        <v>355</v>
      </c>
      <c r="O35" s="628" t="s">
        <v>550</v>
      </c>
      <c r="P35" s="628"/>
      <c r="Q35" s="628"/>
      <c r="R35" s="628"/>
      <c r="S35" s="816">
        <v>44781</v>
      </c>
      <c r="T35" s="628" t="s">
        <v>281</v>
      </c>
      <c r="U35" s="628" t="s">
        <v>308</v>
      </c>
      <c r="V35" s="817" t="s">
        <v>281</v>
      </c>
    </row>
    <row r="36" s="20" customFormat="1" ht="30" customHeight="1" spans="2:22">
      <c r="B36" s="801"/>
      <c r="C36" s="789" t="s">
        <v>551</v>
      </c>
      <c r="D36" s="628" t="s">
        <v>552</v>
      </c>
      <c r="E36" s="628" t="s">
        <v>553</v>
      </c>
      <c r="F36" s="628" t="s">
        <v>444</v>
      </c>
      <c r="G36" s="628"/>
      <c r="H36" s="628"/>
      <c r="I36" s="628"/>
      <c r="J36" s="628" t="s">
        <v>309</v>
      </c>
      <c r="K36" s="628" t="s">
        <v>475</v>
      </c>
      <c r="L36" s="12">
        <v>1000</v>
      </c>
      <c r="M36" s="12" t="s">
        <v>418</v>
      </c>
      <c r="N36" s="628" t="s">
        <v>311</v>
      </c>
      <c r="O36" s="628" t="s">
        <v>531</v>
      </c>
      <c r="P36" s="628"/>
      <c r="Q36" s="628"/>
      <c r="R36" s="628"/>
      <c r="S36" s="816">
        <v>44781</v>
      </c>
      <c r="T36" s="628" t="s">
        <v>281</v>
      </c>
      <c r="U36" s="628" t="s">
        <v>308</v>
      </c>
      <c r="V36" s="817" t="s">
        <v>281</v>
      </c>
    </row>
    <row r="37" s="20" customFormat="1" ht="82.5" spans="2:22">
      <c r="B37" s="801"/>
      <c r="C37" s="789" t="s">
        <v>554</v>
      </c>
      <c r="D37" s="628" t="s">
        <v>555</v>
      </c>
      <c r="E37" s="628" t="s">
        <v>556</v>
      </c>
      <c r="F37" s="628" t="s">
        <v>444</v>
      </c>
      <c r="G37" s="628"/>
      <c r="H37" s="628"/>
      <c r="I37" s="628"/>
      <c r="J37" s="628" t="s">
        <v>309</v>
      </c>
      <c r="K37" s="628" t="s">
        <v>475</v>
      </c>
      <c r="L37" s="12">
        <v>1000</v>
      </c>
      <c r="M37" s="12" t="s">
        <v>418</v>
      </c>
      <c r="N37" s="628" t="s">
        <v>557</v>
      </c>
      <c r="O37" s="628" t="s">
        <v>521</v>
      </c>
      <c r="P37" s="628"/>
      <c r="Q37" s="628"/>
      <c r="R37" s="628"/>
      <c r="S37" s="816">
        <v>44781</v>
      </c>
      <c r="T37" s="628" t="s">
        <v>281</v>
      </c>
      <c r="U37" s="628" t="s">
        <v>308</v>
      </c>
      <c r="V37" s="817" t="s">
        <v>281</v>
      </c>
    </row>
    <row r="38" s="20" customFormat="1" ht="30" customHeight="1" spans="2:22">
      <c r="B38" s="801"/>
      <c r="C38" s="789" t="s">
        <v>558</v>
      </c>
      <c r="D38" s="628" t="s">
        <v>559</v>
      </c>
      <c r="E38" s="628" t="s">
        <v>560</v>
      </c>
      <c r="F38" s="628" t="s">
        <v>444</v>
      </c>
      <c r="G38" s="628"/>
      <c r="H38" s="628"/>
      <c r="I38" s="628"/>
      <c r="J38" s="628" t="s">
        <v>309</v>
      </c>
      <c r="K38" s="628" t="s">
        <v>475</v>
      </c>
      <c r="L38" s="12">
        <v>1000</v>
      </c>
      <c r="M38" s="12" t="s">
        <v>418</v>
      </c>
      <c r="N38" s="628" t="s">
        <v>311</v>
      </c>
      <c r="O38" s="628" t="s">
        <v>531</v>
      </c>
      <c r="P38" s="628"/>
      <c r="Q38" s="628"/>
      <c r="R38" s="628"/>
      <c r="S38" s="816">
        <v>45061</v>
      </c>
      <c r="T38" s="628" t="s">
        <v>281</v>
      </c>
      <c r="U38" s="628" t="s">
        <v>328</v>
      </c>
      <c r="V38" s="817"/>
    </row>
    <row r="39" s="20" customFormat="1" ht="30" customHeight="1" spans="2:22">
      <c r="B39" s="801"/>
      <c r="C39" s="789" t="s">
        <v>561</v>
      </c>
      <c r="D39" s="628" t="s">
        <v>562</v>
      </c>
      <c r="E39" s="628" t="s">
        <v>563</v>
      </c>
      <c r="F39" s="628" t="s">
        <v>444</v>
      </c>
      <c r="G39" s="628"/>
      <c r="H39" s="628"/>
      <c r="I39" s="628"/>
      <c r="J39" s="628" t="s">
        <v>316</v>
      </c>
      <c r="K39" s="628" t="s">
        <v>475</v>
      </c>
      <c r="L39" s="12">
        <v>1000</v>
      </c>
      <c r="M39" s="12" t="s">
        <v>418</v>
      </c>
      <c r="N39" s="628" t="s">
        <v>311</v>
      </c>
      <c r="O39" s="628"/>
      <c r="P39" s="628"/>
      <c r="Q39" s="628"/>
      <c r="R39" s="628"/>
      <c r="S39" s="816">
        <v>45061</v>
      </c>
      <c r="T39" s="628" t="s">
        <v>281</v>
      </c>
      <c r="U39" s="628" t="s">
        <v>323</v>
      </c>
      <c r="V39" s="817"/>
    </row>
    <row r="40" s="20" customFormat="1" ht="30" customHeight="1" spans="2:22">
      <c r="B40" s="801"/>
      <c r="C40" s="789" t="s">
        <v>564</v>
      </c>
      <c r="D40" s="628" t="s">
        <v>565</v>
      </c>
      <c r="E40" s="628" t="s">
        <v>566</v>
      </c>
      <c r="F40" s="628" t="s">
        <v>280</v>
      </c>
      <c r="G40" s="628"/>
      <c r="H40" s="628"/>
      <c r="I40" s="628"/>
      <c r="J40" s="628" t="s">
        <v>316</v>
      </c>
      <c r="K40" s="628" t="s">
        <v>567</v>
      </c>
      <c r="L40" s="12">
        <v>300</v>
      </c>
      <c r="M40" s="12" t="s">
        <v>418</v>
      </c>
      <c r="N40" s="628" t="s">
        <v>311</v>
      </c>
      <c r="O40" s="628"/>
      <c r="P40" s="628"/>
      <c r="Q40" s="628"/>
      <c r="R40" s="628"/>
      <c r="S40" s="816">
        <v>45527</v>
      </c>
      <c r="T40" s="628"/>
      <c r="U40" s="628" t="s">
        <v>326</v>
      </c>
      <c r="V40" s="817"/>
    </row>
    <row r="41" s="20" customFormat="1" ht="30" customHeight="1" spans="2:22">
      <c r="B41" s="801"/>
      <c r="C41" s="789" t="s">
        <v>568</v>
      </c>
      <c r="D41" s="628" t="s">
        <v>569</v>
      </c>
      <c r="E41" s="628" t="s">
        <v>570</v>
      </c>
      <c r="F41" s="628" t="s">
        <v>280</v>
      </c>
      <c r="G41" s="628"/>
      <c r="H41" s="628"/>
      <c r="I41" s="628"/>
      <c r="J41" s="628" t="s">
        <v>380</v>
      </c>
      <c r="K41" s="628" t="s">
        <v>571</v>
      </c>
      <c r="L41" s="12">
        <v>50</v>
      </c>
      <c r="M41" s="12" t="s">
        <v>418</v>
      </c>
      <c r="N41" s="628" t="s">
        <v>381</v>
      </c>
      <c r="O41" s="628"/>
      <c r="P41" s="628"/>
      <c r="Q41" s="628"/>
      <c r="R41" s="628"/>
      <c r="S41" s="816">
        <v>45527</v>
      </c>
      <c r="T41" s="628"/>
      <c r="U41" s="628" t="s">
        <v>326</v>
      </c>
      <c r="V41" s="817"/>
    </row>
    <row r="42" s="20" customFormat="1" ht="30" customHeight="1" spans="2:22">
      <c r="B42" s="801"/>
      <c r="C42" s="789" t="s">
        <v>572</v>
      </c>
      <c r="D42" s="628" t="s">
        <v>573</v>
      </c>
      <c r="E42" s="628" t="s">
        <v>574</v>
      </c>
      <c r="F42" s="628" t="s">
        <v>444</v>
      </c>
      <c r="G42" s="628"/>
      <c r="H42" s="628"/>
      <c r="I42" s="628"/>
      <c r="J42" s="628" t="s">
        <v>309</v>
      </c>
      <c r="K42" s="628" t="s">
        <v>475</v>
      </c>
      <c r="L42" s="12">
        <v>1000</v>
      </c>
      <c r="M42" s="12" t="s">
        <v>418</v>
      </c>
      <c r="N42" s="628" t="s">
        <v>381</v>
      </c>
      <c r="O42" s="628"/>
      <c r="P42" s="628"/>
      <c r="Q42" s="628"/>
      <c r="R42" s="628"/>
      <c r="S42" s="816">
        <v>45527</v>
      </c>
      <c r="T42" s="628"/>
      <c r="U42" s="628" t="s">
        <v>326</v>
      </c>
      <c r="V42" s="817"/>
    </row>
    <row r="43" s="20" customFormat="1" ht="30" customHeight="1" spans="2:22">
      <c r="B43" s="801"/>
      <c r="C43" s="789" t="s">
        <v>575</v>
      </c>
      <c r="D43" s="628" t="s">
        <v>576</v>
      </c>
      <c r="E43" s="628" t="s">
        <v>577</v>
      </c>
      <c r="F43" s="628" t="s">
        <v>280</v>
      </c>
      <c r="G43" s="628"/>
      <c r="H43" s="628"/>
      <c r="I43" s="628"/>
      <c r="J43" s="628" t="s">
        <v>377</v>
      </c>
      <c r="K43" s="628" t="s">
        <v>578</v>
      </c>
      <c r="L43" s="12">
        <v>1000</v>
      </c>
      <c r="M43" s="12" t="s">
        <v>418</v>
      </c>
      <c r="N43" s="628" t="s">
        <v>381</v>
      </c>
      <c r="O43" s="628"/>
      <c r="P43" s="628"/>
      <c r="Q43" s="628"/>
      <c r="R43" s="628"/>
      <c r="S43" s="816">
        <v>45615</v>
      </c>
      <c r="T43" s="628"/>
      <c r="U43" s="628" t="s">
        <v>326</v>
      </c>
      <c r="V43" s="817"/>
    </row>
    <row r="44" s="20" customFormat="1" ht="30" customHeight="1" spans="2:22">
      <c r="B44" s="801"/>
      <c r="C44" s="789" t="s">
        <v>579</v>
      </c>
      <c r="D44" s="628" t="s">
        <v>580</v>
      </c>
      <c r="E44" s="628" t="s">
        <v>581</v>
      </c>
      <c r="F44" s="628" t="s">
        <v>444</v>
      </c>
      <c r="G44" s="628"/>
      <c r="H44" s="628"/>
      <c r="I44" s="628"/>
      <c r="J44" s="628" t="s">
        <v>378</v>
      </c>
      <c r="K44" s="628" t="s">
        <v>475</v>
      </c>
      <c r="L44" s="12">
        <v>1000</v>
      </c>
      <c r="M44" s="12" t="s">
        <v>418</v>
      </c>
      <c r="N44" s="628" t="s">
        <v>311</v>
      </c>
      <c r="O44" s="628"/>
      <c r="P44" s="628"/>
      <c r="Q44" s="628"/>
      <c r="R44" s="628"/>
      <c r="S44" s="816">
        <v>45847</v>
      </c>
      <c r="T44" s="628"/>
      <c r="U44" s="628" t="s">
        <v>326</v>
      </c>
      <c r="V44" s="817"/>
    </row>
    <row r="45" s="776" customFormat="1" ht="51.95" customHeight="1" spans="2:22">
      <c r="B45" s="802"/>
      <c r="C45" s="792" t="s">
        <v>582</v>
      </c>
      <c r="D45" s="681" t="s">
        <v>583</v>
      </c>
      <c r="E45" s="681" t="s">
        <v>584</v>
      </c>
      <c r="F45" s="681" t="s">
        <v>444</v>
      </c>
      <c r="G45" s="681"/>
      <c r="H45" s="681"/>
      <c r="I45" s="681"/>
      <c r="J45" s="681" t="s">
        <v>361</v>
      </c>
      <c r="K45" s="681" t="s">
        <v>530</v>
      </c>
      <c r="L45" s="450">
        <v>1000</v>
      </c>
      <c r="M45" s="450" t="s">
        <v>418</v>
      </c>
      <c r="N45" s="681" t="s">
        <v>311</v>
      </c>
      <c r="O45" s="681"/>
      <c r="P45" s="681"/>
      <c r="Q45" s="681"/>
      <c r="R45" s="681"/>
      <c r="S45" s="818">
        <v>46038</v>
      </c>
      <c r="T45" s="821"/>
      <c r="U45" s="681" t="s">
        <v>326</v>
      </c>
      <c r="V45" s="822"/>
    </row>
    <row r="46" s="20" customFormat="1" ht="153.95" customHeight="1" spans="2:22">
      <c r="B46" s="803" t="s">
        <v>163</v>
      </c>
      <c r="C46" s="804" t="s">
        <v>585</v>
      </c>
      <c r="D46" s="574" t="s">
        <v>586</v>
      </c>
      <c r="E46" s="574" t="s">
        <v>587</v>
      </c>
      <c r="F46" s="574" t="s">
        <v>444</v>
      </c>
      <c r="G46" s="574" t="s">
        <v>433</v>
      </c>
      <c r="H46" s="574" t="s">
        <v>434</v>
      </c>
      <c r="I46" s="574" t="s">
        <v>435</v>
      </c>
      <c r="J46" s="574" t="s">
        <v>353</v>
      </c>
      <c r="K46" s="574" t="s">
        <v>475</v>
      </c>
      <c r="L46" s="472">
        <v>200</v>
      </c>
      <c r="M46" s="472">
        <v>5</v>
      </c>
      <c r="N46" s="574" t="s">
        <v>588</v>
      </c>
      <c r="O46" s="574" t="s">
        <v>589</v>
      </c>
      <c r="P46" s="574" t="s">
        <v>421</v>
      </c>
      <c r="Q46" s="445" t="s">
        <v>439</v>
      </c>
      <c r="R46" s="445" t="s">
        <v>440</v>
      </c>
      <c r="S46" s="823" t="s">
        <v>590</v>
      </c>
      <c r="T46" s="574" t="s">
        <v>281</v>
      </c>
      <c r="U46" s="574" t="s">
        <v>308</v>
      </c>
      <c r="V46" s="824"/>
    </row>
    <row r="47" s="20" customFormat="1" ht="41.1" customHeight="1" spans="2:22">
      <c r="B47" s="805"/>
      <c r="C47" s="789" t="s">
        <v>591</v>
      </c>
      <c r="D47" s="628" t="s">
        <v>592</v>
      </c>
      <c r="E47" s="628" t="s">
        <v>593</v>
      </c>
      <c r="F47" s="628" t="s">
        <v>444</v>
      </c>
      <c r="G47" s="628"/>
      <c r="H47" s="628"/>
      <c r="I47" s="628"/>
      <c r="J47" s="628" t="s">
        <v>316</v>
      </c>
      <c r="K47" s="628" t="s">
        <v>315</v>
      </c>
      <c r="L47" s="11">
        <v>200</v>
      </c>
      <c r="M47" s="11">
        <v>5</v>
      </c>
      <c r="N47" s="628" t="s">
        <v>594</v>
      </c>
      <c r="O47" s="628" t="s">
        <v>595</v>
      </c>
      <c r="P47" s="628"/>
      <c r="Q47" s="12"/>
      <c r="R47" s="12"/>
      <c r="S47" s="816">
        <v>43493</v>
      </c>
      <c r="T47" s="628"/>
      <c r="U47" s="628" t="s">
        <v>326</v>
      </c>
      <c r="V47" s="817"/>
    </row>
    <row r="48" s="20" customFormat="1" ht="41.1" customHeight="1" spans="2:22">
      <c r="B48" s="805"/>
      <c r="C48" s="789" t="s">
        <v>596</v>
      </c>
      <c r="D48" s="628" t="s">
        <v>597</v>
      </c>
      <c r="E48" s="628" t="s">
        <v>598</v>
      </c>
      <c r="F48" s="628" t="s">
        <v>444</v>
      </c>
      <c r="G48" s="628"/>
      <c r="H48" s="628"/>
      <c r="I48" s="628"/>
      <c r="J48" s="628" t="s">
        <v>316</v>
      </c>
      <c r="K48" s="628" t="s">
        <v>475</v>
      </c>
      <c r="L48" s="11">
        <v>200</v>
      </c>
      <c r="M48" s="11">
        <v>5</v>
      </c>
      <c r="N48" s="628" t="s">
        <v>599</v>
      </c>
      <c r="O48" s="628"/>
      <c r="P48" s="628"/>
      <c r="Q48" s="12"/>
      <c r="R48" s="12"/>
      <c r="S48" s="816">
        <v>43815</v>
      </c>
      <c r="T48" s="628" t="s">
        <v>281</v>
      </c>
      <c r="U48" s="628" t="s">
        <v>308</v>
      </c>
      <c r="V48" s="817" t="s">
        <v>281</v>
      </c>
    </row>
    <row r="49" s="20" customFormat="1" ht="41.1" customHeight="1" spans="2:22">
      <c r="B49" s="805"/>
      <c r="C49" s="789" t="s">
        <v>600</v>
      </c>
      <c r="D49" s="628" t="s">
        <v>601</v>
      </c>
      <c r="E49" s="628" t="s">
        <v>602</v>
      </c>
      <c r="F49" s="628" t="s">
        <v>444</v>
      </c>
      <c r="G49" s="628"/>
      <c r="H49" s="628"/>
      <c r="I49" s="628"/>
      <c r="J49" s="628" t="s">
        <v>309</v>
      </c>
      <c r="K49" s="628" t="s">
        <v>475</v>
      </c>
      <c r="L49" s="11">
        <v>200</v>
      </c>
      <c r="M49" s="11">
        <v>5</v>
      </c>
      <c r="N49" s="628" t="s">
        <v>599</v>
      </c>
      <c r="O49" s="628"/>
      <c r="P49" s="628"/>
      <c r="Q49" s="12"/>
      <c r="R49" s="12"/>
      <c r="S49" s="816">
        <v>43815</v>
      </c>
      <c r="T49" s="628" t="s">
        <v>281</v>
      </c>
      <c r="U49" s="628" t="s">
        <v>308</v>
      </c>
      <c r="V49" s="817"/>
    </row>
    <row r="50" s="20" customFormat="1" ht="41.1" customHeight="1" spans="2:22">
      <c r="B50" s="805"/>
      <c r="C50" s="789" t="s">
        <v>603</v>
      </c>
      <c r="D50" s="628" t="s">
        <v>604</v>
      </c>
      <c r="E50" s="628" t="s">
        <v>605</v>
      </c>
      <c r="F50" s="628" t="s">
        <v>444</v>
      </c>
      <c r="G50" s="628"/>
      <c r="H50" s="628"/>
      <c r="I50" s="628"/>
      <c r="J50" s="628" t="s">
        <v>309</v>
      </c>
      <c r="K50" s="628" t="s">
        <v>475</v>
      </c>
      <c r="L50" s="11">
        <v>200</v>
      </c>
      <c r="M50" s="11">
        <v>5</v>
      </c>
      <c r="N50" s="628" t="s">
        <v>594</v>
      </c>
      <c r="O50" s="628"/>
      <c r="P50" s="628"/>
      <c r="Q50" s="12"/>
      <c r="R50" s="12"/>
      <c r="S50" s="816">
        <v>43846</v>
      </c>
      <c r="T50" s="628" t="s">
        <v>281</v>
      </c>
      <c r="U50" s="628" t="s">
        <v>323</v>
      </c>
      <c r="V50" s="817" t="s">
        <v>281</v>
      </c>
    </row>
    <row r="51" s="20" customFormat="1" ht="41.1" customHeight="1" spans="2:22">
      <c r="B51" s="805"/>
      <c r="C51" s="789" t="s">
        <v>606</v>
      </c>
      <c r="D51" s="628" t="s">
        <v>607</v>
      </c>
      <c r="E51" s="628" t="s">
        <v>608</v>
      </c>
      <c r="F51" s="628" t="s">
        <v>444</v>
      </c>
      <c r="G51" s="628"/>
      <c r="H51" s="628"/>
      <c r="I51" s="628"/>
      <c r="J51" s="628" t="s">
        <v>309</v>
      </c>
      <c r="K51" s="628" t="s">
        <v>475</v>
      </c>
      <c r="L51" s="11">
        <v>200</v>
      </c>
      <c r="M51" s="11">
        <v>5</v>
      </c>
      <c r="N51" s="628" t="s">
        <v>594</v>
      </c>
      <c r="O51" s="628"/>
      <c r="P51" s="628"/>
      <c r="Q51" s="12"/>
      <c r="R51" s="12"/>
      <c r="S51" s="816">
        <v>44799</v>
      </c>
      <c r="T51" s="628" t="s">
        <v>281</v>
      </c>
      <c r="U51" s="628" t="s">
        <v>308</v>
      </c>
      <c r="V51" s="817" t="s">
        <v>281</v>
      </c>
    </row>
    <row r="52" s="20" customFormat="1" ht="41.1" customHeight="1" spans="2:22">
      <c r="B52" s="805"/>
      <c r="C52" s="789" t="s">
        <v>609</v>
      </c>
      <c r="D52" s="628" t="s">
        <v>610</v>
      </c>
      <c r="E52" s="628" t="s">
        <v>611</v>
      </c>
      <c r="F52" s="628" t="s">
        <v>49</v>
      </c>
      <c r="G52" s="628"/>
      <c r="H52" s="628"/>
      <c r="I52" s="628"/>
      <c r="J52" s="628" t="s">
        <v>316</v>
      </c>
      <c r="K52" s="628" t="s">
        <v>475</v>
      </c>
      <c r="L52" s="11">
        <v>200</v>
      </c>
      <c r="M52" s="11">
        <v>5</v>
      </c>
      <c r="N52" s="628" t="s">
        <v>594</v>
      </c>
      <c r="O52" s="628"/>
      <c r="P52" s="628"/>
      <c r="Q52" s="12"/>
      <c r="R52" s="12"/>
      <c r="S52" s="816">
        <v>44799</v>
      </c>
      <c r="T52" s="628" t="s">
        <v>281</v>
      </c>
      <c r="U52" s="628" t="s">
        <v>323</v>
      </c>
      <c r="V52" s="817" t="s">
        <v>281</v>
      </c>
    </row>
    <row r="53" s="20" customFormat="1" ht="41.1" customHeight="1" spans="2:22">
      <c r="B53" s="805"/>
      <c r="C53" s="789" t="s">
        <v>612</v>
      </c>
      <c r="D53" s="628" t="s">
        <v>613</v>
      </c>
      <c r="E53" s="628" t="s">
        <v>614</v>
      </c>
      <c r="F53" s="628" t="s">
        <v>444</v>
      </c>
      <c r="G53" s="628"/>
      <c r="H53" s="628"/>
      <c r="I53" s="628"/>
      <c r="J53" s="628" t="s">
        <v>365</v>
      </c>
      <c r="K53" s="628" t="s">
        <v>530</v>
      </c>
      <c r="L53" s="11">
        <v>200</v>
      </c>
      <c r="M53" s="11">
        <v>5</v>
      </c>
      <c r="N53" s="628" t="s">
        <v>599</v>
      </c>
      <c r="O53" s="628"/>
      <c r="P53" s="628"/>
      <c r="Q53" s="12"/>
      <c r="R53" s="12"/>
      <c r="S53" s="816">
        <v>44012</v>
      </c>
      <c r="T53" s="628"/>
      <c r="U53" s="628" t="s">
        <v>326</v>
      </c>
      <c r="V53" s="817"/>
    </row>
    <row r="54" s="20" customFormat="1" ht="41.1" customHeight="1" spans="2:22">
      <c r="B54" s="805"/>
      <c r="C54" s="789" t="s">
        <v>615</v>
      </c>
      <c r="D54" s="628" t="s">
        <v>616</v>
      </c>
      <c r="E54" s="628" t="s">
        <v>617</v>
      </c>
      <c r="F54" s="628" t="s">
        <v>444</v>
      </c>
      <c r="G54" s="628"/>
      <c r="H54" s="628"/>
      <c r="I54" s="628"/>
      <c r="J54" s="628" t="s">
        <v>378</v>
      </c>
      <c r="K54" s="628" t="s">
        <v>475</v>
      </c>
      <c r="L54" s="11">
        <v>200</v>
      </c>
      <c r="M54" s="11">
        <v>5</v>
      </c>
      <c r="N54" s="628" t="s">
        <v>599</v>
      </c>
      <c r="O54" s="628"/>
      <c r="P54" s="628"/>
      <c r="Q54" s="12"/>
      <c r="R54" s="12"/>
      <c r="S54" s="816">
        <v>45187</v>
      </c>
      <c r="T54" s="628"/>
      <c r="U54" s="628" t="s">
        <v>326</v>
      </c>
      <c r="V54" s="817"/>
    </row>
    <row r="55" s="20" customFormat="1" ht="41.1" customHeight="1" spans="2:22">
      <c r="B55" s="805"/>
      <c r="C55" s="789" t="s">
        <v>618</v>
      </c>
      <c r="D55" s="628" t="s">
        <v>619</v>
      </c>
      <c r="E55" s="628" t="s">
        <v>620</v>
      </c>
      <c r="F55" s="628" t="s">
        <v>444</v>
      </c>
      <c r="G55" s="628"/>
      <c r="H55" s="628"/>
      <c r="I55" s="628"/>
      <c r="J55" s="628" t="s">
        <v>316</v>
      </c>
      <c r="K55" s="628" t="s">
        <v>475</v>
      </c>
      <c r="L55" s="11">
        <v>200</v>
      </c>
      <c r="M55" s="11">
        <v>5</v>
      </c>
      <c r="N55" s="628" t="s">
        <v>599</v>
      </c>
      <c r="O55" s="628"/>
      <c r="P55" s="628"/>
      <c r="Q55" s="12"/>
      <c r="R55" s="12"/>
      <c r="S55" s="816">
        <v>45219</v>
      </c>
      <c r="T55" s="628" t="s">
        <v>281</v>
      </c>
      <c r="U55" s="628" t="s">
        <v>323</v>
      </c>
      <c r="V55" s="817" t="s">
        <v>281</v>
      </c>
    </row>
    <row r="56" s="20" customFormat="1" ht="41.1" customHeight="1" spans="2:22">
      <c r="B56" s="805"/>
      <c r="C56" s="789" t="s">
        <v>621</v>
      </c>
      <c r="D56" s="628" t="s">
        <v>622</v>
      </c>
      <c r="E56" s="628" t="s">
        <v>623</v>
      </c>
      <c r="F56" s="628" t="s">
        <v>444</v>
      </c>
      <c r="G56" s="628"/>
      <c r="H56" s="628"/>
      <c r="I56" s="628"/>
      <c r="J56" s="628" t="s">
        <v>329</v>
      </c>
      <c r="K56" s="628" t="s">
        <v>475</v>
      </c>
      <c r="L56" s="11">
        <v>200</v>
      </c>
      <c r="M56" s="11">
        <v>5</v>
      </c>
      <c r="N56" s="628" t="s">
        <v>599</v>
      </c>
      <c r="O56" s="628"/>
      <c r="P56" s="628"/>
      <c r="Q56" s="12"/>
      <c r="R56" s="12"/>
      <c r="S56" s="816">
        <v>45219</v>
      </c>
      <c r="T56" s="628" t="s">
        <v>281</v>
      </c>
      <c r="U56" s="628" t="s">
        <v>328</v>
      </c>
      <c r="V56" s="817"/>
    </row>
    <row r="57" s="20" customFormat="1" ht="41.1" customHeight="1" spans="2:22">
      <c r="B57" s="805"/>
      <c r="C57" s="789" t="s">
        <v>624</v>
      </c>
      <c r="D57" s="628" t="s">
        <v>625</v>
      </c>
      <c r="E57" s="628" t="s">
        <v>626</v>
      </c>
      <c r="F57" s="628" t="s">
        <v>49</v>
      </c>
      <c r="G57" s="628"/>
      <c r="H57" s="628"/>
      <c r="I57" s="628"/>
      <c r="J57" s="628" t="s">
        <v>316</v>
      </c>
      <c r="K57" s="628" t="s">
        <v>315</v>
      </c>
      <c r="L57" s="11">
        <v>200</v>
      </c>
      <c r="M57" s="11">
        <v>5</v>
      </c>
      <c r="N57" s="628" t="s">
        <v>594</v>
      </c>
      <c r="O57" s="628"/>
      <c r="P57" s="628"/>
      <c r="Q57" s="12"/>
      <c r="R57" s="12"/>
      <c r="S57" s="816">
        <v>45219</v>
      </c>
      <c r="T57" s="628" t="s">
        <v>281</v>
      </c>
      <c r="U57" s="628" t="s">
        <v>323</v>
      </c>
      <c r="V57" s="817"/>
    </row>
    <row r="58" s="20" customFormat="1" ht="41.1" customHeight="1" spans="2:22">
      <c r="B58" s="805"/>
      <c r="C58" s="789" t="s">
        <v>627</v>
      </c>
      <c r="D58" s="628" t="s">
        <v>628</v>
      </c>
      <c r="E58" s="628" t="s">
        <v>629</v>
      </c>
      <c r="F58" s="628" t="s">
        <v>49</v>
      </c>
      <c r="G58" s="628"/>
      <c r="H58" s="628"/>
      <c r="I58" s="628"/>
      <c r="J58" s="628" t="s">
        <v>316</v>
      </c>
      <c r="K58" s="628" t="s">
        <v>315</v>
      </c>
      <c r="L58" s="11">
        <v>200</v>
      </c>
      <c r="M58" s="11">
        <v>5</v>
      </c>
      <c r="N58" s="628" t="s">
        <v>594</v>
      </c>
      <c r="O58" s="628"/>
      <c r="P58" s="628"/>
      <c r="Q58" s="12"/>
      <c r="R58" s="12"/>
      <c r="S58" s="816">
        <v>45219</v>
      </c>
      <c r="T58" s="628" t="s">
        <v>281</v>
      </c>
      <c r="U58" s="628" t="s">
        <v>328</v>
      </c>
      <c r="V58" s="817"/>
    </row>
    <row r="59" s="20" customFormat="1" ht="41.1" customHeight="1" spans="2:22">
      <c r="B59" s="805"/>
      <c r="C59" s="789" t="s">
        <v>630</v>
      </c>
      <c r="D59" s="628" t="s">
        <v>631</v>
      </c>
      <c r="E59" s="628" t="s">
        <v>632</v>
      </c>
      <c r="F59" s="628" t="s">
        <v>49</v>
      </c>
      <c r="G59" s="628"/>
      <c r="H59" s="628"/>
      <c r="I59" s="628"/>
      <c r="J59" s="628" t="s">
        <v>329</v>
      </c>
      <c r="K59" s="628" t="s">
        <v>475</v>
      </c>
      <c r="L59" s="11">
        <v>200</v>
      </c>
      <c r="M59" s="11">
        <v>5</v>
      </c>
      <c r="N59" s="628" t="s">
        <v>599</v>
      </c>
      <c r="O59" s="628"/>
      <c r="P59" s="628"/>
      <c r="Q59" s="12"/>
      <c r="R59" s="12"/>
      <c r="S59" s="816">
        <v>45219</v>
      </c>
      <c r="T59" s="628"/>
      <c r="U59" s="628" t="s">
        <v>326</v>
      </c>
      <c r="V59" s="817"/>
    </row>
    <row r="60" s="776" customFormat="1" ht="41.1" customHeight="1" spans="2:22">
      <c r="B60" s="806"/>
      <c r="C60" s="789" t="s">
        <v>633</v>
      </c>
      <c r="D60" s="628" t="s">
        <v>634</v>
      </c>
      <c r="E60" s="628" t="s">
        <v>635</v>
      </c>
      <c r="F60" s="628" t="s">
        <v>444</v>
      </c>
      <c r="G60" s="628"/>
      <c r="H60" s="628"/>
      <c r="I60" s="628"/>
      <c r="J60" s="628" t="s">
        <v>329</v>
      </c>
      <c r="K60" s="628" t="s">
        <v>475</v>
      </c>
      <c r="L60" s="11">
        <v>200</v>
      </c>
      <c r="M60" s="11">
        <v>5</v>
      </c>
      <c r="N60" s="628" t="s">
        <v>599</v>
      </c>
      <c r="O60" s="628"/>
      <c r="P60" s="628"/>
      <c r="Q60" s="12"/>
      <c r="R60" s="12"/>
      <c r="S60" s="816">
        <v>45464</v>
      </c>
      <c r="T60" s="628" t="s">
        <v>281</v>
      </c>
      <c r="U60" s="628" t="s">
        <v>328</v>
      </c>
      <c r="V60" s="817"/>
    </row>
    <row r="61" s="776" customFormat="1" ht="41.1" customHeight="1" spans="2:22">
      <c r="B61" s="806"/>
      <c r="C61" s="789" t="s">
        <v>636</v>
      </c>
      <c r="D61" s="628" t="s">
        <v>637</v>
      </c>
      <c r="E61" s="628" t="s">
        <v>638</v>
      </c>
      <c r="F61" s="628" t="s">
        <v>444</v>
      </c>
      <c r="G61" s="628"/>
      <c r="H61" s="628"/>
      <c r="I61" s="628"/>
      <c r="J61" s="628" t="s">
        <v>395</v>
      </c>
      <c r="K61" s="628" t="s">
        <v>475</v>
      </c>
      <c r="L61" s="11">
        <v>200</v>
      </c>
      <c r="M61" s="11">
        <v>5</v>
      </c>
      <c r="N61" s="628" t="s">
        <v>639</v>
      </c>
      <c r="O61" s="628"/>
      <c r="P61" s="628"/>
      <c r="Q61" s="12"/>
      <c r="R61" s="12"/>
      <c r="S61" s="816">
        <v>45653</v>
      </c>
      <c r="T61" s="628" t="s">
        <v>281</v>
      </c>
      <c r="U61" s="628" t="s">
        <v>323</v>
      </c>
      <c r="V61" s="817" t="s">
        <v>281</v>
      </c>
    </row>
    <row r="62" s="776" customFormat="1" ht="41.1" customHeight="1" spans="2:22">
      <c r="B62" s="806"/>
      <c r="C62" s="789" t="s">
        <v>640</v>
      </c>
      <c r="D62" s="628" t="s">
        <v>641</v>
      </c>
      <c r="E62" s="628" t="s">
        <v>642</v>
      </c>
      <c r="F62" s="628" t="s">
        <v>444</v>
      </c>
      <c r="G62" s="628"/>
      <c r="H62" s="628"/>
      <c r="I62" s="628"/>
      <c r="J62" s="628" t="s">
        <v>329</v>
      </c>
      <c r="K62" s="628" t="s">
        <v>475</v>
      </c>
      <c r="L62" s="11">
        <v>200</v>
      </c>
      <c r="M62" s="11">
        <v>5</v>
      </c>
      <c r="N62" s="628" t="s">
        <v>599</v>
      </c>
      <c r="O62" s="628"/>
      <c r="P62" s="628"/>
      <c r="Q62" s="12"/>
      <c r="R62" s="12"/>
      <c r="S62" s="816">
        <v>45861</v>
      </c>
      <c r="T62" s="628"/>
      <c r="U62" s="628" t="s">
        <v>326</v>
      </c>
      <c r="V62" s="817"/>
    </row>
    <row r="63" s="20" customFormat="1" ht="41.1" customHeight="1" spans="2:22">
      <c r="B63" s="805"/>
      <c r="C63" s="789" t="s">
        <v>643</v>
      </c>
      <c r="D63" s="628" t="s">
        <v>644</v>
      </c>
      <c r="E63" s="628" t="s">
        <v>645</v>
      </c>
      <c r="F63" s="628" t="s">
        <v>444</v>
      </c>
      <c r="G63" s="628"/>
      <c r="H63" s="628"/>
      <c r="I63" s="628"/>
      <c r="J63" s="628" t="s">
        <v>316</v>
      </c>
      <c r="K63" s="628" t="s">
        <v>475</v>
      </c>
      <c r="L63" s="11">
        <v>200</v>
      </c>
      <c r="M63" s="11">
        <v>5</v>
      </c>
      <c r="N63" s="628" t="s">
        <v>599</v>
      </c>
      <c r="O63" s="628" t="s">
        <v>646</v>
      </c>
      <c r="P63" s="628"/>
      <c r="Q63" s="12"/>
      <c r="R63" s="12"/>
      <c r="S63" s="816">
        <v>45187</v>
      </c>
      <c r="T63" s="628" t="s">
        <v>281</v>
      </c>
      <c r="U63" s="628" t="s">
        <v>323</v>
      </c>
      <c r="V63" s="817" t="s">
        <v>281</v>
      </c>
    </row>
    <row r="64" s="20" customFormat="1" ht="41.1" customHeight="1" spans="2:22">
      <c r="B64" s="805"/>
      <c r="C64" s="789" t="s">
        <v>647</v>
      </c>
      <c r="D64" s="628" t="s">
        <v>648</v>
      </c>
      <c r="E64" s="628" t="s">
        <v>649</v>
      </c>
      <c r="F64" s="628" t="s">
        <v>49</v>
      </c>
      <c r="G64" s="628"/>
      <c r="H64" s="628"/>
      <c r="I64" s="628"/>
      <c r="J64" s="628" t="s">
        <v>309</v>
      </c>
      <c r="K64" s="628" t="s">
        <v>475</v>
      </c>
      <c r="L64" s="11">
        <v>200</v>
      </c>
      <c r="M64" s="11">
        <v>5</v>
      </c>
      <c r="N64" s="628" t="s">
        <v>594</v>
      </c>
      <c r="O64" s="628"/>
      <c r="P64" s="628"/>
      <c r="Q64" s="12"/>
      <c r="R64" s="12"/>
      <c r="S64" s="816">
        <v>45219</v>
      </c>
      <c r="T64" s="628"/>
      <c r="U64" s="628" t="s">
        <v>326</v>
      </c>
      <c r="V64" s="817"/>
    </row>
    <row r="65" s="776" customFormat="1" ht="41.1" customHeight="1" spans="2:22">
      <c r="B65" s="825"/>
      <c r="C65" s="826" t="s">
        <v>650</v>
      </c>
      <c r="D65" s="569" t="s">
        <v>651</v>
      </c>
      <c r="E65" s="569" t="s">
        <v>652</v>
      </c>
      <c r="F65" s="569" t="s">
        <v>49</v>
      </c>
      <c r="G65" s="569"/>
      <c r="H65" s="569"/>
      <c r="I65" s="569"/>
      <c r="J65" s="569" t="s">
        <v>316</v>
      </c>
      <c r="K65" s="569" t="s">
        <v>315</v>
      </c>
      <c r="L65" s="458">
        <v>200</v>
      </c>
      <c r="M65" s="458">
        <v>5</v>
      </c>
      <c r="N65" s="569" t="s">
        <v>594</v>
      </c>
      <c r="O65" s="569"/>
      <c r="P65" s="569"/>
      <c r="Q65" s="492"/>
      <c r="R65" s="492"/>
      <c r="S65" s="839">
        <v>45464</v>
      </c>
      <c r="T65" s="569"/>
      <c r="U65" s="569" t="s">
        <v>326</v>
      </c>
      <c r="V65" s="840"/>
    </row>
    <row r="66" s="20" customFormat="1" ht="39.95" customHeight="1" spans="2:22">
      <c r="B66" s="827" t="s">
        <v>220</v>
      </c>
      <c r="C66" s="785" t="s">
        <v>653</v>
      </c>
      <c r="D66" s="786" t="s">
        <v>654</v>
      </c>
      <c r="E66" s="786" t="s">
        <v>655</v>
      </c>
      <c r="F66" s="786" t="s">
        <v>280</v>
      </c>
      <c r="G66" s="786" t="s">
        <v>433</v>
      </c>
      <c r="H66" s="786" t="s">
        <v>434</v>
      </c>
      <c r="I66" s="786" t="s">
        <v>435</v>
      </c>
      <c r="J66" s="786" t="s">
        <v>316</v>
      </c>
      <c r="K66" s="786" t="s">
        <v>315</v>
      </c>
      <c r="L66" s="807">
        <v>100</v>
      </c>
      <c r="M66" s="807" t="s">
        <v>418</v>
      </c>
      <c r="N66" s="786" t="s">
        <v>311</v>
      </c>
      <c r="O66" s="786" t="s">
        <v>656</v>
      </c>
      <c r="P66" s="786" t="s">
        <v>421</v>
      </c>
      <c r="Q66" s="807" t="s">
        <v>439</v>
      </c>
      <c r="R66" s="807" t="s">
        <v>440</v>
      </c>
      <c r="S66" s="814">
        <v>44918</v>
      </c>
      <c r="T66" s="786" t="s">
        <v>281</v>
      </c>
      <c r="U66" s="786" t="s">
        <v>323</v>
      </c>
      <c r="V66" s="815"/>
    </row>
    <row r="67" s="20" customFormat="1" ht="39.95" customHeight="1" spans="2:22">
      <c r="B67" s="828"/>
      <c r="C67" s="789" t="s">
        <v>657</v>
      </c>
      <c r="D67" s="628" t="s">
        <v>658</v>
      </c>
      <c r="E67" s="628" t="s">
        <v>659</v>
      </c>
      <c r="F67" s="628"/>
      <c r="G67" s="628"/>
      <c r="H67" s="628"/>
      <c r="I67" s="628"/>
      <c r="J67" s="628" t="s">
        <v>332</v>
      </c>
      <c r="K67" s="628" t="s">
        <v>317</v>
      </c>
      <c r="L67" s="12">
        <v>100</v>
      </c>
      <c r="M67" s="12" t="s">
        <v>418</v>
      </c>
      <c r="N67" s="628" t="s">
        <v>311</v>
      </c>
      <c r="O67" s="628"/>
      <c r="P67" s="628"/>
      <c r="Q67" s="12"/>
      <c r="R67" s="12"/>
      <c r="S67" s="816">
        <v>45131</v>
      </c>
      <c r="T67" s="628" t="s">
        <v>281</v>
      </c>
      <c r="U67" s="628" t="s">
        <v>323</v>
      </c>
      <c r="V67" s="817" t="s">
        <v>281</v>
      </c>
    </row>
    <row r="68" s="20" customFormat="1" ht="39.95" customHeight="1" spans="2:22">
      <c r="B68" s="828"/>
      <c r="C68" s="789" t="s">
        <v>660</v>
      </c>
      <c r="D68" s="628" t="s">
        <v>661</v>
      </c>
      <c r="E68" s="628" t="s">
        <v>662</v>
      </c>
      <c r="F68" s="628"/>
      <c r="G68" s="628"/>
      <c r="H68" s="628"/>
      <c r="I68" s="628"/>
      <c r="J68" s="628" t="s">
        <v>398</v>
      </c>
      <c r="K68" s="628" t="s">
        <v>315</v>
      </c>
      <c r="L68" s="12">
        <v>100</v>
      </c>
      <c r="M68" s="12" t="s">
        <v>418</v>
      </c>
      <c r="N68" s="628" t="s">
        <v>311</v>
      </c>
      <c r="O68" s="628"/>
      <c r="P68" s="628"/>
      <c r="Q68" s="12"/>
      <c r="R68" s="12"/>
      <c r="S68" s="816">
        <v>45653</v>
      </c>
      <c r="T68" s="628" t="s">
        <v>281</v>
      </c>
      <c r="U68" s="628" t="s">
        <v>323</v>
      </c>
      <c r="V68" s="817"/>
    </row>
    <row r="69" s="777" customFormat="1" ht="30" customHeight="1" spans="2:22">
      <c r="B69" s="829"/>
      <c r="C69" s="789" t="s">
        <v>663</v>
      </c>
      <c r="D69" s="524" t="s">
        <v>664</v>
      </c>
      <c r="E69" s="628" t="s">
        <v>665</v>
      </c>
      <c r="F69" s="628"/>
      <c r="G69" s="628"/>
      <c r="H69" s="628"/>
      <c r="I69" s="628"/>
      <c r="J69" s="628" t="s">
        <v>336</v>
      </c>
      <c r="K69" s="524" t="s">
        <v>400</v>
      </c>
      <c r="L69" s="12">
        <v>100</v>
      </c>
      <c r="M69" s="12" t="s">
        <v>418</v>
      </c>
      <c r="N69" s="628" t="s">
        <v>401</v>
      </c>
      <c r="O69" s="628"/>
      <c r="P69" s="628"/>
      <c r="Q69" s="12"/>
      <c r="R69" s="12"/>
      <c r="S69" s="816">
        <v>45989</v>
      </c>
      <c r="T69" s="628"/>
      <c r="U69" s="628"/>
      <c r="V69" s="817"/>
    </row>
    <row r="70" s="777" customFormat="1" ht="30" customHeight="1" spans="2:22">
      <c r="B70" s="830"/>
      <c r="C70" s="792" t="s">
        <v>666</v>
      </c>
      <c r="D70" s="526" t="s">
        <v>667</v>
      </c>
      <c r="E70" s="681" t="s">
        <v>668</v>
      </c>
      <c r="F70" s="681"/>
      <c r="G70" s="681"/>
      <c r="H70" s="681"/>
      <c r="I70" s="681"/>
      <c r="J70" s="681" t="s">
        <v>336</v>
      </c>
      <c r="K70" s="526" t="s">
        <v>400</v>
      </c>
      <c r="L70" s="450">
        <v>100</v>
      </c>
      <c r="M70" s="450" t="s">
        <v>418</v>
      </c>
      <c r="N70" s="681" t="s">
        <v>401</v>
      </c>
      <c r="O70" s="681"/>
      <c r="P70" s="681"/>
      <c r="Q70" s="450"/>
      <c r="R70" s="450"/>
      <c r="S70" s="818">
        <v>45989</v>
      </c>
      <c r="T70" s="681"/>
      <c r="U70" s="681"/>
      <c r="V70" s="819"/>
    </row>
    <row r="71" s="20" customFormat="1" ht="30" customHeight="1" spans="2:22">
      <c r="B71" s="831" t="s">
        <v>669</v>
      </c>
      <c r="C71" s="804" t="s">
        <v>670</v>
      </c>
      <c r="D71" s="574"/>
      <c r="E71" s="445">
        <v>510050</v>
      </c>
      <c r="F71" s="574" t="s">
        <v>280</v>
      </c>
      <c r="G71" s="574" t="s">
        <v>671</v>
      </c>
      <c r="H71" s="574" t="s">
        <v>672</v>
      </c>
      <c r="I71" s="574" t="s">
        <v>673</v>
      </c>
      <c r="J71" s="574" t="s">
        <v>674</v>
      </c>
      <c r="K71" s="837">
        <v>0.0001</v>
      </c>
      <c r="L71" s="445">
        <v>50</v>
      </c>
      <c r="M71" s="445">
        <v>10</v>
      </c>
      <c r="N71" s="574" t="s">
        <v>277</v>
      </c>
      <c r="O71" s="574" t="s">
        <v>675</v>
      </c>
      <c r="P71" s="574" t="s">
        <v>676</v>
      </c>
      <c r="Q71" s="445" t="s">
        <v>422</v>
      </c>
      <c r="R71" s="445" t="s">
        <v>440</v>
      </c>
      <c r="S71" s="823">
        <v>42044</v>
      </c>
      <c r="T71" s="574"/>
      <c r="U71" s="574"/>
      <c r="V71" s="824"/>
    </row>
    <row r="72" s="20" customFormat="1" ht="30" customHeight="1" spans="2:22">
      <c r="B72" s="832"/>
      <c r="C72" s="789" t="s">
        <v>677</v>
      </c>
      <c r="D72" s="628"/>
      <c r="E72" s="12">
        <v>510300</v>
      </c>
      <c r="F72" s="628"/>
      <c r="G72" s="628"/>
      <c r="H72" s="628"/>
      <c r="I72" s="628"/>
      <c r="J72" s="628" t="s">
        <v>674</v>
      </c>
      <c r="K72" s="524">
        <v>0.0001</v>
      </c>
      <c r="L72" s="12">
        <v>50</v>
      </c>
      <c r="M72" s="12">
        <v>10</v>
      </c>
      <c r="N72" s="628" t="s">
        <v>277</v>
      </c>
      <c r="O72" s="628"/>
      <c r="P72" s="628"/>
      <c r="Q72" s="12"/>
      <c r="R72" s="12"/>
      <c r="S72" s="816">
        <v>43822</v>
      </c>
      <c r="T72" s="628"/>
      <c r="U72" s="628"/>
      <c r="V72" s="817"/>
    </row>
    <row r="73" s="20" customFormat="1" ht="30" customHeight="1" spans="2:22">
      <c r="B73" s="832"/>
      <c r="C73" s="789" t="s">
        <v>678</v>
      </c>
      <c r="D73" s="628"/>
      <c r="E73" s="12">
        <v>510500</v>
      </c>
      <c r="F73" s="628"/>
      <c r="G73" s="628"/>
      <c r="H73" s="628"/>
      <c r="I73" s="628"/>
      <c r="J73" s="628" t="s">
        <v>674</v>
      </c>
      <c r="K73" s="524">
        <v>0.0001</v>
      </c>
      <c r="L73" s="12">
        <v>50</v>
      </c>
      <c r="M73" s="12">
        <v>10</v>
      </c>
      <c r="N73" s="628" t="s">
        <v>277</v>
      </c>
      <c r="O73" s="628"/>
      <c r="P73" s="628"/>
      <c r="Q73" s="12"/>
      <c r="R73" s="12"/>
      <c r="S73" s="816">
        <v>44823</v>
      </c>
      <c r="T73" s="628"/>
      <c r="U73" s="628"/>
      <c r="V73" s="817"/>
    </row>
    <row r="74" s="20" customFormat="1" ht="30" customHeight="1" spans="2:22">
      <c r="B74" s="832"/>
      <c r="C74" s="789" t="s">
        <v>679</v>
      </c>
      <c r="D74" s="628"/>
      <c r="E74" s="12">
        <v>588000</v>
      </c>
      <c r="F74" s="628"/>
      <c r="G74" s="628"/>
      <c r="H74" s="628"/>
      <c r="I74" s="628"/>
      <c r="J74" s="628" t="s">
        <v>674</v>
      </c>
      <c r="K74" s="524">
        <v>0.0001</v>
      </c>
      <c r="L74" s="12">
        <v>50</v>
      </c>
      <c r="M74" s="12">
        <v>10</v>
      </c>
      <c r="N74" s="628" t="s">
        <v>277</v>
      </c>
      <c r="O74" s="628"/>
      <c r="P74" s="628"/>
      <c r="Q74" s="12"/>
      <c r="R74" s="12"/>
      <c r="S74" s="816">
        <v>45082</v>
      </c>
      <c r="T74" s="628"/>
      <c r="U74" s="628"/>
      <c r="V74" s="817"/>
    </row>
    <row r="75" s="20" customFormat="1" ht="30" customHeight="1" spans="2:22">
      <c r="B75" s="833"/>
      <c r="C75" s="789" t="s">
        <v>680</v>
      </c>
      <c r="D75" s="628"/>
      <c r="E75" s="12">
        <v>588080</v>
      </c>
      <c r="F75" s="628"/>
      <c r="G75" s="628"/>
      <c r="H75" s="628"/>
      <c r="I75" s="628"/>
      <c r="J75" s="628" t="s">
        <v>674</v>
      </c>
      <c r="K75" s="524">
        <v>0.0001</v>
      </c>
      <c r="L75" s="12">
        <v>50</v>
      </c>
      <c r="M75" s="12">
        <v>10</v>
      </c>
      <c r="N75" s="628" t="s">
        <v>277</v>
      </c>
      <c r="O75" s="628"/>
      <c r="P75" s="628"/>
      <c r="Q75" s="12"/>
      <c r="R75" s="12"/>
      <c r="S75" s="816">
        <v>45082</v>
      </c>
      <c r="T75" s="628"/>
      <c r="U75" s="628"/>
      <c r="V75" s="817"/>
    </row>
    <row r="76" s="20" customFormat="1" ht="30" customHeight="1" spans="2:22">
      <c r="B76" s="797" t="s">
        <v>681</v>
      </c>
      <c r="C76" s="789" t="s">
        <v>677</v>
      </c>
      <c r="D76" s="628"/>
      <c r="E76" s="12">
        <v>159919</v>
      </c>
      <c r="F76" s="628" t="s">
        <v>280</v>
      </c>
      <c r="G76" s="628" t="s">
        <v>671</v>
      </c>
      <c r="H76" s="628"/>
      <c r="I76" s="628"/>
      <c r="J76" s="628" t="s">
        <v>674</v>
      </c>
      <c r="K76" s="524">
        <v>0.0001</v>
      </c>
      <c r="L76" s="12">
        <v>50</v>
      </c>
      <c r="M76" s="12">
        <v>10</v>
      </c>
      <c r="N76" s="628" t="s">
        <v>277</v>
      </c>
      <c r="O76" s="628" t="s">
        <v>675</v>
      </c>
      <c r="P76" s="628" t="s">
        <v>676</v>
      </c>
      <c r="Q76" s="12" t="s">
        <v>422</v>
      </c>
      <c r="R76" s="12" t="s">
        <v>440</v>
      </c>
      <c r="S76" s="816">
        <v>43822</v>
      </c>
      <c r="T76" s="628"/>
      <c r="U76" s="628"/>
      <c r="V76" s="817"/>
    </row>
    <row r="77" s="20" customFormat="1" ht="30" customHeight="1" spans="2:22">
      <c r="B77" s="798"/>
      <c r="C77" s="789" t="s">
        <v>682</v>
      </c>
      <c r="D77" s="628"/>
      <c r="E77" s="12">
        <v>159915</v>
      </c>
      <c r="F77" s="628"/>
      <c r="G77" s="628"/>
      <c r="H77" s="628"/>
      <c r="I77" s="628"/>
      <c r="J77" s="628" t="s">
        <v>674</v>
      </c>
      <c r="K77" s="524">
        <v>0.0001</v>
      </c>
      <c r="L77" s="12">
        <v>50</v>
      </c>
      <c r="M77" s="12">
        <v>10</v>
      </c>
      <c r="N77" s="628" t="s">
        <v>277</v>
      </c>
      <c r="O77" s="628"/>
      <c r="P77" s="628"/>
      <c r="Q77" s="12"/>
      <c r="R77" s="12"/>
      <c r="S77" s="816">
        <v>44823</v>
      </c>
      <c r="T77" s="628"/>
      <c r="U77" s="628"/>
      <c r="V77" s="817"/>
    </row>
    <row r="78" s="20" customFormat="1" ht="30" customHeight="1" spans="2:22">
      <c r="B78" s="798"/>
      <c r="C78" s="789" t="s">
        <v>678</v>
      </c>
      <c r="D78" s="628"/>
      <c r="E78" s="12">
        <v>159922</v>
      </c>
      <c r="F78" s="628"/>
      <c r="G78" s="628"/>
      <c r="H78" s="628"/>
      <c r="I78" s="628"/>
      <c r="J78" s="628" t="s">
        <v>674</v>
      </c>
      <c r="K78" s="524">
        <v>0.0001</v>
      </c>
      <c r="L78" s="12">
        <v>50</v>
      </c>
      <c r="M78" s="12">
        <v>10</v>
      </c>
      <c r="N78" s="628" t="s">
        <v>277</v>
      </c>
      <c r="O78" s="628"/>
      <c r="P78" s="628"/>
      <c r="Q78" s="12"/>
      <c r="R78" s="12"/>
      <c r="S78" s="816">
        <v>44823</v>
      </c>
      <c r="T78" s="628"/>
      <c r="U78" s="628"/>
      <c r="V78" s="817"/>
    </row>
    <row r="79" s="20" customFormat="1" ht="30" customHeight="1" spans="2:22">
      <c r="B79" s="799"/>
      <c r="C79" s="826" t="s">
        <v>683</v>
      </c>
      <c r="D79" s="569"/>
      <c r="E79" s="492">
        <v>159901</v>
      </c>
      <c r="F79" s="569"/>
      <c r="G79" s="569"/>
      <c r="H79" s="569"/>
      <c r="I79" s="569"/>
      <c r="J79" s="569" t="s">
        <v>674</v>
      </c>
      <c r="K79" s="838">
        <v>0.0001</v>
      </c>
      <c r="L79" s="492">
        <v>50</v>
      </c>
      <c r="M79" s="492">
        <v>10</v>
      </c>
      <c r="N79" s="569" t="s">
        <v>277</v>
      </c>
      <c r="O79" s="569"/>
      <c r="P79" s="569"/>
      <c r="Q79" s="492"/>
      <c r="R79" s="492"/>
      <c r="S79" s="839">
        <v>44907</v>
      </c>
      <c r="T79" s="569"/>
      <c r="U79" s="569"/>
      <c r="V79" s="840"/>
    </row>
    <row r="80" customHeight="1" spans="2:22">
      <c r="B80" s="834" t="s">
        <v>684</v>
      </c>
      <c r="C80" s="835"/>
      <c r="D80" s="835"/>
      <c r="E80" s="835"/>
      <c r="F80" s="835"/>
      <c r="G80" s="835"/>
      <c r="H80" s="835"/>
      <c r="I80" s="835"/>
      <c r="J80" s="835"/>
      <c r="K80" s="835"/>
      <c r="L80" s="835"/>
      <c r="M80" s="835"/>
      <c r="N80" s="835"/>
      <c r="O80" s="835"/>
      <c r="P80" s="835"/>
      <c r="Q80" s="835"/>
      <c r="R80" s="835"/>
      <c r="S80" s="835"/>
      <c r="T80" s="835"/>
      <c r="U80" s="835"/>
      <c r="V80" s="841"/>
    </row>
    <row r="81" customHeight="1" spans="2:19">
      <c r="B81" s="836"/>
      <c r="C81" s="836"/>
      <c r="D81" s="836"/>
      <c r="E81" s="836"/>
      <c r="F81" s="836"/>
      <c r="G81" s="836"/>
      <c r="H81" s="836"/>
      <c r="I81" s="836"/>
      <c r="J81" s="836"/>
      <c r="K81" s="836"/>
      <c r="L81" s="836"/>
      <c r="M81" s="836"/>
      <c r="N81" s="836"/>
      <c r="O81" s="836"/>
      <c r="P81" s="836"/>
      <c r="Q81" s="842"/>
      <c r="R81" s="842"/>
      <c r="S81" s="843"/>
    </row>
    <row r="82" customHeight="1" spans="2:19">
      <c r="B82" s="836"/>
      <c r="C82" s="836"/>
      <c r="D82" s="836"/>
      <c r="E82" s="836"/>
      <c r="F82" s="836"/>
      <c r="G82" s="836"/>
      <c r="H82" s="836"/>
      <c r="I82" s="836"/>
      <c r="J82" s="836"/>
      <c r="K82" s="836"/>
      <c r="L82" s="836"/>
      <c r="M82" s="836"/>
      <c r="N82" s="836"/>
      <c r="O82" s="836"/>
      <c r="P82" s="836"/>
      <c r="Q82" s="842"/>
      <c r="R82" s="842"/>
      <c r="S82" s="843"/>
    </row>
    <row r="83" customHeight="1" spans="2:19">
      <c r="B83" s="836"/>
      <c r="C83" s="836"/>
      <c r="D83" s="836"/>
      <c r="E83" s="836"/>
      <c r="F83" s="836"/>
      <c r="G83" s="836"/>
      <c r="H83" s="836"/>
      <c r="I83" s="836"/>
      <c r="J83" s="836"/>
      <c r="K83" s="836"/>
      <c r="L83" s="836"/>
      <c r="M83" s="836"/>
      <c r="N83" s="836"/>
      <c r="O83" s="836"/>
      <c r="P83" s="836"/>
      <c r="Q83" s="842"/>
      <c r="R83" s="842"/>
      <c r="S83" s="843"/>
    </row>
    <row r="84" customHeight="1" spans="2:19">
      <c r="B84" s="836"/>
      <c r="C84" s="836"/>
      <c r="D84" s="836"/>
      <c r="E84" s="836"/>
      <c r="F84" s="836"/>
      <c r="G84" s="836"/>
      <c r="H84" s="836"/>
      <c r="I84" s="836"/>
      <c r="J84" s="836"/>
      <c r="K84" s="836"/>
      <c r="L84" s="836"/>
      <c r="M84" s="836"/>
      <c r="N84" s="836"/>
      <c r="O84" s="836"/>
      <c r="P84" s="836"/>
      <c r="Q84" s="842"/>
      <c r="R84" s="842"/>
      <c r="S84" s="843"/>
    </row>
    <row r="85" customHeight="1" spans="2:19">
      <c r="B85" s="836"/>
      <c r="C85" s="836"/>
      <c r="D85" s="836"/>
      <c r="E85" s="836"/>
      <c r="F85" s="836"/>
      <c r="G85" s="836"/>
      <c r="H85" s="836"/>
      <c r="I85" s="836"/>
      <c r="J85" s="836"/>
      <c r="K85" s="836"/>
      <c r="L85" s="836"/>
      <c r="M85" s="836"/>
      <c r="N85" s="836"/>
      <c r="O85" s="836"/>
      <c r="P85" s="836"/>
      <c r="Q85" s="842"/>
      <c r="R85" s="842"/>
      <c r="S85" s="843"/>
    </row>
    <row r="86" customHeight="1" spans="2:19">
      <c r="B86" s="836"/>
      <c r="C86" s="836"/>
      <c r="D86" s="836"/>
      <c r="E86" s="836"/>
      <c r="F86" s="836"/>
      <c r="G86" s="836"/>
      <c r="H86" s="836"/>
      <c r="I86" s="836"/>
      <c r="J86" s="836"/>
      <c r="K86" s="836"/>
      <c r="L86" s="836"/>
      <c r="M86" s="836"/>
      <c r="N86" s="836"/>
      <c r="O86" s="836"/>
      <c r="P86" s="836"/>
      <c r="Q86" s="842"/>
      <c r="R86" s="842"/>
      <c r="S86" s="843"/>
    </row>
    <row r="87" customHeight="1" spans="2:19">
      <c r="B87" s="836"/>
      <c r="C87" s="836"/>
      <c r="D87" s="836"/>
      <c r="E87" s="836"/>
      <c r="F87" s="836"/>
      <c r="G87" s="836"/>
      <c r="H87" s="836"/>
      <c r="I87" s="836"/>
      <c r="J87" s="836"/>
      <c r="K87" s="836"/>
      <c r="L87" s="836"/>
      <c r="M87" s="836"/>
      <c r="N87" s="836"/>
      <c r="O87" s="836"/>
      <c r="P87" s="836"/>
      <c r="Q87" s="842"/>
      <c r="R87" s="842"/>
      <c r="S87" s="843"/>
    </row>
    <row r="88" customHeight="1" spans="2:19">
      <c r="B88" s="836"/>
      <c r="C88" s="836"/>
      <c r="D88" s="836"/>
      <c r="E88" s="836"/>
      <c r="F88" s="836"/>
      <c r="G88" s="836"/>
      <c r="H88" s="836"/>
      <c r="I88" s="836"/>
      <c r="J88" s="836"/>
      <c r="K88" s="836"/>
      <c r="L88" s="836"/>
      <c r="M88" s="836"/>
      <c r="N88" s="836"/>
      <c r="O88" s="836"/>
      <c r="P88" s="836"/>
      <c r="Q88" s="842"/>
      <c r="R88" s="842"/>
      <c r="S88" s="843"/>
    </row>
    <row r="89" customHeight="1" spans="2:19">
      <c r="B89" s="836"/>
      <c r="C89" s="836"/>
      <c r="D89" s="836"/>
      <c r="E89" s="836"/>
      <c r="F89" s="836"/>
      <c r="G89" s="836"/>
      <c r="H89" s="836"/>
      <c r="I89" s="836"/>
      <c r="J89" s="836"/>
      <c r="K89" s="836"/>
      <c r="L89" s="836"/>
      <c r="M89" s="836"/>
      <c r="N89" s="836"/>
      <c r="O89" s="836"/>
      <c r="P89" s="836"/>
      <c r="Q89" s="842"/>
      <c r="R89" s="842"/>
      <c r="S89" s="843"/>
    </row>
    <row r="90" customHeight="1" spans="2:19">
      <c r="B90" s="836"/>
      <c r="C90" s="836"/>
      <c r="D90" s="836"/>
      <c r="E90" s="836"/>
      <c r="F90" s="836"/>
      <c r="G90" s="836"/>
      <c r="H90" s="836"/>
      <c r="I90" s="836"/>
      <c r="J90" s="836"/>
      <c r="K90" s="836"/>
      <c r="L90" s="836"/>
      <c r="M90" s="836"/>
      <c r="N90" s="836"/>
      <c r="O90" s="836"/>
      <c r="P90" s="836"/>
      <c r="Q90" s="842"/>
      <c r="R90" s="842"/>
      <c r="S90" s="843"/>
    </row>
    <row r="91" customHeight="1" spans="2:19">
      <c r="B91" s="836"/>
      <c r="C91" s="836"/>
      <c r="D91" s="836"/>
      <c r="E91" s="836"/>
      <c r="F91" s="836"/>
      <c r="G91" s="836"/>
      <c r="H91" s="836"/>
      <c r="I91" s="836"/>
      <c r="J91" s="836"/>
      <c r="K91" s="836"/>
      <c r="L91" s="836"/>
      <c r="M91" s="836"/>
      <c r="N91" s="836"/>
      <c r="O91" s="836"/>
      <c r="P91" s="836"/>
      <c r="Q91" s="842"/>
      <c r="R91" s="842"/>
      <c r="S91" s="843"/>
    </row>
    <row r="92" customHeight="1" spans="2:19">
      <c r="B92" s="836"/>
      <c r="C92" s="836"/>
      <c r="D92" s="836"/>
      <c r="E92" s="836"/>
      <c r="F92" s="836"/>
      <c r="G92" s="836"/>
      <c r="H92" s="836"/>
      <c r="I92" s="836"/>
      <c r="J92" s="836"/>
      <c r="K92" s="836"/>
      <c r="L92" s="836"/>
      <c r="M92" s="836"/>
      <c r="N92" s="836"/>
      <c r="O92" s="836"/>
      <c r="P92" s="836"/>
      <c r="Q92" s="842"/>
      <c r="R92" s="842"/>
      <c r="S92" s="843"/>
    </row>
    <row r="93" customHeight="1" spans="2:19">
      <c r="B93" s="836"/>
      <c r="C93" s="836"/>
      <c r="D93" s="836"/>
      <c r="E93" s="836"/>
      <c r="F93" s="836"/>
      <c r="G93" s="836"/>
      <c r="H93" s="836"/>
      <c r="I93" s="836"/>
      <c r="J93" s="836"/>
      <c r="K93" s="836"/>
      <c r="L93" s="836"/>
      <c r="M93" s="836"/>
      <c r="N93" s="836"/>
      <c r="O93" s="836"/>
      <c r="P93" s="836"/>
      <c r="Q93" s="842"/>
      <c r="R93" s="842"/>
      <c r="S93" s="843"/>
    </row>
    <row r="94" customHeight="1" spans="2:19">
      <c r="B94" s="836"/>
      <c r="C94" s="836"/>
      <c r="D94" s="836"/>
      <c r="E94" s="836"/>
      <c r="F94" s="836"/>
      <c r="G94" s="836"/>
      <c r="H94" s="836"/>
      <c r="I94" s="836"/>
      <c r="J94" s="836"/>
      <c r="K94" s="836"/>
      <c r="L94" s="836"/>
      <c r="M94" s="836"/>
      <c r="N94" s="836"/>
      <c r="O94" s="836"/>
      <c r="P94" s="836"/>
      <c r="Q94" s="842"/>
      <c r="R94" s="842"/>
      <c r="S94" s="843"/>
    </row>
    <row r="95" customHeight="1" spans="2:19">
      <c r="B95" s="836"/>
      <c r="C95" s="836"/>
      <c r="D95" s="836"/>
      <c r="E95" s="836"/>
      <c r="F95" s="836"/>
      <c r="G95" s="836"/>
      <c r="H95" s="836"/>
      <c r="I95" s="836"/>
      <c r="J95" s="836"/>
      <c r="K95" s="836"/>
      <c r="L95" s="836"/>
      <c r="M95" s="836"/>
      <c r="N95" s="836"/>
      <c r="O95" s="836"/>
      <c r="P95" s="836"/>
      <c r="Q95" s="842"/>
      <c r="R95" s="842"/>
      <c r="S95" s="843"/>
    </row>
    <row r="96" customHeight="1" spans="2:19">
      <c r="B96" s="836"/>
      <c r="C96" s="836"/>
      <c r="D96" s="836"/>
      <c r="E96" s="836"/>
      <c r="F96" s="836"/>
      <c r="G96" s="836"/>
      <c r="H96" s="836"/>
      <c r="I96" s="836"/>
      <c r="J96" s="836"/>
      <c r="K96" s="836"/>
      <c r="L96" s="836"/>
      <c r="M96" s="836"/>
      <c r="N96" s="836"/>
      <c r="O96" s="836"/>
      <c r="P96" s="836"/>
      <c r="Q96" s="842"/>
      <c r="R96" s="842"/>
      <c r="S96" s="843"/>
    </row>
    <row r="97" customHeight="1" spans="2:19">
      <c r="B97" s="836"/>
      <c r="C97" s="836"/>
      <c r="D97" s="836"/>
      <c r="E97" s="836"/>
      <c r="F97" s="836"/>
      <c r="G97" s="836"/>
      <c r="H97" s="836"/>
      <c r="I97" s="836"/>
      <c r="J97" s="836"/>
      <c r="K97" s="836"/>
      <c r="L97" s="836"/>
      <c r="M97" s="836"/>
      <c r="N97" s="836"/>
      <c r="O97" s="836"/>
      <c r="P97" s="836"/>
      <c r="Q97" s="842"/>
      <c r="R97" s="842"/>
      <c r="S97" s="843"/>
    </row>
    <row r="98" customHeight="1" spans="2:19">
      <c r="B98" s="836"/>
      <c r="C98" s="836"/>
      <c r="D98" s="836"/>
      <c r="E98" s="836"/>
      <c r="F98" s="836"/>
      <c r="G98" s="836"/>
      <c r="H98" s="836"/>
      <c r="I98" s="836"/>
      <c r="J98" s="836"/>
      <c r="K98" s="836"/>
      <c r="L98" s="836"/>
      <c r="M98" s="836"/>
      <c r="N98" s="836"/>
      <c r="O98" s="836"/>
      <c r="P98" s="836"/>
      <c r="Q98" s="842"/>
      <c r="R98" s="842"/>
      <c r="S98" s="843"/>
    </row>
    <row r="99" customHeight="1" spans="2:19">
      <c r="B99" s="836"/>
      <c r="C99" s="836"/>
      <c r="D99" s="836"/>
      <c r="E99" s="836"/>
      <c r="F99" s="836"/>
      <c r="G99" s="836"/>
      <c r="H99" s="836"/>
      <c r="I99" s="836"/>
      <c r="J99" s="836"/>
      <c r="K99" s="836"/>
      <c r="L99" s="836"/>
      <c r="M99" s="836"/>
      <c r="N99" s="836"/>
      <c r="O99" s="836"/>
      <c r="P99" s="836"/>
      <c r="Q99" s="842"/>
      <c r="R99" s="842"/>
      <c r="S99" s="843"/>
    </row>
    <row r="100" customHeight="1" spans="2:19">
      <c r="B100" s="836"/>
      <c r="C100" s="836"/>
      <c r="D100" s="836"/>
      <c r="E100" s="836"/>
      <c r="F100" s="836"/>
      <c r="G100" s="836"/>
      <c r="H100" s="836"/>
      <c r="I100" s="836"/>
      <c r="J100" s="836"/>
      <c r="K100" s="836"/>
      <c r="L100" s="836"/>
      <c r="M100" s="836"/>
      <c r="N100" s="836"/>
      <c r="O100" s="836"/>
      <c r="P100" s="836"/>
      <c r="Q100" s="842"/>
      <c r="R100" s="842"/>
      <c r="S100" s="843"/>
    </row>
    <row r="101" customHeight="1" spans="2:19">
      <c r="B101" s="836"/>
      <c r="C101" s="836"/>
      <c r="D101" s="836"/>
      <c r="E101" s="836"/>
      <c r="F101" s="836"/>
      <c r="G101" s="836"/>
      <c r="H101" s="836"/>
      <c r="I101" s="836"/>
      <c r="J101" s="836"/>
      <c r="K101" s="836"/>
      <c r="L101" s="836"/>
      <c r="M101" s="836"/>
      <c r="N101" s="836"/>
      <c r="O101" s="836"/>
      <c r="P101" s="836"/>
      <c r="Q101" s="842"/>
      <c r="R101" s="842"/>
      <c r="S101" s="843"/>
    </row>
    <row r="102" customHeight="1" spans="2:19">
      <c r="B102" s="836"/>
      <c r="C102" s="836"/>
      <c r="D102" s="836"/>
      <c r="E102" s="836"/>
      <c r="F102" s="836"/>
      <c r="G102" s="836"/>
      <c r="H102" s="836"/>
      <c r="I102" s="836"/>
      <c r="J102" s="836"/>
      <c r="K102" s="836"/>
      <c r="L102" s="836"/>
      <c r="M102" s="836"/>
      <c r="N102" s="836"/>
      <c r="O102" s="836"/>
      <c r="P102" s="836"/>
      <c r="Q102" s="842"/>
      <c r="R102" s="842"/>
      <c r="S102" s="843"/>
    </row>
    <row r="103" customHeight="1" spans="2:19">
      <c r="B103" s="836"/>
      <c r="C103" s="836"/>
      <c r="D103" s="836"/>
      <c r="E103" s="836"/>
      <c r="F103" s="836"/>
      <c r="G103" s="836"/>
      <c r="H103" s="836"/>
      <c r="I103" s="836"/>
      <c r="J103" s="836"/>
      <c r="K103" s="836"/>
      <c r="L103" s="836"/>
      <c r="M103" s="836"/>
      <c r="N103" s="836"/>
      <c r="O103" s="836"/>
      <c r="P103" s="836"/>
      <c r="Q103" s="842"/>
      <c r="R103" s="842"/>
      <c r="S103" s="843"/>
    </row>
    <row r="104" customHeight="1" spans="2:19">
      <c r="B104" s="836"/>
      <c r="C104" s="836"/>
      <c r="D104" s="836"/>
      <c r="E104" s="836"/>
      <c r="F104" s="836"/>
      <c r="G104" s="836"/>
      <c r="H104" s="836"/>
      <c r="I104" s="836"/>
      <c r="J104" s="836"/>
      <c r="K104" s="836"/>
      <c r="L104" s="836"/>
      <c r="M104" s="836"/>
      <c r="N104" s="836"/>
      <c r="O104" s="836"/>
      <c r="P104" s="836"/>
      <c r="Q104" s="842"/>
      <c r="R104" s="842"/>
      <c r="S104" s="843"/>
    </row>
    <row r="105" customHeight="1" spans="2:19">
      <c r="B105" s="836"/>
      <c r="C105" s="836"/>
      <c r="D105" s="836"/>
      <c r="E105" s="836"/>
      <c r="F105" s="836"/>
      <c r="G105" s="836"/>
      <c r="H105" s="836"/>
      <c r="I105" s="836"/>
      <c r="J105" s="836"/>
      <c r="K105" s="836"/>
      <c r="L105" s="836"/>
      <c r="M105" s="836"/>
      <c r="N105" s="836"/>
      <c r="O105" s="836"/>
      <c r="P105" s="836"/>
      <c r="Q105" s="842"/>
      <c r="R105" s="842"/>
      <c r="S105" s="843"/>
    </row>
    <row r="106" customHeight="1" spans="2:19">
      <c r="B106" s="836"/>
      <c r="C106" s="836"/>
      <c r="D106" s="836"/>
      <c r="E106" s="836"/>
      <c r="F106" s="836"/>
      <c r="G106" s="836"/>
      <c r="H106" s="836"/>
      <c r="I106" s="836"/>
      <c r="J106" s="836"/>
      <c r="K106" s="836"/>
      <c r="L106" s="836"/>
      <c r="M106" s="836"/>
      <c r="N106" s="836"/>
      <c r="O106" s="836"/>
      <c r="P106" s="836"/>
      <c r="Q106" s="842"/>
      <c r="R106" s="842"/>
      <c r="S106" s="843"/>
    </row>
    <row r="107" customHeight="1" spans="2:19">
      <c r="B107" s="836"/>
      <c r="C107" s="836"/>
      <c r="D107" s="836"/>
      <c r="E107" s="836"/>
      <c r="F107" s="836"/>
      <c r="G107" s="836"/>
      <c r="H107" s="836"/>
      <c r="I107" s="836"/>
      <c r="J107" s="836"/>
      <c r="K107" s="836"/>
      <c r="L107" s="836"/>
      <c r="M107" s="836"/>
      <c r="N107" s="836"/>
      <c r="O107" s="836"/>
      <c r="P107" s="836"/>
      <c r="Q107" s="842"/>
      <c r="R107" s="842"/>
      <c r="S107" s="843"/>
    </row>
    <row r="108" customHeight="1" spans="2:19">
      <c r="B108" s="836"/>
      <c r="C108" s="836"/>
      <c r="D108" s="836"/>
      <c r="E108" s="836"/>
      <c r="F108" s="836"/>
      <c r="G108" s="836"/>
      <c r="H108" s="836"/>
      <c r="I108" s="836"/>
      <c r="J108" s="836"/>
      <c r="K108" s="836"/>
      <c r="L108" s="836"/>
      <c r="M108" s="836"/>
      <c r="N108" s="836"/>
      <c r="O108" s="836"/>
      <c r="P108" s="836"/>
      <c r="Q108" s="842"/>
      <c r="R108" s="842"/>
      <c r="S108" s="843"/>
    </row>
    <row r="109" customHeight="1" spans="2:19">
      <c r="B109" s="836"/>
      <c r="C109" s="836"/>
      <c r="D109" s="836"/>
      <c r="E109" s="836"/>
      <c r="F109" s="836"/>
      <c r="G109" s="836"/>
      <c r="H109" s="836"/>
      <c r="I109" s="836"/>
      <c r="J109" s="836"/>
      <c r="K109" s="836"/>
      <c r="L109" s="836"/>
      <c r="M109" s="836"/>
      <c r="N109" s="836"/>
      <c r="O109" s="836"/>
      <c r="P109" s="836"/>
      <c r="Q109" s="842"/>
      <c r="R109" s="842"/>
      <c r="S109" s="843"/>
    </row>
    <row r="110" customHeight="1" spans="2:19">
      <c r="B110" s="836"/>
      <c r="C110" s="836"/>
      <c r="D110" s="836"/>
      <c r="E110" s="836"/>
      <c r="F110" s="836"/>
      <c r="G110" s="836"/>
      <c r="H110" s="836"/>
      <c r="I110" s="836"/>
      <c r="J110" s="836"/>
      <c r="K110" s="836"/>
      <c r="L110" s="836"/>
      <c r="M110" s="836"/>
      <c r="N110" s="836"/>
      <c r="O110" s="836"/>
      <c r="P110" s="836"/>
      <c r="Q110" s="842"/>
      <c r="R110" s="842"/>
      <c r="S110" s="843"/>
    </row>
    <row r="111" customHeight="1" spans="2:19">
      <c r="B111" s="836"/>
      <c r="C111" s="836"/>
      <c r="D111" s="836"/>
      <c r="E111" s="836"/>
      <c r="F111" s="836"/>
      <c r="G111" s="836"/>
      <c r="H111" s="836"/>
      <c r="I111" s="836"/>
      <c r="J111" s="836"/>
      <c r="K111" s="836"/>
      <c r="L111" s="836"/>
      <c r="M111" s="836"/>
      <c r="N111" s="836"/>
      <c r="O111" s="836"/>
      <c r="P111" s="836"/>
      <c r="Q111" s="842"/>
      <c r="R111" s="842"/>
      <c r="S111" s="843"/>
    </row>
    <row r="112" customHeight="1" spans="2:19">
      <c r="B112" s="836"/>
      <c r="C112" s="836"/>
      <c r="D112" s="836"/>
      <c r="E112" s="836"/>
      <c r="F112" s="836"/>
      <c r="G112" s="836"/>
      <c r="H112" s="836"/>
      <c r="I112" s="836"/>
      <c r="J112" s="836"/>
      <c r="K112" s="836"/>
      <c r="L112" s="836"/>
      <c r="M112" s="836"/>
      <c r="N112" s="836"/>
      <c r="O112" s="836"/>
      <c r="P112" s="836"/>
      <c r="Q112" s="842"/>
      <c r="R112" s="842"/>
      <c r="S112" s="843"/>
    </row>
    <row r="113" customHeight="1" spans="2:19">
      <c r="B113" s="836"/>
      <c r="C113" s="836"/>
      <c r="D113" s="836"/>
      <c r="E113" s="836"/>
      <c r="F113" s="836"/>
      <c r="G113" s="836"/>
      <c r="H113" s="836"/>
      <c r="I113" s="836"/>
      <c r="J113" s="836"/>
      <c r="K113" s="836"/>
      <c r="L113" s="836"/>
      <c r="M113" s="836"/>
      <c r="N113" s="836"/>
      <c r="O113" s="836"/>
      <c r="P113" s="836"/>
      <c r="Q113" s="842"/>
      <c r="R113" s="842"/>
      <c r="S113" s="843"/>
    </row>
    <row r="114" customHeight="1" spans="2:19">
      <c r="B114" s="836"/>
      <c r="C114" s="836"/>
      <c r="D114" s="836"/>
      <c r="E114" s="836"/>
      <c r="F114" s="836"/>
      <c r="G114" s="836"/>
      <c r="H114" s="836"/>
      <c r="I114" s="836"/>
      <c r="J114" s="836"/>
      <c r="K114" s="836"/>
      <c r="L114" s="836"/>
      <c r="M114" s="836"/>
      <c r="N114" s="836"/>
      <c r="O114" s="836"/>
      <c r="P114" s="836"/>
      <c r="Q114" s="842"/>
      <c r="R114" s="842"/>
      <c r="S114" s="843"/>
    </row>
    <row r="115" customHeight="1" spans="2:19">
      <c r="B115" s="836"/>
      <c r="C115" s="836"/>
      <c r="D115" s="836"/>
      <c r="E115" s="836"/>
      <c r="F115" s="836"/>
      <c r="G115" s="836"/>
      <c r="H115" s="836"/>
      <c r="I115" s="836"/>
      <c r="J115" s="836"/>
      <c r="K115" s="836"/>
      <c r="L115" s="836"/>
      <c r="M115" s="836"/>
      <c r="N115" s="836"/>
      <c r="O115" s="836"/>
      <c r="P115" s="836"/>
      <c r="Q115" s="842"/>
      <c r="R115" s="842"/>
      <c r="S115" s="843"/>
    </row>
    <row r="116" customHeight="1" spans="2:19">
      <c r="B116" s="836"/>
      <c r="C116" s="836"/>
      <c r="D116" s="836"/>
      <c r="E116" s="836"/>
      <c r="F116" s="836"/>
      <c r="G116" s="836"/>
      <c r="H116" s="836"/>
      <c r="I116" s="836"/>
      <c r="J116" s="836"/>
      <c r="K116" s="836"/>
      <c r="L116" s="836"/>
      <c r="M116" s="836"/>
      <c r="N116" s="836"/>
      <c r="O116" s="836"/>
      <c r="P116" s="836"/>
      <c r="Q116" s="842"/>
      <c r="R116" s="842"/>
      <c r="S116" s="843"/>
    </row>
    <row r="117" customHeight="1" spans="2:19">
      <c r="B117" s="836"/>
      <c r="C117" s="836"/>
      <c r="D117" s="836"/>
      <c r="E117" s="836"/>
      <c r="F117" s="836"/>
      <c r="G117" s="836"/>
      <c r="H117" s="836"/>
      <c r="I117" s="836"/>
      <c r="J117" s="836"/>
      <c r="K117" s="836"/>
      <c r="L117" s="836"/>
      <c r="M117" s="836"/>
      <c r="N117" s="836"/>
      <c r="O117" s="836"/>
      <c r="P117" s="836"/>
      <c r="Q117" s="842"/>
      <c r="R117" s="842"/>
      <c r="S117" s="843"/>
    </row>
    <row r="118" customHeight="1" spans="2:19">
      <c r="B118" s="836"/>
      <c r="C118" s="836"/>
      <c r="D118" s="836"/>
      <c r="E118" s="836"/>
      <c r="F118" s="836"/>
      <c r="G118" s="836"/>
      <c r="H118" s="836"/>
      <c r="I118" s="836"/>
      <c r="J118" s="836"/>
      <c r="K118" s="836"/>
      <c r="L118" s="836"/>
      <c r="M118" s="836"/>
      <c r="N118" s="836"/>
      <c r="O118" s="836"/>
      <c r="P118" s="836"/>
      <c r="Q118" s="842"/>
      <c r="R118" s="842"/>
      <c r="S118" s="843"/>
    </row>
    <row r="119" customHeight="1" spans="2:19">
      <c r="B119" s="836"/>
      <c r="C119" s="836"/>
      <c r="D119" s="836"/>
      <c r="E119" s="836"/>
      <c r="F119" s="836"/>
      <c r="G119" s="836"/>
      <c r="H119" s="836"/>
      <c r="I119" s="836"/>
      <c r="J119" s="836"/>
      <c r="K119" s="836"/>
      <c r="L119" s="836"/>
      <c r="M119" s="836"/>
      <c r="N119" s="836"/>
      <c r="O119" s="836"/>
      <c r="P119" s="836"/>
      <c r="Q119" s="842"/>
      <c r="R119" s="842"/>
      <c r="S119" s="843"/>
    </row>
    <row r="120" customHeight="1" spans="2:19">
      <c r="B120" s="836"/>
      <c r="C120" s="836"/>
      <c r="D120" s="836"/>
      <c r="E120" s="836"/>
      <c r="F120" s="836"/>
      <c r="G120" s="836"/>
      <c r="H120" s="836"/>
      <c r="I120" s="836"/>
      <c r="J120" s="836"/>
      <c r="K120" s="836"/>
      <c r="L120" s="836"/>
      <c r="M120" s="836"/>
      <c r="N120" s="836"/>
      <c r="O120" s="836"/>
      <c r="P120" s="836"/>
      <c r="Q120" s="842"/>
      <c r="R120" s="842"/>
      <c r="S120" s="843"/>
    </row>
    <row r="121" customHeight="1" spans="2:19">
      <c r="B121" s="836"/>
      <c r="C121" s="836"/>
      <c r="D121" s="836"/>
      <c r="E121" s="836"/>
      <c r="F121" s="836"/>
      <c r="G121" s="836"/>
      <c r="H121" s="836"/>
      <c r="I121" s="836"/>
      <c r="J121" s="836"/>
      <c r="K121" s="836"/>
      <c r="L121" s="836"/>
      <c r="M121" s="836"/>
      <c r="N121" s="836"/>
      <c r="O121" s="836"/>
      <c r="P121" s="836"/>
      <c r="Q121" s="842"/>
      <c r="R121" s="842"/>
      <c r="S121" s="843"/>
    </row>
    <row r="122" customHeight="1" spans="2:19">
      <c r="B122" s="836"/>
      <c r="C122" s="836"/>
      <c r="D122" s="836"/>
      <c r="E122" s="836"/>
      <c r="F122" s="836"/>
      <c r="G122" s="836"/>
      <c r="H122" s="836"/>
      <c r="I122" s="836"/>
      <c r="J122" s="836"/>
      <c r="K122" s="836"/>
      <c r="L122" s="836"/>
      <c r="M122" s="836"/>
      <c r="N122" s="836"/>
      <c r="O122" s="836"/>
      <c r="P122" s="836"/>
      <c r="Q122" s="842"/>
      <c r="R122" s="842"/>
      <c r="S122" s="843"/>
    </row>
    <row r="123" customHeight="1" spans="2:19">
      <c r="B123" s="836"/>
      <c r="C123" s="836"/>
      <c r="D123" s="836"/>
      <c r="E123" s="836"/>
      <c r="F123" s="836"/>
      <c r="G123" s="836"/>
      <c r="H123" s="836"/>
      <c r="I123" s="836"/>
      <c r="J123" s="836"/>
      <c r="K123" s="836"/>
      <c r="L123" s="836"/>
      <c r="M123" s="836"/>
      <c r="N123" s="836"/>
      <c r="O123" s="836"/>
      <c r="P123" s="836"/>
      <c r="Q123" s="842"/>
      <c r="R123" s="842"/>
      <c r="S123" s="843"/>
    </row>
    <row r="124" customHeight="1" spans="2:19">
      <c r="B124" s="836"/>
      <c r="C124" s="836"/>
      <c r="D124" s="836"/>
      <c r="E124" s="836"/>
      <c r="F124" s="836"/>
      <c r="G124" s="836"/>
      <c r="H124" s="836"/>
      <c r="I124" s="836"/>
      <c r="J124" s="836"/>
      <c r="K124" s="836"/>
      <c r="L124" s="836"/>
      <c r="M124" s="836"/>
      <c r="N124" s="836"/>
      <c r="O124" s="836"/>
      <c r="P124" s="836"/>
      <c r="Q124" s="842"/>
      <c r="R124" s="842"/>
      <c r="S124" s="843"/>
    </row>
    <row r="125" customHeight="1" spans="2:19">
      <c r="B125" s="836"/>
      <c r="C125" s="836"/>
      <c r="D125" s="836"/>
      <c r="E125" s="836"/>
      <c r="F125" s="836"/>
      <c r="G125" s="836"/>
      <c r="H125" s="836"/>
      <c r="I125" s="836"/>
      <c r="J125" s="836"/>
      <c r="K125" s="836"/>
      <c r="L125" s="836"/>
      <c r="M125" s="836"/>
      <c r="N125" s="836"/>
      <c r="O125" s="836"/>
      <c r="P125" s="836"/>
      <c r="Q125" s="842"/>
      <c r="R125" s="842"/>
      <c r="S125" s="843"/>
    </row>
    <row r="126" customHeight="1" spans="2:19">
      <c r="B126" s="836"/>
      <c r="C126" s="836"/>
      <c r="D126" s="836"/>
      <c r="E126" s="836"/>
      <c r="F126" s="836"/>
      <c r="G126" s="836"/>
      <c r="H126" s="836"/>
      <c r="I126" s="836"/>
      <c r="J126" s="836"/>
      <c r="K126" s="836"/>
      <c r="L126" s="836"/>
      <c r="M126" s="836"/>
      <c r="N126" s="836"/>
      <c r="O126" s="836"/>
      <c r="P126" s="836"/>
      <c r="Q126" s="842"/>
      <c r="R126" s="842"/>
      <c r="S126" s="843"/>
    </row>
    <row r="127" customHeight="1" spans="2:19">
      <c r="B127" s="836"/>
      <c r="C127" s="836"/>
      <c r="D127" s="836"/>
      <c r="E127" s="836"/>
      <c r="F127" s="836"/>
      <c r="G127" s="836"/>
      <c r="H127" s="836"/>
      <c r="I127" s="836"/>
      <c r="J127" s="836"/>
      <c r="K127" s="836"/>
      <c r="L127" s="836"/>
      <c r="M127" s="836"/>
      <c r="N127" s="836"/>
      <c r="O127" s="836"/>
      <c r="P127" s="836"/>
      <c r="Q127" s="842"/>
      <c r="R127" s="842"/>
      <c r="S127" s="843"/>
    </row>
    <row r="128" customHeight="1" spans="2:19">
      <c r="B128" s="836"/>
      <c r="C128" s="836"/>
      <c r="D128" s="836"/>
      <c r="E128" s="836"/>
      <c r="F128" s="836"/>
      <c r="G128" s="836"/>
      <c r="H128" s="836"/>
      <c r="I128" s="836"/>
      <c r="J128" s="836"/>
      <c r="K128" s="836"/>
      <c r="L128" s="836"/>
      <c r="M128" s="836"/>
      <c r="N128" s="836"/>
      <c r="O128" s="836"/>
      <c r="P128" s="836"/>
      <c r="Q128" s="842"/>
      <c r="R128" s="842"/>
      <c r="S128" s="843"/>
    </row>
    <row r="129" customHeight="1" spans="2:19">
      <c r="B129" s="836"/>
      <c r="C129" s="836"/>
      <c r="D129" s="836"/>
      <c r="E129" s="836"/>
      <c r="F129" s="836"/>
      <c r="G129" s="836"/>
      <c r="H129" s="836"/>
      <c r="I129" s="836"/>
      <c r="J129" s="836"/>
      <c r="K129" s="836"/>
      <c r="L129" s="836"/>
      <c r="M129" s="836"/>
      <c r="N129" s="836"/>
      <c r="O129" s="836"/>
      <c r="P129" s="836"/>
      <c r="Q129" s="842"/>
      <c r="R129" s="842"/>
      <c r="S129" s="843"/>
    </row>
    <row r="130" customHeight="1" spans="2:19">
      <c r="B130" s="836"/>
      <c r="C130" s="836"/>
      <c r="D130" s="836"/>
      <c r="E130" s="836"/>
      <c r="F130" s="836"/>
      <c r="G130" s="836"/>
      <c r="H130" s="836"/>
      <c r="I130" s="836"/>
      <c r="J130" s="836"/>
      <c r="K130" s="836"/>
      <c r="L130" s="836"/>
      <c r="M130" s="836"/>
      <c r="N130" s="836"/>
      <c r="O130" s="836"/>
      <c r="P130" s="836"/>
      <c r="Q130" s="842"/>
      <c r="R130" s="842"/>
      <c r="S130" s="843"/>
    </row>
    <row r="131" customHeight="1" spans="2:19">
      <c r="B131" s="836"/>
      <c r="C131" s="836"/>
      <c r="D131" s="836"/>
      <c r="E131" s="836"/>
      <c r="F131" s="836"/>
      <c r="G131" s="836"/>
      <c r="H131" s="836"/>
      <c r="I131" s="836"/>
      <c r="J131" s="836"/>
      <c r="K131" s="836"/>
      <c r="L131" s="836"/>
      <c r="M131" s="836"/>
      <c r="N131" s="836"/>
      <c r="O131" s="836"/>
      <c r="P131" s="836"/>
      <c r="Q131" s="842"/>
      <c r="R131" s="842"/>
      <c r="S131" s="843"/>
    </row>
    <row r="132" customHeight="1" spans="2:19">
      <c r="B132" s="836"/>
      <c r="C132" s="836"/>
      <c r="D132" s="836"/>
      <c r="E132" s="836"/>
      <c r="F132" s="836"/>
      <c r="G132" s="836"/>
      <c r="H132" s="836"/>
      <c r="I132" s="836"/>
      <c r="J132" s="836"/>
      <c r="K132" s="836"/>
      <c r="L132" s="836"/>
      <c r="M132" s="836"/>
      <c r="N132" s="836"/>
      <c r="O132" s="836"/>
      <c r="P132" s="836"/>
      <c r="Q132" s="842"/>
      <c r="R132" s="842"/>
      <c r="S132" s="843"/>
    </row>
    <row r="133" customHeight="1" spans="2:19">
      <c r="B133" s="836"/>
      <c r="C133" s="836"/>
      <c r="D133" s="836"/>
      <c r="E133" s="836"/>
      <c r="F133" s="836"/>
      <c r="G133" s="836"/>
      <c r="H133" s="836"/>
      <c r="I133" s="836"/>
      <c r="J133" s="836"/>
      <c r="K133" s="836"/>
      <c r="L133" s="836"/>
      <c r="M133" s="836"/>
      <c r="N133" s="836"/>
      <c r="O133" s="836"/>
      <c r="P133" s="836"/>
      <c r="Q133" s="842"/>
      <c r="R133" s="842"/>
      <c r="S133" s="843"/>
    </row>
    <row r="134" customHeight="1" spans="2:19">
      <c r="B134" s="836"/>
      <c r="C134" s="836"/>
      <c r="D134" s="836"/>
      <c r="E134" s="836"/>
      <c r="F134" s="836"/>
      <c r="G134" s="836"/>
      <c r="H134" s="836"/>
      <c r="I134" s="836"/>
      <c r="J134" s="836"/>
      <c r="K134" s="836"/>
      <c r="L134" s="836"/>
      <c r="M134" s="836"/>
      <c r="N134" s="836"/>
      <c r="O134" s="836"/>
      <c r="P134" s="836"/>
      <c r="Q134" s="842"/>
      <c r="R134" s="842"/>
      <c r="S134" s="843"/>
    </row>
    <row r="135" customHeight="1" spans="2:19">
      <c r="B135" s="836"/>
      <c r="C135" s="836"/>
      <c r="D135" s="836"/>
      <c r="E135" s="836"/>
      <c r="F135" s="836"/>
      <c r="G135" s="836"/>
      <c r="H135" s="836"/>
      <c r="I135" s="836"/>
      <c r="J135" s="836"/>
      <c r="K135" s="836"/>
      <c r="L135" s="836"/>
      <c r="M135" s="836"/>
      <c r="N135" s="836"/>
      <c r="O135" s="836"/>
      <c r="P135" s="836"/>
      <c r="Q135" s="842"/>
      <c r="R135" s="842"/>
      <c r="S135" s="843"/>
    </row>
    <row r="136" customHeight="1" spans="2:19">
      <c r="B136" s="836"/>
      <c r="C136" s="836"/>
      <c r="D136" s="836"/>
      <c r="E136" s="836"/>
      <c r="F136" s="836"/>
      <c r="G136" s="836"/>
      <c r="H136" s="836"/>
      <c r="I136" s="836"/>
      <c r="J136" s="836"/>
      <c r="K136" s="836"/>
      <c r="L136" s="836"/>
      <c r="M136" s="836"/>
      <c r="N136" s="836"/>
      <c r="O136" s="836"/>
      <c r="P136" s="836"/>
      <c r="Q136" s="842"/>
      <c r="R136" s="842"/>
      <c r="S136" s="843"/>
    </row>
    <row r="137" customHeight="1" spans="2:19">
      <c r="B137" s="836"/>
      <c r="C137" s="836"/>
      <c r="D137" s="836"/>
      <c r="E137" s="836"/>
      <c r="F137" s="836"/>
      <c r="G137" s="836"/>
      <c r="H137" s="836"/>
      <c r="I137" s="836"/>
      <c r="J137" s="836"/>
      <c r="K137" s="836"/>
      <c r="L137" s="836"/>
      <c r="M137" s="836"/>
      <c r="N137" s="836"/>
      <c r="O137" s="836"/>
      <c r="P137" s="836"/>
      <c r="Q137" s="842"/>
      <c r="R137" s="842"/>
      <c r="S137" s="843"/>
    </row>
    <row r="138" customHeight="1" spans="2:19">
      <c r="B138" s="836"/>
      <c r="C138" s="836"/>
      <c r="D138" s="836"/>
      <c r="E138" s="836"/>
      <c r="F138" s="836"/>
      <c r="G138" s="836"/>
      <c r="H138" s="836"/>
      <c r="I138" s="836"/>
      <c r="J138" s="836"/>
      <c r="K138" s="836"/>
      <c r="L138" s="836"/>
      <c r="M138" s="836"/>
      <c r="N138" s="836"/>
      <c r="O138" s="836"/>
      <c r="P138" s="836"/>
      <c r="Q138" s="842"/>
      <c r="R138" s="842"/>
      <c r="S138" s="843"/>
    </row>
    <row r="139" customHeight="1" spans="2:19">
      <c r="B139" s="836"/>
      <c r="C139" s="836"/>
      <c r="D139" s="836"/>
      <c r="E139" s="836"/>
      <c r="F139" s="836"/>
      <c r="G139" s="836"/>
      <c r="H139" s="836"/>
      <c r="I139" s="836"/>
      <c r="J139" s="836"/>
      <c r="K139" s="836"/>
      <c r="L139" s="836"/>
      <c r="M139" s="836"/>
      <c r="N139" s="836"/>
      <c r="O139" s="836"/>
      <c r="P139" s="836"/>
      <c r="Q139" s="842"/>
      <c r="R139" s="842"/>
      <c r="S139" s="843"/>
    </row>
    <row r="140" customHeight="1" spans="2:19">
      <c r="B140" s="836"/>
      <c r="C140" s="836"/>
      <c r="D140" s="836"/>
      <c r="E140" s="836"/>
      <c r="F140" s="836"/>
      <c r="G140" s="836"/>
      <c r="H140" s="836"/>
      <c r="I140" s="836"/>
      <c r="J140" s="836"/>
      <c r="K140" s="836"/>
      <c r="L140" s="836"/>
      <c r="M140" s="836"/>
      <c r="N140" s="836"/>
      <c r="O140" s="836"/>
      <c r="P140" s="836"/>
      <c r="Q140" s="842"/>
      <c r="R140" s="842"/>
      <c r="S140" s="843"/>
    </row>
    <row r="141" customHeight="1" spans="2:19">
      <c r="B141" s="836"/>
      <c r="C141" s="836"/>
      <c r="D141" s="836"/>
      <c r="E141" s="836"/>
      <c r="F141" s="836"/>
      <c r="G141" s="836"/>
      <c r="H141" s="836"/>
      <c r="I141" s="836"/>
      <c r="J141" s="836"/>
      <c r="K141" s="836"/>
      <c r="L141" s="836"/>
      <c r="M141" s="836"/>
      <c r="N141" s="836"/>
      <c r="O141" s="836"/>
      <c r="P141" s="836"/>
      <c r="Q141" s="842"/>
      <c r="R141" s="842"/>
      <c r="S141" s="843"/>
    </row>
    <row r="142" customHeight="1" spans="2:19">
      <c r="B142" s="836"/>
      <c r="C142" s="836"/>
      <c r="D142" s="836"/>
      <c r="E142" s="836"/>
      <c r="F142" s="836"/>
      <c r="G142" s="836"/>
      <c r="H142" s="836"/>
      <c r="I142" s="836"/>
      <c r="J142" s="836"/>
      <c r="K142" s="836"/>
      <c r="L142" s="836"/>
      <c r="M142" s="836"/>
      <c r="N142" s="836"/>
      <c r="O142" s="836"/>
      <c r="P142" s="836"/>
      <c r="Q142" s="842"/>
      <c r="R142" s="842"/>
      <c r="S142" s="843"/>
    </row>
    <row r="143" customHeight="1" spans="2:19">
      <c r="B143" s="836"/>
      <c r="C143" s="836"/>
      <c r="D143" s="836"/>
      <c r="E143" s="836"/>
      <c r="F143" s="836"/>
      <c r="G143" s="836"/>
      <c r="H143" s="836"/>
      <c r="I143" s="836"/>
      <c r="J143" s="836"/>
      <c r="K143" s="836"/>
      <c r="L143" s="836"/>
      <c r="M143" s="836"/>
      <c r="N143" s="836"/>
      <c r="O143" s="836"/>
      <c r="P143" s="836"/>
      <c r="Q143" s="842"/>
      <c r="R143" s="842"/>
      <c r="S143" s="843"/>
    </row>
    <row r="144" customHeight="1" spans="2:19">
      <c r="B144" s="836"/>
      <c r="C144" s="836"/>
      <c r="D144" s="836"/>
      <c r="E144" s="836"/>
      <c r="F144" s="836"/>
      <c r="G144" s="836"/>
      <c r="H144" s="836"/>
      <c r="I144" s="836"/>
      <c r="J144" s="836"/>
      <c r="K144" s="836"/>
      <c r="L144" s="836"/>
      <c r="M144" s="836"/>
      <c r="N144" s="836"/>
      <c r="O144" s="836"/>
      <c r="P144" s="836"/>
      <c r="Q144" s="842"/>
      <c r="R144" s="842"/>
      <c r="S144" s="843"/>
    </row>
    <row r="145" customHeight="1" spans="2:19">
      <c r="B145" s="836"/>
      <c r="C145" s="836"/>
      <c r="D145" s="836"/>
      <c r="E145" s="836"/>
      <c r="F145" s="836"/>
      <c r="G145" s="836"/>
      <c r="H145" s="836"/>
      <c r="I145" s="836"/>
      <c r="J145" s="836"/>
      <c r="K145" s="836"/>
      <c r="L145" s="836"/>
      <c r="M145" s="836"/>
      <c r="N145" s="836"/>
      <c r="O145" s="836"/>
      <c r="P145" s="836"/>
      <c r="Q145" s="842"/>
      <c r="R145" s="842"/>
      <c r="S145" s="843"/>
    </row>
    <row r="146" customHeight="1" spans="2:19">
      <c r="B146" s="836"/>
      <c r="C146" s="836"/>
      <c r="D146" s="836"/>
      <c r="E146" s="836"/>
      <c r="F146" s="836"/>
      <c r="G146" s="836"/>
      <c r="H146" s="836"/>
      <c r="I146" s="836"/>
      <c r="J146" s="836"/>
      <c r="K146" s="836"/>
      <c r="L146" s="836"/>
      <c r="M146" s="836"/>
      <c r="N146" s="836"/>
      <c r="O146" s="836"/>
      <c r="P146" s="836"/>
      <c r="Q146" s="842"/>
      <c r="R146" s="842"/>
      <c r="S146" s="843"/>
    </row>
    <row r="147" customHeight="1" spans="2:19">
      <c r="B147" s="836"/>
      <c r="C147" s="836"/>
      <c r="D147" s="836"/>
      <c r="E147" s="836"/>
      <c r="F147" s="836"/>
      <c r="G147" s="836"/>
      <c r="H147" s="836"/>
      <c r="I147" s="836"/>
      <c r="J147" s="836"/>
      <c r="K147" s="836"/>
      <c r="L147" s="836"/>
      <c r="M147" s="836"/>
      <c r="N147" s="836"/>
      <c r="O147" s="836"/>
      <c r="P147" s="836"/>
      <c r="Q147" s="842"/>
      <c r="R147" s="842"/>
      <c r="S147" s="843"/>
    </row>
    <row r="148" customHeight="1" spans="2:19">
      <c r="B148" s="836"/>
      <c r="C148" s="836"/>
      <c r="D148" s="836"/>
      <c r="E148" s="836"/>
      <c r="F148" s="836"/>
      <c r="G148" s="836"/>
      <c r="H148" s="836"/>
      <c r="I148" s="836"/>
      <c r="J148" s="836"/>
      <c r="K148" s="836"/>
      <c r="L148" s="836"/>
      <c r="M148" s="836"/>
      <c r="N148" s="836"/>
      <c r="O148" s="836"/>
      <c r="P148" s="836"/>
      <c r="Q148" s="842"/>
      <c r="R148" s="842"/>
      <c r="S148" s="843"/>
    </row>
    <row r="149" customHeight="1" spans="2:19">
      <c r="B149" s="836"/>
      <c r="C149" s="836"/>
      <c r="D149" s="836"/>
      <c r="E149" s="836"/>
      <c r="F149" s="836"/>
      <c r="G149" s="836"/>
      <c r="H149" s="836"/>
      <c r="I149" s="836"/>
      <c r="J149" s="836"/>
      <c r="K149" s="836"/>
      <c r="L149" s="836"/>
      <c r="M149" s="836"/>
      <c r="N149" s="836"/>
      <c r="O149" s="836"/>
      <c r="P149" s="836"/>
      <c r="Q149" s="842"/>
      <c r="R149" s="842"/>
      <c r="S149" s="843"/>
    </row>
    <row r="150" customHeight="1" spans="2:19">
      <c r="B150" s="836"/>
      <c r="C150" s="836"/>
      <c r="D150" s="836"/>
      <c r="E150" s="836"/>
      <c r="F150" s="836"/>
      <c r="G150" s="836"/>
      <c r="H150" s="836"/>
      <c r="I150" s="836"/>
      <c r="J150" s="836"/>
      <c r="K150" s="836"/>
      <c r="L150" s="836"/>
      <c r="M150" s="836"/>
      <c r="N150" s="836"/>
      <c r="O150" s="836"/>
      <c r="P150" s="836"/>
      <c r="Q150" s="842"/>
      <c r="R150" s="842"/>
      <c r="S150" s="843"/>
    </row>
    <row r="151" customHeight="1" spans="2:19">
      <c r="B151" s="836"/>
      <c r="C151" s="836"/>
      <c r="D151" s="836"/>
      <c r="E151" s="836"/>
      <c r="F151" s="836"/>
      <c r="G151" s="836"/>
      <c r="H151" s="836"/>
      <c r="I151" s="836"/>
      <c r="J151" s="836"/>
      <c r="K151" s="836"/>
      <c r="L151" s="836"/>
      <c r="M151" s="836"/>
      <c r="N151" s="836"/>
      <c r="O151" s="836"/>
      <c r="P151" s="836"/>
      <c r="Q151" s="842"/>
      <c r="R151" s="842"/>
      <c r="S151" s="843"/>
    </row>
    <row r="152" customHeight="1" spans="2:19">
      <c r="B152" s="836"/>
      <c r="C152" s="836"/>
      <c r="D152" s="836"/>
      <c r="E152" s="836"/>
      <c r="F152" s="836"/>
      <c r="G152" s="836"/>
      <c r="H152" s="836"/>
      <c r="I152" s="836"/>
      <c r="J152" s="836"/>
      <c r="K152" s="836"/>
      <c r="L152" s="836"/>
      <c r="M152" s="836"/>
      <c r="N152" s="836"/>
      <c r="O152" s="836"/>
      <c r="P152" s="836"/>
      <c r="Q152" s="842"/>
      <c r="R152" s="842"/>
      <c r="S152" s="843"/>
    </row>
    <row r="153" customHeight="1" spans="2:19">
      <c r="B153" s="836"/>
      <c r="C153" s="836"/>
      <c r="D153" s="836"/>
      <c r="E153" s="836"/>
      <c r="F153" s="836"/>
      <c r="G153" s="836"/>
      <c r="H153" s="836"/>
      <c r="I153" s="836"/>
      <c r="J153" s="836"/>
      <c r="K153" s="836"/>
      <c r="L153" s="836"/>
      <c r="M153" s="836"/>
      <c r="N153" s="836"/>
      <c r="O153" s="836"/>
      <c r="P153" s="836"/>
      <c r="Q153" s="842"/>
      <c r="R153" s="842"/>
      <c r="S153" s="843"/>
    </row>
    <row r="154" customHeight="1" spans="2:19">
      <c r="B154" s="836"/>
      <c r="C154" s="836"/>
      <c r="D154" s="836"/>
      <c r="E154" s="836"/>
      <c r="F154" s="836"/>
      <c r="G154" s="836"/>
      <c r="H154" s="836"/>
      <c r="I154" s="836"/>
      <c r="J154" s="836"/>
      <c r="K154" s="836"/>
      <c r="L154" s="836"/>
      <c r="M154" s="836"/>
      <c r="N154" s="836"/>
      <c r="O154" s="836"/>
      <c r="P154" s="836"/>
      <c r="Q154" s="842"/>
      <c r="R154" s="842"/>
      <c r="S154" s="843"/>
    </row>
    <row r="155" customHeight="1" spans="2:19">
      <c r="B155" s="836"/>
      <c r="C155" s="836"/>
      <c r="D155" s="836"/>
      <c r="E155" s="836"/>
      <c r="F155" s="836"/>
      <c r="G155" s="836"/>
      <c r="H155" s="836"/>
      <c r="I155" s="836"/>
      <c r="J155" s="836"/>
      <c r="K155" s="836"/>
      <c r="L155" s="836"/>
      <c r="M155" s="836"/>
      <c r="N155" s="836"/>
      <c r="O155" s="836"/>
      <c r="P155" s="836"/>
      <c r="Q155" s="842"/>
      <c r="R155" s="842"/>
      <c r="S155" s="843"/>
    </row>
    <row r="156" customHeight="1" spans="2:19">
      <c r="B156" s="836"/>
      <c r="C156" s="836"/>
      <c r="D156" s="836"/>
      <c r="E156" s="836"/>
      <c r="F156" s="836"/>
      <c r="G156" s="836"/>
      <c r="H156" s="836"/>
      <c r="I156" s="836"/>
      <c r="J156" s="836"/>
      <c r="K156" s="836"/>
      <c r="L156" s="836"/>
      <c r="M156" s="836"/>
      <c r="N156" s="836"/>
      <c r="O156" s="836"/>
      <c r="P156" s="836"/>
      <c r="Q156" s="842"/>
      <c r="R156" s="842"/>
      <c r="S156" s="843"/>
    </row>
    <row r="157" customHeight="1" spans="2:19">
      <c r="B157" s="836"/>
      <c r="C157" s="836"/>
      <c r="D157" s="836"/>
      <c r="E157" s="836"/>
      <c r="F157" s="836"/>
      <c r="G157" s="836"/>
      <c r="H157" s="836"/>
      <c r="I157" s="836"/>
      <c r="J157" s="836"/>
      <c r="K157" s="836"/>
      <c r="L157" s="836"/>
      <c r="M157" s="836"/>
      <c r="N157" s="836"/>
      <c r="O157" s="836"/>
      <c r="P157" s="836"/>
      <c r="Q157" s="842"/>
      <c r="R157" s="842"/>
      <c r="S157" s="843"/>
    </row>
    <row r="158" customHeight="1" spans="2:19">
      <c r="B158" s="836"/>
      <c r="C158" s="836"/>
      <c r="D158" s="836"/>
      <c r="E158" s="836"/>
      <c r="F158" s="836"/>
      <c r="G158" s="836"/>
      <c r="H158" s="836"/>
      <c r="I158" s="836"/>
      <c r="J158" s="836"/>
      <c r="K158" s="836"/>
      <c r="L158" s="836"/>
      <c r="M158" s="836"/>
      <c r="N158" s="836"/>
      <c r="O158" s="836"/>
      <c r="P158" s="836"/>
      <c r="Q158" s="842"/>
      <c r="R158" s="842"/>
      <c r="S158" s="843"/>
    </row>
    <row r="159" customHeight="1" spans="2:19">
      <c r="B159" s="836"/>
      <c r="C159" s="836"/>
      <c r="D159" s="836"/>
      <c r="E159" s="836"/>
      <c r="F159" s="836"/>
      <c r="G159" s="836"/>
      <c r="H159" s="836"/>
      <c r="I159" s="836"/>
      <c r="J159" s="836"/>
      <c r="K159" s="836"/>
      <c r="L159" s="836"/>
      <c r="M159" s="836"/>
      <c r="N159" s="836"/>
      <c r="O159" s="836"/>
      <c r="P159" s="836"/>
      <c r="Q159" s="842"/>
      <c r="R159" s="842"/>
      <c r="S159" s="843"/>
    </row>
    <row r="160" customHeight="1" spans="2:19">
      <c r="B160" s="836"/>
      <c r="C160" s="836"/>
      <c r="D160" s="836"/>
      <c r="E160" s="836"/>
      <c r="F160" s="836"/>
      <c r="G160" s="836"/>
      <c r="H160" s="836"/>
      <c r="I160" s="836"/>
      <c r="J160" s="836"/>
      <c r="K160" s="836"/>
      <c r="L160" s="836"/>
      <c r="M160" s="836"/>
      <c r="N160" s="836"/>
      <c r="O160" s="836"/>
      <c r="P160" s="836"/>
      <c r="Q160" s="842"/>
      <c r="R160" s="842"/>
      <c r="S160" s="843"/>
    </row>
    <row r="161" customHeight="1" spans="2:19">
      <c r="B161" s="836"/>
      <c r="C161" s="836"/>
      <c r="D161" s="836"/>
      <c r="E161" s="836"/>
      <c r="F161" s="836"/>
      <c r="G161" s="836"/>
      <c r="H161" s="836"/>
      <c r="I161" s="836"/>
      <c r="J161" s="836"/>
      <c r="K161" s="836"/>
      <c r="L161" s="836"/>
      <c r="M161" s="836"/>
      <c r="N161" s="836"/>
      <c r="O161" s="836"/>
      <c r="P161" s="836"/>
      <c r="Q161" s="842"/>
      <c r="R161" s="842"/>
      <c r="S161" s="843"/>
    </row>
    <row r="162" customHeight="1" spans="2:19">
      <c r="B162" s="836"/>
      <c r="C162" s="836"/>
      <c r="D162" s="836"/>
      <c r="E162" s="836"/>
      <c r="F162" s="836"/>
      <c r="G162" s="836"/>
      <c r="H162" s="836"/>
      <c r="I162" s="836"/>
      <c r="J162" s="836"/>
      <c r="K162" s="836"/>
      <c r="L162" s="836"/>
      <c r="M162" s="836"/>
      <c r="N162" s="836"/>
      <c r="O162" s="836"/>
      <c r="P162" s="836"/>
      <c r="Q162" s="842"/>
      <c r="R162" s="842"/>
      <c r="S162" s="843"/>
    </row>
    <row r="163" customHeight="1" spans="2:19">
      <c r="B163" s="836"/>
      <c r="C163" s="836"/>
      <c r="D163" s="836"/>
      <c r="E163" s="836"/>
      <c r="F163" s="836"/>
      <c r="G163" s="836"/>
      <c r="H163" s="836"/>
      <c r="I163" s="836"/>
      <c r="J163" s="836"/>
      <c r="K163" s="836"/>
      <c r="L163" s="836"/>
      <c r="M163" s="836"/>
      <c r="N163" s="836"/>
      <c r="O163" s="836"/>
      <c r="P163" s="836"/>
      <c r="Q163" s="842"/>
      <c r="R163" s="842"/>
      <c r="S163" s="843"/>
    </row>
    <row r="164" customHeight="1" spans="2:19">
      <c r="B164" s="836"/>
      <c r="C164" s="836"/>
      <c r="D164" s="836"/>
      <c r="E164" s="836"/>
      <c r="F164" s="836"/>
      <c r="G164" s="836"/>
      <c r="H164" s="836"/>
      <c r="I164" s="836"/>
      <c r="J164" s="836"/>
      <c r="K164" s="836"/>
      <c r="L164" s="836"/>
      <c r="M164" s="836"/>
      <c r="N164" s="836"/>
      <c r="O164" s="836"/>
      <c r="P164" s="836"/>
      <c r="Q164" s="842"/>
      <c r="R164" s="842"/>
      <c r="S164" s="843"/>
    </row>
    <row r="165" customHeight="1" spans="2:19">
      <c r="B165" s="836"/>
      <c r="C165" s="836"/>
      <c r="D165" s="836"/>
      <c r="E165" s="836"/>
      <c r="F165" s="836"/>
      <c r="G165" s="836"/>
      <c r="H165" s="836"/>
      <c r="I165" s="836"/>
      <c r="J165" s="836"/>
      <c r="K165" s="836"/>
      <c r="L165" s="836"/>
      <c r="M165" s="836"/>
      <c r="N165" s="836"/>
      <c r="O165" s="836"/>
      <c r="P165" s="836"/>
      <c r="Q165" s="842"/>
      <c r="R165" s="842"/>
      <c r="S165" s="843"/>
    </row>
    <row r="166" customHeight="1" spans="2:19">
      <c r="B166" s="836"/>
      <c r="C166" s="836"/>
      <c r="D166" s="836"/>
      <c r="E166" s="836"/>
      <c r="F166" s="836"/>
      <c r="G166" s="836"/>
      <c r="H166" s="836"/>
      <c r="I166" s="836"/>
      <c r="J166" s="836"/>
      <c r="K166" s="836"/>
      <c r="L166" s="836"/>
      <c r="M166" s="836"/>
      <c r="N166" s="836"/>
      <c r="O166" s="836"/>
      <c r="P166" s="836"/>
      <c r="Q166" s="842"/>
      <c r="R166" s="842"/>
      <c r="S166" s="843"/>
    </row>
    <row r="167" customHeight="1" spans="2:19">
      <c r="B167" s="836"/>
      <c r="C167" s="836"/>
      <c r="D167" s="836"/>
      <c r="E167" s="836"/>
      <c r="F167" s="836"/>
      <c r="G167" s="836"/>
      <c r="H167" s="836"/>
      <c r="I167" s="836"/>
      <c r="J167" s="836"/>
      <c r="K167" s="836"/>
      <c r="L167" s="836"/>
      <c r="M167" s="836"/>
      <c r="N167" s="836"/>
      <c r="O167" s="836"/>
      <c r="P167" s="836"/>
      <c r="Q167" s="842"/>
      <c r="R167" s="842"/>
      <c r="S167" s="843"/>
    </row>
    <row r="168" customHeight="1" spans="2:19">
      <c r="B168" s="836"/>
      <c r="C168" s="836"/>
      <c r="D168" s="836"/>
      <c r="E168" s="836"/>
      <c r="F168" s="836"/>
      <c r="G168" s="836"/>
      <c r="H168" s="836"/>
      <c r="I168" s="836"/>
      <c r="J168" s="836"/>
      <c r="K168" s="836"/>
      <c r="L168" s="836"/>
      <c r="M168" s="836"/>
      <c r="N168" s="836"/>
      <c r="O168" s="836"/>
      <c r="P168" s="836"/>
      <c r="Q168" s="842"/>
      <c r="R168" s="842"/>
      <c r="S168" s="843"/>
    </row>
    <row r="169" customHeight="1" spans="2:19">
      <c r="B169" s="836"/>
      <c r="C169" s="836"/>
      <c r="D169" s="836"/>
      <c r="E169" s="836"/>
      <c r="F169" s="836"/>
      <c r="G169" s="836"/>
      <c r="H169" s="836"/>
      <c r="I169" s="836"/>
      <c r="J169" s="836"/>
      <c r="K169" s="836"/>
      <c r="L169" s="836"/>
      <c r="M169" s="836"/>
      <c r="N169" s="836"/>
      <c r="O169" s="836"/>
      <c r="P169" s="836"/>
      <c r="Q169" s="842"/>
      <c r="R169" s="842"/>
      <c r="S169" s="843"/>
    </row>
    <row r="170" customHeight="1" spans="2:19">
      <c r="B170" s="836"/>
      <c r="C170" s="836"/>
      <c r="D170" s="836"/>
      <c r="E170" s="836"/>
      <c r="F170" s="836"/>
      <c r="G170" s="836"/>
      <c r="H170" s="836"/>
      <c r="I170" s="836"/>
      <c r="J170" s="836"/>
      <c r="K170" s="836"/>
      <c r="L170" s="836"/>
      <c r="M170" s="836"/>
      <c r="N170" s="836"/>
      <c r="O170" s="836"/>
      <c r="P170" s="836"/>
      <c r="Q170" s="842"/>
      <c r="R170" s="842"/>
      <c r="S170" s="843"/>
    </row>
    <row r="171" customHeight="1" spans="2:19">
      <c r="B171" s="836"/>
      <c r="C171" s="836"/>
      <c r="D171" s="836"/>
      <c r="E171" s="836"/>
      <c r="F171" s="836"/>
      <c r="G171" s="836"/>
      <c r="H171" s="836"/>
      <c r="I171" s="836"/>
      <c r="J171" s="836"/>
      <c r="K171" s="836"/>
      <c r="L171" s="836"/>
      <c r="M171" s="836"/>
      <c r="N171" s="836"/>
      <c r="O171" s="836"/>
      <c r="P171" s="836"/>
      <c r="Q171" s="842"/>
      <c r="R171" s="842"/>
      <c r="S171" s="843"/>
    </row>
    <row r="172" customHeight="1" spans="2:19">
      <c r="B172" s="836"/>
      <c r="C172" s="836"/>
      <c r="D172" s="836"/>
      <c r="E172" s="836"/>
      <c r="F172" s="836"/>
      <c r="G172" s="836"/>
      <c r="H172" s="836"/>
      <c r="I172" s="836"/>
      <c r="J172" s="836"/>
      <c r="K172" s="836"/>
      <c r="L172" s="836"/>
      <c r="M172" s="836"/>
      <c r="N172" s="836"/>
      <c r="O172" s="836"/>
      <c r="P172" s="836"/>
      <c r="Q172" s="842"/>
      <c r="R172" s="842"/>
      <c r="S172" s="843"/>
    </row>
    <row r="173" customHeight="1" spans="2:19">
      <c r="B173" s="836"/>
      <c r="C173" s="836"/>
      <c r="D173" s="836"/>
      <c r="E173" s="836"/>
      <c r="F173" s="836"/>
      <c r="G173" s="836"/>
      <c r="H173" s="836"/>
      <c r="I173" s="836"/>
      <c r="J173" s="836"/>
      <c r="K173" s="836"/>
      <c r="L173" s="836"/>
      <c r="M173" s="836"/>
      <c r="N173" s="836"/>
      <c r="O173" s="836"/>
      <c r="P173" s="836"/>
      <c r="Q173" s="842"/>
      <c r="R173" s="842"/>
      <c r="S173" s="843"/>
    </row>
    <row r="174" customHeight="1" spans="2:19">
      <c r="B174" s="836"/>
      <c r="C174" s="836"/>
      <c r="D174" s="836"/>
      <c r="E174" s="836"/>
      <c r="F174" s="836"/>
      <c r="G174" s="836"/>
      <c r="H174" s="836"/>
      <c r="I174" s="836"/>
      <c r="J174" s="836"/>
      <c r="K174" s="836"/>
      <c r="L174" s="836"/>
      <c r="M174" s="836"/>
      <c r="N174" s="836"/>
      <c r="O174" s="836"/>
      <c r="P174" s="836"/>
      <c r="Q174" s="842"/>
      <c r="R174" s="842"/>
      <c r="S174" s="843"/>
    </row>
    <row r="175" customHeight="1" spans="2:19">
      <c r="B175" s="836"/>
      <c r="C175" s="836"/>
      <c r="D175" s="836"/>
      <c r="E175" s="836"/>
      <c r="F175" s="836"/>
      <c r="G175" s="836"/>
      <c r="H175" s="836"/>
      <c r="I175" s="836"/>
      <c r="J175" s="836"/>
      <c r="K175" s="836"/>
      <c r="L175" s="836"/>
      <c r="M175" s="836"/>
      <c r="N175" s="836"/>
      <c r="O175" s="836"/>
      <c r="P175" s="836"/>
      <c r="Q175" s="842"/>
      <c r="R175" s="842"/>
      <c r="S175" s="843"/>
    </row>
    <row r="176" customHeight="1" spans="2:19">
      <c r="B176" s="836"/>
      <c r="C176" s="836"/>
      <c r="D176" s="836"/>
      <c r="E176" s="836"/>
      <c r="F176" s="836"/>
      <c r="G176" s="836"/>
      <c r="H176" s="836"/>
      <c r="I176" s="836"/>
      <c r="J176" s="836"/>
      <c r="K176" s="836"/>
      <c r="L176" s="836"/>
      <c r="M176" s="836"/>
      <c r="N176" s="836"/>
      <c r="O176" s="836"/>
      <c r="P176" s="836"/>
      <c r="Q176" s="842"/>
      <c r="R176" s="842"/>
      <c r="S176" s="843"/>
    </row>
    <row r="177" customHeight="1" spans="2:19">
      <c r="B177" s="836"/>
      <c r="C177" s="836"/>
      <c r="D177" s="836"/>
      <c r="E177" s="836"/>
      <c r="F177" s="836"/>
      <c r="G177" s="836"/>
      <c r="H177" s="836"/>
      <c r="I177" s="836"/>
      <c r="J177" s="836"/>
      <c r="K177" s="836"/>
      <c r="L177" s="836"/>
      <c r="M177" s="836"/>
      <c r="N177" s="836"/>
      <c r="O177" s="836"/>
      <c r="P177" s="836"/>
      <c r="Q177" s="842"/>
      <c r="R177" s="842"/>
      <c r="S177" s="843"/>
    </row>
    <row r="178" customHeight="1" spans="2:19">
      <c r="B178" s="836"/>
      <c r="C178" s="836"/>
      <c r="D178" s="836"/>
      <c r="E178" s="836"/>
      <c r="F178" s="836"/>
      <c r="G178" s="836"/>
      <c r="H178" s="836"/>
      <c r="I178" s="836"/>
      <c r="J178" s="836"/>
      <c r="K178" s="836"/>
      <c r="L178" s="836"/>
      <c r="M178" s="836"/>
      <c r="N178" s="836"/>
      <c r="O178" s="836"/>
      <c r="P178" s="836"/>
      <c r="Q178" s="842"/>
      <c r="R178" s="842"/>
      <c r="S178" s="843"/>
    </row>
    <row r="179" customHeight="1" spans="2:19">
      <c r="B179" s="836"/>
      <c r="C179" s="836"/>
      <c r="D179" s="836"/>
      <c r="E179" s="836"/>
      <c r="F179" s="836"/>
      <c r="G179" s="836"/>
      <c r="H179" s="836"/>
      <c r="I179" s="836"/>
      <c r="J179" s="836"/>
      <c r="K179" s="836"/>
      <c r="L179" s="836"/>
      <c r="M179" s="836"/>
      <c r="N179" s="836"/>
      <c r="O179" s="836"/>
      <c r="P179" s="836"/>
      <c r="Q179" s="842"/>
      <c r="R179" s="842"/>
      <c r="S179" s="843"/>
    </row>
    <row r="180" customHeight="1" spans="2:19">
      <c r="B180" s="836"/>
      <c r="C180" s="836"/>
      <c r="D180" s="836"/>
      <c r="E180" s="836"/>
      <c r="F180" s="836"/>
      <c r="G180" s="836"/>
      <c r="H180" s="836"/>
      <c r="I180" s="836"/>
      <c r="J180" s="836"/>
      <c r="K180" s="836"/>
      <c r="L180" s="836"/>
      <c r="M180" s="836"/>
      <c r="N180" s="836"/>
      <c r="O180" s="836"/>
      <c r="P180" s="836"/>
      <c r="Q180" s="842"/>
      <c r="R180" s="842"/>
      <c r="S180" s="843"/>
    </row>
    <row r="181" customHeight="1" spans="2:19">
      <c r="B181" s="836"/>
      <c r="C181" s="836"/>
      <c r="D181" s="836"/>
      <c r="E181" s="836"/>
      <c r="F181" s="836"/>
      <c r="G181" s="836"/>
      <c r="H181" s="836"/>
      <c r="I181" s="836"/>
      <c r="J181" s="836"/>
      <c r="K181" s="836"/>
      <c r="L181" s="836"/>
      <c r="M181" s="836"/>
      <c r="N181" s="836"/>
      <c r="O181" s="836"/>
      <c r="P181" s="836"/>
      <c r="Q181" s="842"/>
      <c r="R181" s="842"/>
      <c r="S181" s="843"/>
    </row>
    <row r="182" customHeight="1" spans="2:19">
      <c r="B182" s="836"/>
      <c r="C182" s="836"/>
      <c r="D182" s="836"/>
      <c r="E182" s="836"/>
      <c r="F182" s="836"/>
      <c r="G182" s="836"/>
      <c r="H182" s="836"/>
      <c r="I182" s="836"/>
      <c r="J182" s="836"/>
      <c r="K182" s="836"/>
      <c r="L182" s="836"/>
      <c r="M182" s="836"/>
      <c r="N182" s="836"/>
      <c r="O182" s="836"/>
      <c r="P182" s="836"/>
      <c r="Q182" s="842"/>
      <c r="R182" s="842"/>
      <c r="S182" s="843"/>
    </row>
    <row r="183" customHeight="1" spans="2:19">
      <c r="B183" s="836"/>
      <c r="C183" s="836"/>
      <c r="D183" s="836"/>
      <c r="E183" s="836"/>
      <c r="F183" s="836"/>
      <c r="G183" s="836"/>
      <c r="H183" s="836"/>
      <c r="I183" s="836"/>
      <c r="J183" s="836"/>
      <c r="K183" s="836"/>
      <c r="L183" s="836"/>
      <c r="M183" s="836"/>
      <c r="N183" s="836"/>
      <c r="O183" s="836"/>
      <c r="P183" s="836"/>
      <c r="Q183" s="842"/>
      <c r="R183" s="842"/>
      <c r="S183" s="843"/>
    </row>
    <row r="184" customHeight="1" spans="2:19">
      <c r="B184" s="836"/>
      <c r="C184" s="836"/>
      <c r="D184" s="836"/>
      <c r="E184" s="836"/>
      <c r="F184" s="836"/>
      <c r="G184" s="836"/>
      <c r="H184" s="836"/>
      <c r="I184" s="836"/>
      <c r="J184" s="836"/>
      <c r="K184" s="836"/>
      <c r="L184" s="836"/>
      <c r="M184" s="836"/>
      <c r="N184" s="836"/>
      <c r="O184" s="836"/>
      <c r="P184" s="836"/>
      <c r="Q184" s="842"/>
      <c r="R184" s="842"/>
      <c r="S184" s="843"/>
    </row>
    <row r="185" customHeight="1" spans="2:19">
      <c r="B185" s="836"/>
      <c r="C185" s="836"/>
      <c r="D185" s="836"/>
      <c r="E185" s="836"/>
      <c r="F185" s="836"/>
      <c r="G185" s="836"/>
      <c r="H185" s="836"/>
      <c r="I185" s="836"/>
      <c r="J185" s="836"/>
      <c r="K185" s="836"/>
      <c r="L185" s="836"/>
      <c r="M185" s="836"/>
      <c r="N185" s="836"/>
      <c r="O185" s="836"/>
      <c r="P185" s="836"/>
      <c r="Q185" s="842"/>
      <c r="R185" s="842"/>
      <c r="S185" s="843"/>
    </row>
    <row r="186" customHeight="1" spans="2:19">
      <c r="B186" s="836"/>
      <c r="C186" s="836"/>
      <c r="D186" s="836"/>
      <c r="E186" s="836"/>
      <c r="F186" s="836"/>
      <c r="G186" s="836"/>
      <c r="H186" s="836"/>
      <c r="I186" s="836"/>
      <c r="J186" s="836"/>
      <c r="K186" s="836"/>
      <c r="L186" s="836"/>
      <c r="M186" s="836"/>
      <c r="N186" s="836"/>
      <c r="O186" s="836"/>
      <c r="P186" s="836"/>
      <c r="Q186" s="842"/>
      <c r="R186" s="842"/>
      <c r="S186" s="843"/>
    </row>
    <row r="187" customHeight="1" spans="2:19">
      <c r="B187" s="836"/>
      <c r="C187" s="836"/>
      <c r="D187" s="836"/>
      <c r="E187" s="836"/>
      <c r="F187" s="836"/>
      <c r="G187" s="836"/>
      <c r="H187" s="836"/>
      <c r="I187" s="836"/>
      <c r="J187" s="836"/>
      <c r="K187" s="836"/>
      <c r="L187" s="836"/>
      <c r="M187" s="836"/>
      <c r="N187" s="836"/>
      <c r="O187" s="836"/>
      <c r="P187" s="836"/>
      <c r="Q187" s="842"/>
      <c r="R187" s="842"/>
      <c r="S187" s="843"/>
    </row>
    <row r="188" customHeight="1" spans="2:19">
      <c r="B188" s="836"/>
      <c r="C188" s="836"/>
      <c r="D188" s="836"/>
      <c r="E188" s="836"/>
      <c r="F188" s="836"/>
      <c r="G188" s="836"/>
      <c r="H188" s="836"/>
      <c r="I188" s="836"/>
      <c r="J188" s="836"/>
      <c r="K188" s="836"/>
      <c r="L188" s="836"/>
      <c r="M188" s="836"/>
      <c r="N188" s="836"/>
      <c r="O188" s="836"/>
      <c r="P188" s="836"/>
      <c r="Q188" s="842"/>
      <c r="R188" s="842"/>
      <c r="S188" s="843"/>
    </row>
    <row r="189" customHeight="1" spans="2:19">
      <c r="B189" s="836"/>
      <c r="C189" s="836"/>
      <c r="D189" s="836"/>
      <c r="E189" s="836"/>
      <c r="F189" s="836"/>
      <c r="G189" s="836"/>
      <c r="H189" s="836"/>
      <c r="I189" s="836"/>
      <c r="J189" s="836"/>
      <c r="K189" s="836"/>
      <c r="L189" s="836"/>
      <c r="M189" s="836"/>
      <c r="N189" s="836"/>
      <c r="O189" s="836"/>
      <c r="P189" s="836"/>
      <c r="Q189" s="842"/>
      <c r="R189" s="842"/>
      <c r="S189" s="843"/>
    </row>
    <row r="190" customHeight="1" spans="2:19">
      <c r="B190" s="836"/>
      <c r="C190" s="836"/>
      <c r="D190" s="836"/>
      <c r="E190" s="836"/>
      <c r="F190" s="836"/>
      <c r="G190" s="836"/>
      <c r="H190" s="836"/>
      <c r="I190" s="836"/>
      <c r="J190" s="836"/>
      <c r="K190" s="836"/>
      <c r="L190" s="836"/>
      <c r="M190" s="836"/>
      <c r="N190" s="836"/>
      <c r="O190" s="836"/>
      <c r="P190" s="836"/>
      <c r="Q190" s="842"/>
      <c r="R190" s="842"/>
      <c r="S190" s="843"/>
    </row>
    <row r="191" customHeight="1" spans="2:19">
      <c r="B191" s="836"/>
      <c r="C191" s="836"/>
      <c r="D191" s="836"/>
      <c r="E191" s="836"/>
      <c r="F191" s="836"/>
      <c r="G191" s="836"/>
      <c r="H191" s="836"/>
      <c r="I191" s="836"/>
      <c r="J191" s="836"/>
      <c r="K191" s="836"/>
      <c r="L191" s="836"/>
      <c r="M191" s="836"/>
      <c r="N191" s="836"/>
      <c r="O191" s="836"/>
      <c r="P191" s="836"/>
      <c r="Q191" s="842"/>
      <c r="R191" s="842"/>
      <c r="S191" s="843"/>
    </row>
    <row r="192" customHeight="1" spans="2:19">
      <c r="B192" s="836"/>
      <c r="C192" s="836"/>
      <c r="D192" s="836"/>
      <c r="E192" s="836"/>
      <c r="F192" s="836"/>
      <c r="G192" s="836"/>
      <c r="H192" s="836"/>
      <c r="I192" s="836"/>
      <c r="J192" s="836"/>
      <c r="K192" s="836"/>
      <c r="L192" s="836"/>
      <c r="M192" s="836"/>
      <c r="N192" s="836"/>
      <c r="O192" s="836"/>
      <c r="P192" s="836"/>
      <c r="Q192" s="842"/>
      <c r="R192" s="842"/>
      <c r="S192" s="843"/>
    </row>
    <row r="193" customHeight="1" spans="2:19">
      <c r="B193" s="836"/>
      <c r="C193" s="836"/>
      <c r="D193" s="836"/>
      <c r="E193" s="836"/>
      <c r="F193" s="836"/>
      <c r="G193" s="836"/>
      <c r="H193" s="836"/>
      <c r="I193" s="836"/>
      <c r="J193" s="836"/>
      <c r="K193" s="836"/>
      <c r="L193" s="836"/>
      <c r="M193" s="836"/>
      <c r="N193" s="836"/>
      <c r="O193" s="836"/>
      <c r="P193" s="836"/>
      <c r="Q193" s="842"/>
      <c r="R193" s="842"/>
      <c r="S193" s="843"/>
    </row>
    <row r="194" customHeight="1" spans="2:19">
      <c r="B194" s="836"/>
      <c r="C194" s="836"/>
      <c r="D194" s="836"/>
      <c r="E194" s="836"/>
      <c r="F194" s="836"/>
      <c r="G194" s="836"/>
      <c r="H194" s="836"/>
      <c r="I194" s="836"/>
      <c r="J194" s="836"/>
      <c r="K194" s="836"/>
      <c r="L194" s="836"/>
      <c r="M194" s="836"/>
      <c r="N194" s="836"/>
      <c r="O194" s="836"/>
      <c r="P194" s="836"/>
      <c r="Q194" s="842"/>
      <c r="R194" s="842"/>
      <c r="S194" s="843"/>
    </row>
    <row r="195" customHeight="1" spans="2:19">
      <c r="B195" s="836"/>
      <c r="C195" s="836"/>
      <c r="D195" s="836"/>
      <c r="E195" s="836"/>
      <c r="F195" s="836"/>
      <c r="G195" s="836"/>
      <c r="H195" s="836"/>
      <c r="I195" s="836"/>
      <c r="J195" s="836"/>
      <c r="K195" s="836"/>
      <c r="L195" s="836"/>
      <c r="M195" s="836"/>
      <c r="N195" s="836"/>
      <c r="O195" s="836"/>
      <c r="P195" s="836"/>
      <c r="Q195" s="842"/>
      <c r="R195" s="842"/>
      <c r="S195" s="843"/>
    </row>
    <row r="196" customHeight="1" spans="2:19">
      <c r="B196" s="836"/>
      <c r="C196" s="836"/>
      <c r="D196" s="836"/>
      <c r="E196" s="836"/>
      <c r="F196" s="836"/>
      <c r="G196" s="836"/>
      <c r="H196" s="836"/>
      <c r="I196" s="836"/>
      <c r="J196" s="836"/>
      <c r="K196" s="836"/>
      <c r="L196" s="836"/>
      <c r="M196" s="836"/>
      <c r="N196" s="836"/>
      <c r="O196" s="836"/>
      <c r="P196" s="836"/>
      <c r="Q196" s="842"/>
      <c r="R196" s="842"/>
      <c r="S196" s="843"/>
    </row>
    <row r="197" customHeight="1" spans="2:19">
      <c r="B197" s="836"/>
      <c r="C197" s="836"/>
      <c r="D197" s="836"/>
      <c r="E197" s="836"/>
      <c r="F197" s="836"/>
      <c r="G197" s="836"/>
      <c r="H197" s="836"/>
      <c r="I197" s="836"/>
      <c r="J197" s="836"/>
      <c r="K197" s="836"/>
      <c r="L197" s="836"/>
      <c r="M197" s="836"/>
      <c r="N197" s="836"/>
      <c r="O197" s="836"/>
      <c r="P197" s="836"/>
      <c r="Q197" s="842"/>
      <c r="R197" s="842"/>
      <c r="S197" s="843"/>
    </row>
    <row r="198" customHeight="1" spans="2:19">
      <c r="B198" s="836"/>
      <c r="C198" s="836"/>
      <c r="D198" s="836"/>
      <c r="E198" s="836"/>
      <c r="F198" s="836"/>
      <c r="G198" s="836"/>
      <c r="H198" s="836"/>
      <c r="I198" s="836"/>
      <c r="J198" s="836"/>
      <c r="K198" s="836"/>
      <c r="L198" s="836"/>
      <c r="M198" s="836"/>
      <c r="N198" s="836"/>
      <c r="O198" s="836"/>
      <c r="P198" s="836"/>
      <c r="Q198" s="842"/>
      <c r="R198" s="842"/>
      <c r="S198" s="843"/>
    </row>
    <row r="199" customHeight="1" spans="2:19">
      <c r="B199" s="836"/>
      <c r="C199" s="836"/>
      <c r="D199" s="836"/>
      <c r="E199" s="836"/>
      <c r="F199" s="836"/>
      <c r="G199" s="836"/>
      <c r="H199" s="836"/>
      <c r="I199" s="836"/>
      <c r="J199" s="836"/>
      <c r="K199" s="836"/>
      <c r="L199" s="836"/>
      <c r="M199" s="836"/>
      <c r="N199" s="836"/>
      <c r="O199" s="836"/>
      <c r="P199" s="836"/>
      <c r="Q199" s="842"/>
      <c r="R199" s="842"/>
      <c r="S199" s="843"/>
    </row>
    <row r="200" customHeight="1" spans="2:19">
      <c r="B200" s="836"/>
      <c r="C200" s="836"/>
      <c r="D200" s="836"/>
      <c r="E200" s="836"/>
      <c r="F200" s="836"/>
      <c r="G200" s="836"/>
      <c r="H200" s="836"/>
      <c r="I200" s="836"/>
      <c r="J200" s="836"/>
      <c r="K200" s="836"/>
      <c r="L200" s="836"/>
      <c r="M200" s="836"/>
      <c r="N200" s="836"/>
      <c r="O200" s="836"/>
      <c r="P200" s="836"/>
      <c r="Q200" s="842"/>
      <c r="R200" s="842"/>
      <c r="S200" s="843"/>
    </row>
    <row r="201" customHeight="1" spans="2:19">
      <c r="B201" s="836"/>
      <c r="C201" s="836"/>
      <c r="D201" s="836"/>
      <c r="E201" s="836"/>
      <c r="F201" s="836"/>
      <c r="G201" s="836"/>
      <c r="H201" s="836"/>
      <c r="I201" s="836"/>
      <c r="J201" s="836"/>
      <c r="K201" s="836"/>
      <c r="L201" s="836"/>
      <c r="M201" s="836"/>
      <c r="N201" s="836"/>
      <c r="O201" s="836"/>
      <c r="P201" s="836"/>
      <c r="Q201" s="842"/>
      <c r="R201" s="842"/>
      <c r="S201" s="843"/>
    </row>
    <row r="202" customHeight="1" spans="2:19">
      <c r="B202" s="836"/>
      <c r="C202" s="836"/>
      <c r="D202" s="836"/>
      <c r="E202" s="836"/>
      <c r="F202" s="836"/>
      <c r="G202" s="836"/>
      <c r="H202" s="836"/>
      <c r="I202" s="836"/>
      <c r="J202" s="836"/>
      <c r="K202" s="836"/>
      <c r="L202" s="836"/>
      <c r="M202" s="836"/>
      <c r="N202" s="836"/>
      <c r="O202" s="836"/>
      <c r="P202" s="836"/>
      <c r="Q202" s="842"/>
      <c r="R202" s="842"/>
      <c r="S202" s="843"/>
    </row>
    <row r="203" customHeight="1" spans="2:19">
      <c r="B203" s="836"/>
      <c r="C203" s="836"/>
      <c r="D203" s="836"/>
      <c r="E203" s="836"/>
      <c r="F203" s="836"/>
      <c r="G203" s="836"/>
      <c r="H203" s="836"/>
      <c r="I203" s="836"/>
      <c r="J203" s="836"/>
      <c r="K203" s="836"/>
      <c r="L203" s="836"/>
      <c r="M203" s="836"/>
      <c r="N203" s="836"/>
      <c r="O203" s="836"/>
      <c r="P203" s="836"/>
      <c r="Q203" s="842"/>
      <c r="R203" s="842"/>
      <c r="S203" s="843"/>
    </row>
    <row r="204" customHeight="1" spans="2:19">
      <c r="B204" s="836"/>
      <c r="C204" s="836"/>
      <c r="D204" s="836"/>
      <c r="E204" s="836"/>
      <c r="F204" s="836"/>
      <c r="G204" s="836"/>
      <c r="H204" s="836"/>
      <c r="I204" s="836"/>
      <c r="J204" s="836"/>
      <c r="K204" s="836"/>
      <c r="L204" s="836"/>
      <c r="M204" s="836"/>
      <c r="N204" s="836"/>
      <c r="O204" s="836"/>
      <c r="P204" s="836"/>
      <c r="Q204" s="842"/>
      <c r="R204" s="842"/>
      <c r="S204" s="843"/>
    </row>
    <row r="205" customHeight="1" spans="2:19">
      <c r="B205" s="836"/>
      <c r="C205" s="836"/>
      <c r="D205" s="836"/>
      <c r="E205" s="836"/>
      <c r="F205" s="836"/>
      <c r="G205" s="836"/>
      <c r="H205" s="836"/>
      <c r="I205" s="836"/>
      <c r="J205" s="836"/>
      <c r="K205" s="836"/>
      <c r="L205" s="836"/>
      <c r="M205" s="836"/>
      <c r="N205" s="836"/>
      <c r="O205" s="836"/>
      <c r="P205" s="836"/>
      <c r="Q205" s="842"/>
      <c r="R205" s="842"/>
      <c r="S205" s="843"/>
    </row>
    <row r="206" customHeight="1" spans="2:19">
      <c r="B206" s="836"/>
      <c r="C206" s="836"/>
      <c r="D206" s="836"/>
      <c r="E206" s="836"/>
      <c r="F206" s="836"/>
      <c r="G206" s="836"/>
      <c r="H206" s="836"/>
      <c r="I206" s="836"/>
      <c r="J206" s="836"/>
      <c r="K206" s="836"/>
      <c r="L206" s="836"/>
      <c r="M206" s="836"/>
      <c r="N206" s="836"/>
      <c r="O206" s="836"/>
      <c r="P206" s="836"/>
      <c r="Q206" s="842"/>
      <c r="R206" s="842"/>
      <c r="S206" s="843"/>
    </row>
    <row r="207" customHeight="1" spans="2:19">
      <c r="B207" s="836"/>
      <c r="C207" s="836"/>
      <c r="D207" s="836"/>
      <c r="E207" s="836"/>
      <c r="F207" s="836"/>
      <c r="G207" s="836"/>
      <c r="H207" s="836"/>
      <c r="I207" s="836"/>
      <c r="J207" s="836"/>
      <c r="K207" s="836"/>
      <c r="L207" s="836"/>
      <c r="M207" s="836"/>
      <c r="N207" s="836"/>
      <c r="O207" s="836"/>
      <c r="P207" s="836"/>
      <c r="Q207" s="842"/>
      <c r="R207" s="842"/>
      <c r="S207" s="843"/>
    </row>
    <row r="208" customHeight="1" spans="2:19">
      <c r="B208" s="836"/>
      <c r="C208" s="836"/>
      <c r="D208" s="836"/>
      <c r="E208" s="836"/>
      <c r="F208" s="836"/>
      <c r="G208" s="836"/>
      <c r="H208" s="836"/>
      <c r="I208" s="836"/>
      <c r="J208" s="836"/>
      <c r="K208" s="836"/>
      <c r="L208" s="836"/>
      <c r="M208" s="836"/>
      <c r="N208" s="836"/>
      <c r="O208" s="836"/>
      <c r="P208" s="836"/>
      <c r="Q208" s="842"/>
      <c r="R208" s="842"/>
      <c r="S208" s="843"/>
    </row>
    <row r="209" customHeight="1" spans="2:19">
      <c r="B209" s="836"/>
      <c r="C209" s="836"/>
      <c r="D209" s="836"/>
      <c r="E209" s="836"/>
      <c r="F209" s="836"/>
      <c r="G209" s="836"/>
      <c r="H209" s="836"/>
      <c r="I209" s="836"/>
      <c r="J209" s="836"/>
      <c r="K209" s="836"/>
      <c r="L209" s="836"/>
      <c r="M209" s="836"/>
      <c r="N209" s="836"/>
      <c r="O209" s="836"/>
      <c r="P209" s="836"/>
      <c r="Q209" s="842"/>
      <c r="R209" s="842"/>
      <c r="S209" s="843"/>
    </row>
    <row r="210" customHeight="1" spans="2:19">
      <c r="B210" s="836"/>
      <c r="C210" s="836"/>
      <c r="D210" s="836"/>
      <c r="E210" s="836"/>
      <c r="F210" s="836"/>
      <c r="G210" s="836"/>
      <c r="H210" s="836"/>
      <c r="I210" s="836"/>
      <c r="J210" s="836"/>
      <c r="K210" s="836"/>
      <c r="L210" s="836"/>
      <c r="M210" s="836"/>
      <c r="N210" s="836"/>
      <c r="O210" s="836"/>
      <c r="P210" s="836"/>
      <c r="Q210" s="842"/>
      <c r="R210" s="842"/>
      <c r="S210" s="843"/>
    </row>
    <row r="211" customHeight="1" spans="2:19">
      <c r="B211" s="836"/>
      <c r="C211" s="836"/>
      <c r="D211" s="836"/>
      <c r="E211" s="836"/>
      <c r="F211" s="836"/>
      <c r="G211" s="836"/>
      <c r="H211" s="836"/>
      <c r="I211" s="836"/>
      <c r="J211" s="836"/>
      <c r="K211" s="836"/>
      <c r="L211" s="836"/>
      <c r="M211" s="836"/>
      <c r="N211" s="836"/>
      <c r="O211" s="836"/>
      <c r="P211" s="836"/>
      <c r="Q211" s="842"/>
      <c r="R211" s="842"/>
      <c r="S211" s="843"/>
    </row>
    <row r="212" customHeight="1" spans="2:19">
      <c r="B212" s="836"/>
      <c r="C212" s="836"/>
      <c r="D212" s="836"/>
      <c r="E212" s="836"/>
      <c r="F212" s="836"/>
      <c r="G212" s="836"/>
      <c r="H212" s="836"/>
      <c r="I212" s="836"/>
      <c r="J212" s="836"/>
      <c r="K212" s="836"/>
      <c r="L212" s="836"/>
      <c r="M212" s="836"/>
      <c r="N212" s="836"/>
      <c r="O212" s="836"/>
      <c r="P212" s="836"/>
      <c r="Q212" s="842"/>
      <c r="R212" s="842"/>
      <c r="S212" s="843"/>
    </row>
    <row r="213" customHeight="1" spans="2:19">
      <c r="B213" s="836"/>
      <c r="C213" s="836"/>
      <c r="D213" s="836"/>
      <c r="E213" s="836"/>
      <c r="F213" s="836"/>
      <c r="G213" s="836"/>
      <c r="H213" s="836"/>
      <c r="I213" s="836"/>
      <c r="J213" s="836"/>
      <c r="K213" s="836"/>
      <c r="L213" s="836"/>
      <c r="M213" s="836"/>
      <c r="N213" s="836"/>
      <c r="O213" s="836"/>
      <c r="P213" s="836"/>
      <c r="Q213" s="842"/>
      <c r="R213" s="842"/>
      <c r="S213" s="843"/>
    </row>
    <row r="214" customHeight="1" spans="2:19">
      <c r="B214" s="836"/>
      <c r="C214" s="836"/>
      <c r="D214" s="836"/>
      <c r="E214" s="836"/>
      <c r="F214" s="836"/>
      <c r="G214" s="836"/>
      <c r="H214" s="836"/>
      <c r="I214" s="836"/>
      <c r="J214" s="836"/>
      <c r="K214" s="836"/>
      <c r="L214" s="836"/>
      <c r="M214" s="836"/>
      <c r="N214" s="836"/>
      <c r="O214" s="836"/>
      <c r="P214" s="836"/>
      <c r="Q214" s="842"/>
      <c r="R214" s="842"/>
      <c r="S214" s="843"/>
    </row>
    <row r="215" customHeight="1" spans="2:19">
      <c r="B215" s="836"/>
      <c r="C215" s="836"/>
      <c r="D215" s="836"/>
      <c r="E215" s="836"/>
      <c r="F215" s="836"/>
      <c r="G215" s="836"/>
      <c r="H215" s="836"/>
      <c r="I215" s="836"/>
      <c r="J215" s="836"/>
      <c r="K215" s="836"/>
      <c r="L215" s="836"/>
      <c r="M215" s="836"/>
      <c r="N215" s="836"/>
      <c r="O215" s="836"/>
      <c r="P215" s="836"/>
      <c r="Q215" s="842"/>
      <c r="R215" s="842"/>
      <c r="S215" s="843"/>
    </row>
    <row r="216" customHeight="1" spans="2:19">
      <c r="B216" s="836"/>
      <c r="C216" s="836"/>
      <c r="D216" s="836"/>
      <c r="E216" s="836"/>
      <c r="F216" s="836"/>
      <c r="G216" s="836"/>
      <c r="H216" s="836"/>
      <c r="I216" s="836"/>
      <c r="J216" s="836"/>
      <c r="K216" s="836"/>
      <c r="L216" s="836"/>
      <c r="M216" s="836"/>
      <c r="N216" s="836"/>
      <c r="O216" s="836"/>
      <c r="P216" s="836"/>
      <c r="Q216" s="842"/>
      <c r="R216" s="842"/>
      <c r="S216" s="843"/>
    </row>
    <row r="217" customHeight="1" spans="2:19">
      <c r="B217" s="836"/>
      <c r="C217" s="836"/>
      <c r="D217" s="836"/>
      <c r="E217" s="836"/>
      <c r="F217" s="836"/>
      <c r="G217" s="836"/>
      <c r="H217" s="836"/>
      <c r="I217" s="836"/>
      <c r="J217" s="836"/>
      <c r="K217" s="836"/>
      <c r="L217" s="836"/>
      <c r="M217" s="836"/>
      <c r="N217" s="836"/>
      <c r="O217" s="836"/>
      <c r="P217" s="836"/>
      <c r="Q217" s="842"/>
      <c r="R217" s="842"/>
      <c r="S217" s="843"/>
    </row>
    <row r="218" customHeight="1" spans="2:19">
      <c r="B218" s="836"/>
      <c r="C218" s="836"/>
      <c r="D218" s="836"/>
      <c r="E218" s="836"/>
      <c r="F218" s="836"/>
      <c r="G218" s="836"/>
      <c r="H218" s="836"/>
      <c r="I218" s="836"/>
      <c r="J218" s="836"/>
      <c r="K218" s="836"/>
      <c r="L218" s="836"/>
      <c r="M218" s="836"/>
      <c r="N218" s="836"/>
      <c r="O218" s="836"/>
      <c r="P218" s="836"/>
      <c r="Q218" s="842"/>
      <c r="R218" s="842"/>
      <c r="S218" s="843"/>
    </row>
    <row r="219" customHeight="1" spans="2:19">
      <c r="B219" s="836"/>
      <c r="C219" s="836"/>
      <c r="D219" s="836"/>
      <c r="E219" s="836"/>
      <c r="F219" s="836"/>
      <c r="G219" s="836"/>
      <c r="H219" s="836"/>
      <c r="I219" s="836"/>
      <c r="J219" s="836"/>
      <c r="K219" s="836"/>
      <c r="L219" s="836"/>
      <c r="M219" s="836"/>
      <c r="N219" s="836"/>
      <c r="O219" s="836"/>
      <c r="P219" s="836"/>
      <c r="Q219" s="842"/>
      <c r="R219" s="842"/>
      <c r="S219" s="843"/>
    </row>
    <row r="220" customHeight="1" spans="2:19">
      <c r="B220" s="836"/>
      <c r="C220" s="836"/>
      <c r="D220" s="836"/>
      <c r="E220" s="836"/>
      <c r="F220" s="836"/>
      <c r="G220" s="836"/>
      <c r="H220" s="836"/>
      <c r="I220" s="836"/>
      <c r="J220" s="836"/>
      <c r="K220" s="836"/>
      <c r="L220" s="836"/>
      <c r="M220" s="836"/>
      <c r="N220" s="836"/>
      <c r="O220" s="836"/>
      <c r="P220" s="836"/>
      <c r="Q220" s="842"/>
      <c r="R220" s="842"/>
      <c r="S220" s="843"/>
    </row>
    <row r="221" customHeight="1" spans="2:19">
      <c r="B221" s="836"/>
      <c r="C221" s="836"/>
      <c r="D221" s="836"/>
      <c r="E221" s="836"/>
      <c r="F221" s="836"/>
      <c r="G221" s="836"/>
      <c r="H221" s="836"/>
      <c r="I221" s="836"/>
      <c r="J221" s="836"/>
      <c r="K221" s="836"/>
      <c r="L221" s="836"/>
      <c r="M221" s="836"/>
      <c r="N221" s="836"/>
      <c r="O221" s="836"/>
      <c r="P221" s="836"/>
      <c r="Q221" s="842"/>
      <c r="R221" s="842"/>
      <c r="S221" s="843"/>
    </row>
    <row r="222" customHeight="1" spans="2:19">
      <c r="B222" s="836"/>
      <c r="C222" s="836"/>
      <c r="D222" s="836"/>
      <c r="E222" s="836"/>
      <c r="F222" s="836"/>
      <c r="G222" s="836"/>
      <c r="H222" s="836"/>
      <c r="I222" s="836"/>
      <c r="J222" s="836"/>
      <c r="K222" s="836"/>
      <c r="L222" s="836"/>
      <c r="M222" s="836"/>
      <c r="N222" s="836"/>
      <c r="O222" s="836"/>
      <c r="P222" s="836"/>
      <c r="Q222" s="842"/>
      <c r="R222" s="842"/>
      <c r="S222" s="843"/>
    </row>
    <row r="223" customHeight="1" spans="2:19">
      <c r="B223" s="836"/>
      <c r="C223" s="836"/>
      <c r="D223" s="836"/>
      <c r="E223" s="836"/>
      <c r="F223" s="836"/>
      <c r="G223" s="836"/>
      <c r="H223" s="836"/>
      <c r="I223" s="836"/>
      <c r="J223" s="836"/>
      <c r="K223" s="836"/>
      <c r="L223" s="836"/>
      <c r="M223" s="836"/>
      <c r="N223" s="836"/>
      <c r="O223" s="836"/>
      <c r="P223" s="836"/>
      <c r="Q223" s="842"/>
      <c r="R223" s="842"/>
      <c r="S223" s="843"/>
    </row>
    <row r="224" customHeight="1" spans="2:19">
      <c r="B224" s="836"/>
      <c r="C224" s="836"/>
      <c r="D224" s="836"/>
      <c r="E224" s="836"/>
      <c r="F224" s="836"/>
      <c r="G224" s="836"/>
      <c r="H224" s="836"/>
      <c r="I224" s="836"/>
      <c r="J224" s="836"/>
      <c r="K224" s="836"/>
      <c r="L224" s="836"/>
      <c r="M224" s="836"/>
      <c r="N224" s="836"/>
      <c r="O224" s="836"/>
      <c r="P224" s="836"/>
      <c r="Q224" s="842"/>
      <c r="R224" s="842"/>
      <c r="S224" s="843"/>
    </row>
  </sheetData>
  <mergeCells count="65">
    <mergeCell ref="A1:C1"/>
    <mergeCell ref="B2:V2"/>
    <mergeCell ref="B80:V80"/>
    <mergeCell ref="B4:B6"/>
    <mergeCell ref="B7:B9"/>
    <mergeCell ref="B10:B26"/>
    <mergeCell ref="B27:B45"/>
    <mergeCell ref="B46:B65"/>
    <mergeCell ref="B66:B70"/>
    <mergeCell ref="B71:B75"/>
    <mergeCell ref="B76:B79"/>
    <mergeCell ref="F66:F70"/>
    <mergeCell ref="F71:F75"/>
    <mergeCell ref="F76:F79"/>
    <mergeCell ref="G4:G6"/>
    <mergeCell ref="G7:G26"/>
    <mergeCell ref="G27:G45"/>
    <mergeCell ref="G46:G65"/>
    <mergeCell ref="G66:G70"/>
    <mergeCell ref="G71:G75"/>
    <mergeCell ref="G76:G79"/>
    <mergeCell ref="H4:H6"/>
    <mergeCell ref="H7:H26"/>
    <mergeCell ref="H27:H45"/>
    <mergeCell ref="H46:H65"/>
    <mergeCell ref="H66:H70"/>
    <mergeCell ref="H71:H79"/>
    <mergeCell ref="I4:I6"/>
    <mergeCell ref="I7:I26"/>
    <mergeCell ref="I27:I45"/>
    <mergeCell ref="I46:I65"/>
    <mergeCell ref="I66:I70"/>
    <mergeCell ref="I71:I79"/>
    <mergeCell ref="O4:O6"/>
    <mergeCell ref="O8:O9"/>
    <mergeCell ref="O10:O25"/>
    <mergeCell ref="O27:O28"/>
    <mergeCell ref="O29:O34"/>
    <mergeCell ref="O38:O45"/>
    <mergeCell ref="O47:O62"/>
    <mergeCell ref="O63:O65"/>
    <mergeCell ref="O66:O70"/>
    <mergeCell ref="O71:O75"/>
    <mergeCell ref="O76:O79"/>
    <mergeCell ref="P4:P6"/>
    <mergeCell ref="P10:P26"/>
    <mergeCell ref="P27:P45"/>
    <mergeCell ref="P46:P65"/>
    <mergeCell ref="P66:P70"/>
    <mergeCell ref="P71:P75"/>
    <mergeCell ref="P76:P79"/>
    <mergeCell ref="Q4:Q6"/>
    <mergeCell ref="Q10:Q26"/>
    <mergeCell ref="Q27:Q45"/>
    <mergeCell ref="Q46:Q65"/>
    <mergeCell ref="Q66:Q70"/>
    <mergeCell ref="Q71:Q75"/>
    <mergeCell ref="Q76:Q79"/>
    <mergeCell ref="R4:R6"/>
    <mergeCell ref="R10:R26"/>
    <mergeCell ref="R27:R45"/>
    <mergeCell ref="R46:R65"/>
    <mergeCell ref="R66:R70"/>
    <mergeCell ref="R71:R75"/>
    <mergeCell ref="R76:R79"/>
  </mergeCells>
  <hyperlinks>
    <hyperlink ref="A1" location="'目录'!A1" display="点此返回目录"/>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X161"/>
  <sheetViews>
    <sheetView workbookViewId="0">
      <selection activeCell="H39" sqref="H39:H40"/>
    </sheetView>
  </sheetViews>
  <sheetFormatPr defaultColWidth="9" defaultRowHeight="17.25"/>
  <cols>
    <col min="1" max="1" width="3.63333333333333" style="20" customWidth="1"/>
    <col min="2" max="2" width="10.5" style="547" customWidth="1"/>
    <col min="3" max="3" width="26" style="547" customWidth="1"/>
    <col min="4" max="4" width="9" style="547"/>
    <col min="5" max="5" width="10" style="547" customWidth="1"/>
    <col min="6" max="6" width="9" style="547"/>
    <col min="7" max="15" width="9.13333333333333" style="547" customWidth="1"/>
    <col min="16" max="19" width="13.8833333333333" style="547" customWidth="1"/>
    <col min="20" max="21" width="19.25" style="547" customWidth="1"/>
    <col min="22" max="31" width="9" style="547"/>
    <col min="32" max="16384" width="9" style="20"/>
  </cols>
  <sheetData>
    <row r="1" ht="26.25" customHeight="1" spans="1:3">
      <c r="A1" s="158" t="s">
        <v>33</v>
      </c>
      <c r="B1" s="158"/>
      <c r="C1" s="158"/>
    </row>
    <row r="2" s="547" customFormat="1" ht="36.75" customHeight="1" spans="2:23">
      <c r="B2" s="550" t="s">
        <v>685</v>
      </c>
      <c r="C2" s="551"/>
      <c r="D2" s="551"/>
      <c r="E2" s="551"/>
      <c r="F2" s="551"/>
      <c r="G2" s="551"/>
      <c r="H2" s="551"/>
      <c r="I2" s="551"/>
      <c r="J2" s="551"/>
      <c r="K2" s="551"/>
      <c r="L2" s="551"/>
      <c r="M2" s="551"/>
      <c r="N2" s="551"/>
      <c r="O2" s="551"/>
      <c r="P2" s="551"/>
      <c r="Q2" s="551"/>
      <c r="R2" s="551"/>
      <c r="S2" s="551"/>
      <c r="T2" s="551"/>
      <c r="U2" s="551"/>
      <c r="V2" s="551"/>
      <c r="W2" s="670"/>
    </row>
    <row r="3" s="547" customFormat="1" ht="24.95" customHeight="1" spans="2:23">
      <c r="B3" s="552" t="s">
        <v>35</v>
      </c>
      <c r="C3" s="553" t="s">
        <v>36</v>
      </c>
      <c r="D3" s="497" t="s">
        <v>37</v>
      </c>
      <c r="E3" s="497" t="s">
        <v>686</v>
      </c>
      <c r="F3" s="497" t="s">
        <v>687</v>
      </c>
      <c r="G3" s="540" t="s">
        <v>688</v>
      </c>
      <c r="H3" s="540"/>
      <c r="I3" s="540"/>
      <c r="J3" s="540"/>
      <c r="K3" s="540"/>
      <c r="L3" s="540"/>
      <c r="M3" s="497" t="s">
        <v>689</v>
      </c>
      <c r="N3" s="497"/>
      <c r="O3" s="497"/>
      <c r="P3" s="497" t="s">
        <v>690</v>
      </c>
      <c r="Q3" s="497"/>
      <c r="R3" s="497"/>
      <c r="S3" s="497"/>
      <c r="T3" s="497"/>
      <c r="U3" s="497"/>
      <c r="V3" s="317" t="s">
        <v>40</v>
      </c>
      <c r="W3" s="318" t="s">
        <v>41</v>
      </c>
    </row>
    <row r="4" s="547" customFormat="1" ht="46.5" customHeight="1" spans="2:23">
      <c r="B4" s="554"/>
      <c r="C4" s="487"/>
      <c r="D4" s="431"/>
      <c r="E4" s="431"/>
      <c r="F4" s="431"/>
      <c r="G4" s="555" t="s">
        <v>691</v>
      </c>
      <c r="H4" s="555"/>
      <c r="I4" s="555"/>
      <c r="J4" s="555" t="s">
        <v>692</v>
      </c>
      <c r="K4" s="555"/>
      <c r="L4" s="555"/>
      <c r="M4" s="431"/>
      <c r="N4" s="431"/>
      <c r="O4" s="431"/>
      <c r="P4" s="431" t="s">
        <v>693</v>
      </c>
      <c r="Q4" s="431"/>
      <c r="R4" s="431" t="s">
        <v>694</v>
      </c>
      <c r="S4" s="431"/>
      <c r="T4" s="431"/>
      <c r="U4" s="431"/>
      <c r="V4" s="423"/>
      <c r="W4" s="440"/>
    </row>
    <row r="5" s="547" customFormat="1" ht="45.75" spans="2:23">
      <c r="B5" s="556"/>
      <c r="C5" s="557"/>
      <c r="D5" s="558"/>
      <c r="E5" s="558"/>
      <c r="F5" s="558"/>
      <c r="G5" s="558" t="s">
        <v>695</v>
      </c>
      <c r="H5" s="558" t="s">
        <v>696</v>
      </c>
      <c r="I5" s="558" t="s">
        <v>697</v>
      </c>
      <c r="J5" s="558" t="s">
        <v>695</v>
      </c>
      <c r="K5" s="558" t="s">
        <v>696</v>
      </c>
      <c r="L5" s="558" t="s">
        <v>697</v>
      </c>
      <c r="M5" s="558" t="s">
        <v>695</v>
      </c>
      <c r="N5" s="558" t="s">
        <v>698</v>
      </c>
      <c r="O5" s="558" t="s">
        <v>699</v>
      </c>
      <c r="P5" s="630" t="s">
        <v>700</v>
      </c>
      <c r="Q5" s="630" t="s">
        <v>701</v>
      </c>
      <c r="R5" s="630" t="s">
        <v>700</v>
      </c>
      <c r="S5" s="630" t="s">
        <v>701</v>
      </c>
      <c r="T5" s="630" t="s">
        <v>702</v>
      </c>
      <c r="U5" s="630" t="s">
        <v>703</v>
      </c>
      <c r="V5" s="671"/>
      <c r="W5" s="672"/>
    </row>
    <row r="6" s="547" customFormat="1" ht="30" customHeight="1" spans="2:23">
      <c r="B6" s="559" t="s">
        <v>6</v>
      </c>
      <c r="C6" s="560" t="s">
        <v>52</v>
      </c>
      <c r="D6" s="561" t="s">
        <v>53</v>
      </c>
      <c r="E6" s="562" t="s">
        <v>309</v>
      </c>
      <c r="F6" s="563">
        <v>0.06</v>
      </c>
      <c r="G6" s="564">
        <v>0.07</v>
      </c>
      <c r="H6" s="565">
        <f>MAX(G6,N6+2%)</f>
        <v>0.1</v>
      </c>
      <c r="I6" s="631">
        <f>MAX(G6,O6+2%)</f>
        <v>0.12</v>
      </c>
      <c r="J6" s="564">
        <v>0.06</v>
      </c>
      <c r="K6" s="565">
        <f>MAX(J6,N6+2%)</f>
        <v>0.1</v>
      </c>
      <c r="L6" s="631">
        <f>MAX(J6,O6+2%)</f>
        <v>0.12</v>
      </c>
      <c r="M6" s="632">
        <v>0.05</v>
      </c>
      <c r="N6" s="633">
        <f>M6+3%</f>
        <v>0.08</v>
      </c>
      <c r="O6" s="634">
        <f>N6+2%</f>
        <v>0.1</v>
      </c>
      <c r="P6" s="635">
        <f>MAX(10%,G6)</f>
        <v>0.1</v>
      </c>
      <c r="Q6" s="635">
        <f>MAX(10%,J6)</f>
        <v>0.1</v>
      </c>
      <c r="R6" s="635">
        <f>MAX(15%,G6)</f>
        <v>0.15</v>
      </c>
      <c r="S6" s="635">
        <f>MAX(15%,J6)</f>
        <v>0.15</v>
      </c>
      <c r="T6" s="635">
        <f>MAX(20%,G6)</f>
        <v>0.2</v>
      </c>
      <c r="U6" s="635">
        <f>MAX(J6,20%)</f>
        <v>0.2</v>
      </c>
      <c r="V6" s="400" t="str">
        <f>IFERROR(IF(VLOOKUP(D6,期货合约要素!$D:$Q,12,0)=0,"",VLOOKUP(D6,期货合约要素!$D:$Q,12,0)),IF(VLOOKUP(D6,期权合约要素!$D:$V,17,0)=0,"",VLOOKUP(D6,期权合约要素!$D:$V,17,0)))</f>
        <v>√</v>
      </c>
      <c r="W6" s="401" t="str">
        <f>IFERROR(IF(VLOOKUP(D6,期货合约要素!$D:$Q,14,0)=0,"",VLOOKUP(D6,期货合约要素!$D:$Q,14,0)),IF(VLOOKUP(D6,期权合约要素!$D:$V,19,0)=0,"",VLOOKUP(D6,期权合约要素!$D:$V,19,0)))</f>
        <v/>
      </c>
    </row>
    <row r="7" s="547" customFormat="1" ht="30" customHeight="1" spans="2:23">
      <c r="B7" s="566"/>
      <c r="C7" s="567" t="s">
        <v>58</v>
      </c>
      <c r="D7" s="568" t="s">
        <v>59</v>
      </c>
      <c r="E7" s="569" t="s">
        <v>309</v>
      </c>
      <c r="F7" s="570">
        <v>0.06</v>
      </c>
      <c r="G7" s="571">
        <v>0.07</v>
      </c>
      <c r="H7" s="572">
        <f>MAX(G7,N7+2%)</f>
        <v>0.1</v>
      </c>
      <c r="I7" s="636">
        <f>MAX(G7,O7+2%)</f>
        <v>0.12</v>
      </c>
      <c r="J7" s="571">
        <v>0.06</v>
      </c>
      <c r="K7" s="572">
        <f>MAX(J7,N7+2%)</f>
        <v>0.1</v>
      </c>
      <c r="L7" s="636">
        <f>MAX(J7,O7+2%)</f>
        <v>0.12</v>
      </c>
      <c r="M7" s="637">
        <v>0.05</v>
      </c>
      <c r="N7" s="638">
        <f>M7+3%</f>
        <v>0.08</v>
      </c>
      <c r="O7" s="639">
        <f>N7+2%</f>
        <v>0.1</v>
      </c>
      <c r="P7" s="640">
        <f>MAX(10%,G7)</f>
        <v>0.1</v>
      </c>
      <c r="Q7" s="640">
        <f>MAX(10%,J7)</f>
        <v>0.1</v>
      </c>
      <c r="R7" s="640">
        <f>MAX(15%,G7)</f>
        <v>0.15</v>
      </c>
      <c r="S7" s="640">
        <f>MAX(15%,J7)</f>
        <v>0.15</v>
      </c>
      <c r="T7" s="640">
        <f>MAX(20%,G7)</f>
        <v>0.2</v>
      </c>
      <c r="U7" s="640">
        <f>MAX(J7,20%)</f>
        <v>0.2</v>
      </c>
      <c r="V7" s="330" t="str">
        <f>IFERROR(IF(VLOOKUP(D7,期货合约要素!$D:$Q,12,0)=0,"",VLOOKUP(D7,期货合约要素!$D:$Q,12,0)),IF(VLOOKUP(D7,期权合约要素!$D:$V,17,0)=0,"",VLOOKUP(D7,期权合约要素!$D:$V,17,0)))</f>
        <v>√</v>
      </c>
      <c r="W7" s="391" t="str">
        <f>IFERROR(IF(VLOOKUP(D7,期货合约要素!$D:$Q,14,0)=0,"",VLOOKUP(D7,期货合约要素!$D:$Q,14,0)),IF(VLOOKUP(D7,期权合约要素!$D:$V,19,0)=0,"",VLOOKUP(D7,期权合约要素!$D:$V,19,0)))</f>
        <v/>
      </c>
    </row>
    <row r="8" s="547" customFormat="1" ht="30" customHeight="1" spans="2:23">
      <c r="B8" s="566"/>
      <c r="C8" s="567" t="s">
        <v>47</v>
      </c>
      <c r="D8" s="568" t="s">
        <v>48</v>
      </c>
      <c r="E8" s="569" t="s">
        <v>309</v>
      </c>
      <c r="F8" s="570">
        <v>0.06</v>
      </c>
      <c r="G8" s="571">
        <v>0.09</v>
      </c>
      <c r="H8" s="572">
        <f>MAX(G8,N8+2%)</f>
        <v>0.12</v>
      </c>
      <c r="I8" s="636">
        <f>MAX(G8,O8+2%)</f>
        <v>0.14</v>
      </c>
      <c r="J8" s="571">
        <v>0.08</v>
      </c>
      <c r="K8" s="572">
        <f>MAX(J8,N8+2%)</f>
        <v>0.12</v>
      </c>
      <c r="L8" s="636">
        <f>MAX(J8,O8+2%)</f>
        <v>0.14</v>
      </c>
      <c r="M8" s="637">
        <v>0.07</v>
      </c>
      <c r="N8" s="638">
        <f>M8+3%</f>
        <v>0.1</v>
      </c>
      <c r="O8" s="639">
        <f>N8+2%</f>
        <v>0.12</v>
      </c>
      <c r="P8" s="640">
        <f>MAX(10%,G8)</f>
        <v>0.1</v>
      </c>
      <c r="Q8" s="640">
        <f>MAX(10%,J8)</f>
        <v>0.1</v>
      </c>
      <c r="R8" s="640">
        <f>MAX(15%,G8)</f>
        <v>0.15</v>
      </c>
      <c r="S8" s="640">
        <f>MAX(15%,J8)</f>
        <v>0.15</v>
      </c>
      <c r="T8" s="640">
        <f>MAX(20%,G8)</f>
        <v>0.2</v>
      </c>
      <c r="U8" s="640">
        <f>MAX(J8,20%)</f>
        <v>0.2</v>
      </c>
      <c r="V8" s="330" t="str">
        <f>IFERROR(IF(VLOOKUP(D8,期货合约要素!$D:$Q,12,0)=0,"",VLOOKUP(D8,期货合约要素!$D:$Q,12,0)),IF(VLOOKUP(D8,期权合约要素!$D:$V,17,0)=0,"",VLOOKUP(D8,期权合约要素!$D:$V,17,0)))</f>
        <v/>
      </c>
      <c r="W8" s="391" t="str">
        <f>IFERROR(IF(VLOOKUP(D8,期货合约要素!$D:$Q,14,0)=0,"",VLOOKUP(D8,期货合约要素!$D:$Q,14,0)),IF(VLOOKUP(D8,期权合约要素!$D:$V,19,0)=0,"",VLOOKUP(D8,期权合约要素!$D:$V,19,0)))</f>
        <v/>
      </c>
    </row>
    <row r="9" s="547" customFormat="1" ht="30" spans="2:23">
      <c r="B9" s="566"/>
      <c r="C9" s="567" t="s">
        <v>704</v>
      </c>
      <c r="D9" s="573"/>
      <c r="E9" s="574"/>
      <c r="F9" s="575"/>
      <c r="G9" s="571">
        <v>0.1</v>
      </c>
      <c r="H9" s="572">
        <f>MAX(G9,N9+2%)</f>
        <v>0.13</v>
      </c>
      <c r="I9" s="636">
        <f>MAX(G9,O9+2%)</f>
        <v>0.15</v>
      </c>
      <c r="J9" s="571">
        <v>0.09</v>
      </c>
      <c r="K9" s="572">
        <f>MAX(J9,N9+2%)</f>
        <v>0.13</v>
      </c>
      <c r="L9" s="636">
        <f>MAX(J9,O9+2%)</f>
        <v>0.15</v>
      </c>
      <c r="M9" s="637">
        <v>0.08</v>
      </c>
      <c r="N9" s="638">
        <f>M9+3%</f>
        <v>0.11</v>
      </c>
      <c r="O9" s="639">
        <f>N9+2%</f>
        <v>0.13</v>
      </c>
      <c r="P9" s="640">
        <f>MAX(10%,G9)</f>
        <v>0.1</v>
      </c>
      <c r="Q9" s="640">
        <f>MAX(10%,J9)</f>
        <v>0.1</v>
      </c>
      <c r="R9" s="640">
        <f>MAX(15%,G9)</f>
        <v>0.15</v>
      </c>
      <c r="S9" s="640">
        <f>MAX(15%,J9)</f>
        <v>0.15</v>
      </c>
      <c r="T9" s="640">
        <f>MAX(20%,G9)</f>
        <v>0.2</v>
      </c>
      <c r="U9" s="640">
        <f>MAX(J9,20%)</f>
        <v>0.2</v>
      </c>
      <c r="V9" s="392"/>
      <c r="W9" s="393"/>
    </row>
    <row r="10" s="547" customFormat="1" ht="30" customHeight="1" spans="2:23">
      <c r="B10" s="566"/>
      <c r="C10" s="567" t="s">
        <v>75</v>
      </c>
      <c r="D10" s="568" t="s">
        <v>76</v>
      </c>
      <c r="E10" s="569" t="s">
        <v>316</v>
      </c>
      <c r="F10" s="570">
        <v>0.07</v>
      </c>
      <c r="G10" s="571">
        <v>0.09</v>
      </c>
      <c r="H10" s="572">
        <f t="shared" ref="H10:H20" si="0">MAX(G10,N10+2%)</f>
        <v>0.12</v>
      </c>
      <c r="I10" s="636">
        <f t="shared" ref="I10:I20" si="1">MAX(G10,O10+2%)</f>
        <v>0.14</v>
      </c>
      <c r="J10" s="571">
        <v>0.08</v>
      </c>
      <c r="K10" s="572">
        <f t="shared" ref="K10:K20" si="2">MAX(J10,N10+2%)</f>
        <v>0.12</v>
      </c>
      <c r="L10" s="636">
        <f t="shared" ref="L10:L20" si="3">MAX(J10,O10+2%)</f>
        <v>0.14</v>
      </c>
      <c r="M10" s="637">
        <v>0.07</v>
      </c>
      <c r="N10" s="638">
        <f t="shared" ref="N10:N20" si="4">M10+3%</f>
        <v>0.1</v>
      </c>
      <c r="O10" s="639">
        <f t="shared" ref="O10:O20" si="5">N10+2%</f>
        <v>0.12</v>
      </c>
      <c r="P10" s="640">
        <f t="shared" ref="P10:P25" si="6">MAX(10%,G10)</f>
        <v>0.1</v>
      </c>
      <c r="Q10" s="640">
        <f t="shared" ref="Q10:Q25" si="7">MAX(10%,J10)</f>
        <v>0.1</v>
      </c>
      <c r="R10" s="640">
        <f t="shared" ref="R10:R25" si="8">MAX(15%,G10)</f>
        <v>0.15</v>
      </c>
      <c r="S10" s="640">
        <f t="shared" ref="S10:S25" si="9">MAX(15%,J10)</f>
        <v>0.15</v>
      </c>
      <c r="T10" s="640">
        <f t="shared" ref="T10:T25" si="10">MAX(20%,G10)</f>
        <v>0.2</v>
      </c>
      <c r="U10" s="640">
        <f t="shared" ref="U10:U25" si="11">MAX(J10,20%)</f>
        <v>0.2</v>
      </c>
      <c r="V10" s="330" t="str">
        <f>IFERROR(IF(VLOOKUP(D10,期货合约要素!$D:$Q,12,0)=0,"",VLOOKUP(D10,期货合约要素!$D:$Q,12,0)),IF(VLOOKUP(D10,期权合约要素!$D:$V,17,0)=0,"",VLOOKUP(D10,期权合约要素!$D:$V,17,0)))</f>
        <v>√</v>
      </c>
      <c r="W10" s="391" t="str">
        <f>IFERROR(IF(VLOOKUP(D10,期货合约要素!$D:$Q,14,0)=0,"",VLOOKUP(D10,期货合约要素!$D:$Q,14,0)),IF(VLOOKUP(D10,期权合约要素!$D:$V,19,0)=0,"",VLOOKUP(D10,期权合约要素!$D:$V,19,0)))</f>
        <v/>
      </c>
    </row>
    <row r="11" s="547" customFormat="1" ht="30" spans="2:23">
      <c r="B11" s="566"/>
      <c r="C11" s="567" t="s">
        <v>705</v>
      </c>
      <c r="D11" s="573"/>
      <c r="E11" s="574"/>
      <c r="F11" s="575"/>
      <c r="G11" s="571">
        <v>0.11</v>
      </c>
      <c r="H11" s="572">
        <f t="shared" si="0"/>
        <v>0.14</v>
      </c>
      <c r="I11" s="636">
        <f t="shared" si="1"/>
        <v>0.16</v>
      </c>
      <c r="J11" s="571">
        <v>0.1</v>
      </c>
      <c r="K11" s="572">
        <f t="shared" si="2"/>
        <v>0.14</v>
      </c>
      <c r="L11" s="636">
        <f t="shared" si="3"/>
        <v>0.16</v>
      </c>
      <c r="M11" s="637">
        <v>0.09</v>
      </c>
      <c r="N11" s="638">
        <f t="shared" si="4"/>
        <v>0.12</v>
      </c>
      <c r="O11" s="639">
        <f t="shared" si="5"/>
        <v>0.14</v>
      </c>
      <c r="P11" s="640">
        <f t="shared" si="6"/>
        <v>0.11</v>
      </c>
      <c r="Q11" s="640">
        <f t="shared" si="7"/>
        <v>0.1</v>
      </c>
      <c r="R11" s="640">
        <f t="shared" si="8"/>
        <v>0.15</v>
      </c>
      <c r="S11" s="640">
        <f t="shared" si="9"/>
        <v>0.15</v>
      </c>
      <c r="T11" s="640">
        <f t="shared" si="10"/>
        <v>0.2</v>
      </c>
      <c r="U11" s="640">
        <f t="shared" si="11"/>
        <v>0.2</v>
      </c>
      <c r="V11" s="392"/>
      <c r="W11" s="393"/>
    </row>
    <row r="12" s="547" customFormat="1" ht="30" customHeight="1" spans="2:23">
      <c r="B12" s="566"/>
      <c r="C12" s="567" t="s">
        <v>72</v>
      </c>
      <c r="D12" s="568" t="s">
        <v>73</v>
      </c>
      <c r="E12" s="569" t="s">
        <v>316</v>
      </c>
      <c r="F12" s="570">
        <v>0.07</v>
      </c>
      <c r="G12" s="571">
        <v>0.09</v>
      </c>
      <c r="H12" s="572">
        <f t="shared" si="0"/>
        <v>0.12</v>
      </c>
      <c r="I12" s="636">
        <f t="shared" si="1"/>
        <v>0.14</v>
      </c>
      <c r="J12" s="571">
        <v>0.08</v>
      </c>
      <c r="K12" s="572">
        <f t="shared" si="2"/>
        <v>0.12</v>
      </c>
      <c r="L12" s="636">
        <f t="shared" si="3"/>
        <v>0.14</v>
      </c>
      <c r="M12" s="637">
        <v>0.07</v>
      </c>
      <c r="N12" s="638">
        <f t="shared" si="4"/>
        <v>0.1</v>
      </c>
      <c r="O12" s="639">
        <f t="shared" si="5"/>
        <v>0.12</v>
      </c>
      <c r="P12" s="640">
        <f t="shared" si="6"/>
        <v>0.1</v>
      </c>
      <c r="Q12" s="640">
        <f t="shared" si="7"/>
        <v>0.1</v>
      </c>
      <c r="R12" s="640">
        <f t="shared" si="8"/>
        <v>0.15</v>
      </c>
      <c r="S12" s="640">
        <f t="shared" si="9"/>
        <v>0.15</v>
      </c>
      <c r="T12" s="640">
        <f t="shared" si="10"/>
        <v>0.2</v>
      </c>
      <c r="U12" s="640">
        <f t="shared" si="11"/>
        <v>0.2</v>
      </c>
      <c r="V12" s="330" t="str">
        <f>IFERROR(IF(VLOOKUP(D12,期货合约要素!$D:$Q,12,0)=0,"",VLOOKUP(D12,期货合约要素!$D:$Q,12,0)),IF(VLOOKUP(D12,期权合约要素!$D:$V,17,0)=0,"",VLOOKUP(D12,期权合约要素!$D:$V,17,0)))</f>
        <v>√</v>
      </c>
      <c r="W12" s="391" t="str">
        <f>IFERROR(IF(VLOOKUP(D12,期货合约要素!$D:$Q,14,0)=0,"",VLOOKUP(D12,期货合约要素!$D:$Q,14,0)),IF(VLOOKUP(D12,期权合约要素!$D:$V,19,0)=0,"",VLOOKUP(D12,期权合约要素!$D:$V,19,0)))</f>
        <v/>
      </c>
    </row>
    <row r="13" s="547" customFormat="1" ht="30" spans="2:23">
      <c r="B13" s="566"/>
      <c r="C13" s="567" t="s">
        <v>706</v>
      </c>
      <c r="D13" s="573"/>
      <c r="E13" s="574"/>
      <c r="F13" s="575"/>
      <c r="G13" s="571">
        <v>0.11</v>
      </c>
      <c r="H13" s="572">
        <f t="shared" si="0"/>
        <v>0.14</v>
      </c>
      <c r="I13" s="636">
        <f t="shared" si="1"/>
        <v>0.16</v>
      </c>
      <c r="J13" s="571">
        <v>0.1</v>
      </c>
      <c r="K13" s="572">
        <f t="shared" si="2"/>
        <v>0.14</v>
      </c>
      <c r="L13" s="636">
        <f t="shared" si="3"/>
        <v>0.16</v>
      </c>
      <c r="M13" s="637">
        <v>0.09</v>
      </c>
      <c r="N13" s="638">
        <f t="shared" si="4"/>
        <v>0.12</v>
      </c>
      <c r="O13" s="639">
        <f t="shared" si="5"/>
        <v>0.14</v>
      </c>
      <c r="P13" s="640">
        <f t="shared" si="6"/>
        <v>0.11</v>
      </c>
      <c r="Q13" s="640">
        <f t="shared" si="7"/>
        <v>0.1</v>
      </c>
      <c r="R13" s="640">
        <f t="shared" si="8"/>
        <v>0.15</v>
      </c>
      <c r="S13" s="640">
        <f t="shared" si="9"/>
        <v>0.15</v>
      </c>
      <c r="T13" s="640">
        <f t="shared" si="10"/>
        <v>0.2</v>
      </c>
      <c r="U13" s="640">
        <f t="shared" si="11"/>
        <v>0.2</v>
      </c>
      <c r="V13" s="392"/>
      <c r="W13" s="393"/>
    </row>
    <row r="14" s="547" customFormat="1" ht="30" customHeight="1" spans="2:23">
      <c r="B14" s="566"/>
      <c r="C14" s="567" t="s">
        <v>79</v>
      </c>
      <c r="D14" s="568" t="s">
        <v>80</v>
      </c>
      <c r="E14" s="576" t="s">
        <v>316</v>
      </c>
      <c r="F14" s="570">
        <v>0.07</v>
      </c>
      <c r="G14" s="571">
        <v>0.09</v>
      </c>
      <c r="H14" s="572">
        <f t="shared" si="0"/>
        <v>0.12</v>
      </c>
      <c r="I14" s="636">
        <f t="shared" si="1"/>
        <v>0.14</v>
      </c>
      <c r="J14" s="571">
        <v>0.08</v>
      </c>
      <c r="K14" s="572">
        <f t="shared" si="2"/>
        <v>0.12</v>
      </c>
      <c r="L14" s="636">
        <f t="shared" si="3"/>
        <v>0.14</v>
      </c>
      <c r="M14" s="637">
        <v>0.07</v>
      </c>
      <c r="N14" s="638">
        <f t="shared" si="4"/>
        <v>0.1</v>
      </c>
      <c r="O14" s="639">
        <f t="shared" si="5"/>
        <v>0.12</v>
      </c>
      <c r="P14" s="640">
        <f t="shared" si="6"/>
        <v>0.1</v>
      </c>
      <c r="Q14" s="640">
        <f t="shared" si="7"/>
        <v>0.1</v>
      </c>
      <c r="R14" s="640">
        <f t="shared" si="8"/>
        <v>0.15</v>
      </c>
      <c r="S14" s="640">
        <f t="shared" si="9"/>
        <v>0.15</v>
      </c>
      <c r="T14" s="640">
        <f t="shared" si="10"/>
        <v>0.2</v>
      </c>
      <c r="U14" s="640">
        <f t="shared" si="11"/>
        <v>0.2</v>
      </c>
      <c r="V14" s="330" t="str">
        <f>IFERROR(IF(VLOOKUP(D14,期货合约要素!$D:$Q,12,0)=0,"",VLOOKUP(D14,期货合约要素!$D:$Q,12,0)),IF(VLOOKUP(D14,期权合约要素!$D:$V,17,0)=0,"",VLOOKUP(D14,期权合约要素!$D:$V,17,0)))</f>
        <v>√</v>
      </c>
      <c r="W14" s="391" t="str">
        <f>IFERROR(IF(VLOOKUP(D14,期货合约要素!$D:$Q,14,0)=0,"",VLOOKUP(D14,期货合约要素!$D:$Q,14,0)),IF(VLOOKUP(D14,期权合约要素!$D:$V,19,0)=0,"",VLOOKUP(D14,期权合约要素!$D:$V,19,0)))</f>
        <v/>
      </c>
    </row>
    <row r="15" s="547" customFormat="1" ht="30" spans="2:23">
      <c r="B15" s="566"/>
      <c r="C15" s="567" t="s">
        <v>707</v>
      </c>
      <c r="D15" s="573"/>
      <c r="E15" s="577"/>
      <c r="F15" s="575"/>
      <c r="G15" s="571">
        <v>0.11</v>
      </c>
      <c r="H15" s="572">
        <f t="shared" si="0"/>
        <v>0.14</v>
      </c>
      <c r="I15" s="636">
        <f t="shared" si="1"/>
        <v>0.16</v>
      </c>
      <c r="J15" s="571">
        <v>0.1</v>
      </c>
      <c r="K15" s="572">
        <f t="shared" si="2"/>
        <v>0.14</v>
      </c>
      <c r="L15" s="636">
        <f t="shared" si="3"/>
        <v>0.16</v>
      </c>
      <c r="M15" s="637">
        <v>0.09</v>
      </c>
      <c r="N15" s="638">
        <f t="shared" si="4"/>
        <v>0.12</v>
      </c>
      <c r="O15" s="639">
        <f t="shared" si="5"/>
        <v>0.14</v>
      </c>
      <c r="P15" s="640">
        <f t="shared" si="6"/>
        <v>0.11</v>
      </c>
      <c r="Q15" s="640">
        <f t="shared" si="7"/>
        <v>0.1</v>
      </c>
      <c r="R15" s="640">
        <f t="shared" si="8"/>
        <v>0.15</v>
      </c>
      <c r="S15" s="640">
        <f t="shared" si="9"/>
        <v>0.15</v>
      </c>
      <c r="T15" s="640">
        <f t="shared" si="10"/>
        <v>0.2</v>
      </c>
      <c r="U15" s="640">
        <f t="shared" si="11"/>
        <v>0.2</v>
      </c>
      <c r="V15" s="392"/>
      <c r="W15" s="393"/>
    </row>
    <row r="16" s="547" customFormat="1" ht="30" customHeight="1" spans="2:23">
      <c r="B16" s="566"/>
      <c r="C16" s="567" t="s">
        <v>81</v>
      </c>
      <c r="D16" s="568" t="s">
        <v>82</v>
      </c>
      <c r="E16" s="569" t="s">
        <v>316</v>
      </c>
      <c r="F16" s="570">
        <v>0.07</v>
      </c>
      <c r="G16" s="571">
        <v>0.09</v>
      </c>
      <c r="H16" s="572">
        <f t="shared" si="0"/>
        <v>0.12</v>
      </c>
      <c r="I16" s="636">
        <f t="shared" si="1"/>
        <v>0.14</v>
      </c>
      <c r="J16" s="571">
        <v>0.08</v>
      </c>
      <c r="K16" s="572">
        <f t="shared" si="2"/>
        <v>0.12</v>
      </c>
      <c r="L16" s="636">
        <f t="shared" si="3"/>
        <v>0.14</v>
      </c>
      <c r="M16" s="637">
        <v>0.07</v>
      </c>
      <c r="N16" s="638">
        <f t="shared" si="4"/>
        <v>0.1</v>
      </c>
      <c r="O16" s="639">
        <f t="shared" si="5"/>
        <v>0.12</v>
      </c>
      <c r="P16" s="641">
        <f t="shared" si="6"/>
        <v>0.1</v>
      </c>
      <c r="Q16" s="641">
        <f t="shared" si="7"/>
        <v>0.1</v>
      </c>
      <c r="R16" s="641">
        <f t="shared" si="8"/>
        <v>0.15</v>
      </c>
      <c r="S16" s="641">
        <f t="shared" si="9"/>
        <v>0.15</v>
      </c>
      <c r="T16" s="641">
        <f t="shared" si="10"/>
        <v>0.2</v>
      </c>
      <c r="U16" s="641">
        <f t="shared" si="11"/>
        <v>0.2</v>
      </c>
      <c r="V16" s="330" t="str">
        <f>IFERROR(IF(VLOOKUP(D16,期货合约要素!$D:$Q,12,0)=0,"",VLOOKUP(D16,期货合约要素!$D:$Q,12,0)),IF(VLOOKUP(D16,期权合约要素!$D:$V,17,0)=0,"",VLOOKUP(D16,期权合约要素!$D:$V,17,0)))</f>
        <v>√</v>
      </c>
      <c r="W16" s="391" t="str">
        <f>IFERROR(IF(VLOOKUP(D16,期货合约要素!$D:$Q,14,0)=0,"",VLOOKUP(D16,期货合约要素!$D:$Q,14,0)),IF(VLOOKUP(D16,期权合约要素!$D:$V,19,0)=0,"",VLOOKUP(D16,期权合约要素!$D:$V,19,0)))</f>
        <v/>
      </c>
    </row>
    <row r="17" s="547" customFormat="1" ht="30" spans="2:23">
      <c r="B17" s="566"/>
      <c r="C17" s="567" t="s">
        <v>708</v>
      </c>
      <c r="D17" s="573"/>
      <c r="E17" s="574"/>
      <c r="F17" s="575"/>
      <c r="G17" s="571">
        <v>0.11</v>
      </c>
      <c r="H17" s="572">
        <f t="shared" si="0"/>
        <v>0.14</v>
      </c>
      <c r="I17" s="636">
        <f t="shared" si="1"/>
        <v>0.16</v>
      </c>
      <c r="J17" s="571">
        <v>0.1</v>
      </c>
      <c r="K17" s="572">
        <f t="shared" si="2"/>
        <v>0.14</v>
      </c>
      <c r="L17" s="636">
        <f t="shared" si="3"/>
        <v>0.16</v>
      </c>
      <c r="M17" s="637">
        <v>0.09</v>
      </c>
      <c r="N17" s="638">
        <f t="shared" si="4"/>
        <v>0.12</v>
      </c>
      <c r="O17" s="639">
        <f t="shared" si="5"/>
        <v>0.14</v>
      </c>
      <c r="P17" s="641">
        <f t="shared" si="6"/>
        <v>0.11</v>
      </c>
      <c r="Q17" s="641">
        <f t="shared" si="7"/>
        <v>0.1</v>
      </c>
      <c r="R17" s="641">
        <f t="shared" si="8"/>
        <v>0.15</v>
      </c>
      <c r="S17" s="641">
        <f t="shared" si="9"/>
        <v>0.15</v>
      </c>
      <c r="T17" s="641">
        <f t="shared" si="10"/>
        <v>0.2</v>
      </c>
      <c r="U17" s="641">
        <f t="shared" si="11"/>
        <v>0.2</v>
      </c>
      <c r="V17" s="392"/>
      <c r="W17" s="393"/>
    </row>
    <row r="18" s="547" customFormat="1" ht="30" customHeight="1" spans="2:23">
      <c r="B18" s="566"/>
      <c r="C18" s="567" t="s">
        <v>87</v>
      </c>
      <c r="D18" s="568" t="s">
        <v>88</v>
      </c>
      <c r="E18" s="569" t="s">
        <v>329</v>
      </c>
      <c r="F18" s="570">
        <v>0.07</v>
      </c>
      <c r="G18" s="571">
        <v>0.09</v>
      </c>
      <c r="H18" s="572">
        <f t="shared" si="0"/>
        <v>0.12</v>
      </c>
      <c r="I18" s="636">
        <f t="shared" si="1"/>
        <v>0.14</v>
      </c>
      <c r="J18" s="571">
        <v>0.08</v>
      </c>
      <c r="K18" s="572">
        <f t="shared" si="2"/>
        <v>0.12</v>
      </c>
      <c r="L18" s="636">
        <f t="shared" si="3"/>
        <v>0.14</v>
      </c>
      <c r="M18" s="637">
        <v>0.07</v>
      </c>
      <c r="N18" s="638">
        <f t="shared" si="4"/>
        <v>0.1</v>
      </c>
      <c r="O18" s="639">
        <f t="shared" si="5"/>
        <v>0.12</v>
      </c>
      <c r="P18" s="641">
        <f t="shared" si="6"/>
        <v>0.1</v>
      </c>
      <c r="Q18" s="641">
        <f t="shared" si="7"/>
        <v>0.1</v>
      </c>
      <c r="R18" s="641">
        <f t="shared" si="8"/>
        <v>0.15</v>
      </c>
      <c r="S18" s="641">
        <f t="shared" si="9"/>
        <v>0.15</v>
      </c>
      <c r="T18" s="641">
        <f t="shared" si="10"/>
        <v>0.2</v>
      </c>
      <c r="U18" s="641">
        <f t="shared" si="11"/>
        <v>0.2</v>
      </c>
      <c r="V18" s="330" t="str">
        <f>IFERROR(IF(VLOOKUP(D18,期货合约要素!$D:$Q,12,0)=0,"",VLOOKUP(D18,期货合约要素!$D:$Q,12,0)),IF(VLOOKUP(D18,期权合约要素!$D:$V,17,0)=0,"",VLOOKUP(D18,期权合约要素!$D:$V,17,0)))</f>
        <v/>
      </c>
      <c r="W18" s="391" t="str">
        <f>IFERROR(IF(VLOOKUP(D18,期货合约要素!$D:$Q,14,0)=0,"",VLOOKUP(D18,期货合约要素!$D:$Q,14,0)),IF(VLOOKUP(D18,期权合约要素!$D:$V,19,0)=0,"",VLOOKUP(D18,期权合约要素!$D:$V,19,0)))</f>
        <v/>
      </c>
    </row>
    <row r="19" s="547" customFormat="1" ht="30" spans="2:23">
      <c r="B19" s="566"/>
      <c r="C19" s="567" t="s">
        <v>709</v>
      </c>
      <c r="D19" s="573"/>
      <c r="E19" s="574"/>
      <c r="F19" s="575"/>
      <c r="G19" s="571">
        <v>0.11</v>
      </c>
      <c r="H19" s="572">
        <f t="shared" si="0"/>
        <v>0.14</v>
      </c>
      <c r="I19" s="636">
        <f t="shared" si="1"/>
        <v>0.16</v>
      </c>
      <c r="J19" s="571">
        <v>0.1</v>
      </c>
      <c r="K19" s="572">
        <f t="shared" si="2"/>
        <v>0.14</v>
      </c>
      <c r="L19" s="636">
        <f t="shared" si="3"/>
        <v>0.16</v>
      </c>
      <c r="M19" s="637">
        <v>0.09</v>
      </c>
      <c r="N19" s="638">
        <f t="shared" si="4"/>
        <v>0.12</v>
      </c>
      <c r="O19" s="639">
        <f t="shared" si="5"/>
        <v>0.14</v>
      </c>
      <c r="P19" s="641">
        <f t="shared" si="6"/>
        <v>0.11</v>
      </c>
      <c r="Q19" s="641">
        <f t="shared" si="7"/>
        <v>0.1</v>
      </c>
      <c r="R19" s="641">
        <f t="shared" si="8"/>
        <v>0.15</v>
      </c>
      <c r="S19" s="641">
        <f t="shared" si="9"/>
        <v>0.15</v>
      </c>
      <c r="T19" s="641">
        <f t="shared" si="10"/>
        <v>0.2</v>
      </c>
      <c r="U19" s="641">
        <f t="shared" si="11"/>
        <v>0.2</v>
      </c>
      <c r="V19" s="392"/>
      <c r="W19" s="393"/>
    </row>
    <row r="20" s="547" customFormat="1" ht="30" customHeight="1" spans="2:23">
      <c r="B20" s="566"/>
      <c r="C20" s="567" t="s">
        <v>77</v>
      </c>
      <c r="D20" s="578" t="s">
        <v>78</v>
      </c>
      <c r="E20" s="576" t="s">
        <v>316</v>
      </c>
      <c r="F20" s="570">
        <v>0.06</v>
      </c>
      <c r="G20" s="571">
        <v>0.07</v>
      </c>
      <c r="H20" s="572">
        <f t="shared" si="0"/>
        <v>0.1</v>
      </c>
      <c r="I20" s="636">
        <f t="shared" si="1"/>
        <v>0.12</v>
      </c>
      <c r="J20" s="571">
        <v>0.06</v>
      </c>
      <c r="K20" s="572">
        <f t="shared" si="2"/>
        <v>0.1</v>
      </c>
      <c r="L20" s="636">
        <f t="shared" si="3"/>
        <v>0.12</v>
      </c>
      <c r="M20" s="637">
        <v>0.05</v>
      </c>
      <c r="N20" s="638">
        <f t="shared" si="4"/>
        <v>0.08</v>
      </c>
      <c r="O20" s="639">
        <f t="shared" si="5"/>
        <v>0.1</v>
      </c>
      <c r="P20" s="641">
        <f t="shared" si="6"/>
        <v>0.1</v>
      </c>
      <c r="Q20" s="641">
        <f t="shared" si="7"/>
        <v>0.1</v>
      </c>
      <c r="R20" s="641">
        <f t="shared" si="8"/>
        <v>0.15</v>
      </c>
      <c r="S20" s="641">
        <f t="shared" si="9"/>
        <v>0.15</v>
      </c>
      <c r="T20" s="641">
        <f t="shared" si="10"/>
        <v>0.2</v>
      </c>
      <c r="U20" s="641">
        <f t="shared" si="11"/>
        <v>0.2</v>
      </c>
      <c r="V20" s="330" t="str">
        <f>IFERROR(IF(VLOOKUP(D20,期货合约要素!$D:$Q,12,0)=0,"",VLOOKUP(D20,期货合约要素!$D:$Q,12,0)),IF(VLOOKUP(D20,期权合约要素!$D:$V,17,0)=0,"",VLOOKUP(D20,期权合约要素!$D:$V,17,0)))</f>
        <v>√</v>
      </c>
      <c r="W20" s="391" t="str">
        <f>IFERROR(IF(VLOOKUP(D20,期货合约要素!$D:$Q,14,0)=0,"",VLOOKUP(D20,期货合约要素!$D:$Q,14,0)),IF(VLOOKUP(D20,期权合约要素!$D:$V,19,0)=0,"",VLOOKUP(D20,期权合约要素!$D:$V,19,0)))</f>
        <v/>
      </c>
    </row>
    <row r="21" s="547" customFormat="1" ht="30" customHeight="1" spans="2:23">
      <c r="B21" s="566"/>
      <c r="C21" s="567" t="s">
        <v>83</v>
      </c>
      <c r="D21" s="568" t="s">
        <v>84</v>
      </c>
      <c r="E21" s="569" t="s">
        <v>332</v>
      </c>
      <c r="F21" s="570">
        <v>0.08</v>
      </c>
      <c r="G21" s="571">
        <v>0.1</v>
      </c>
      <c r="H21" s="572">
        <f t="shared" ref="H21:H29" si="12">MAX(G21,N21+2%)</f>
        <v>0.13</v>
      </c>
      <c r="I21" s="636">
        <f t="shared" ref="I21:I29" si="13">MAX(G21,O21+2%)</f>
        <v>0.15</v>
      </c>
      <c r="J21" s="571">
        <v>0.09</v>
      </c>
      <c r="K21" s="572">
        <f t="shared" ref="K21:K29" si="14">MAX(J21,N21+2%)</f>
        <v>0.13</v>
      </c>
      <c r="L21" s="636">
        <f t="shared" ref="L21:L29" si="15">MAX(J21,O21+2%)</f>
        <v>0.15</v>
      </c>
      <c r="M21" s="637">
        <v>0.08</v>
      </c>
      <c r="N21" s="638">
        <f t="shared" ref="N21:N29" si="16">M21+3%</f>
        <v>0.11</v>
      </c>
      <c r="O21" s="639">
        <f t="shared" ref="O21:O29" si="17">N21+2%</f>
        <v>0.13</v>
      </c>
      <c r="P21" s="641">
        <f t="shared" si="6"/>
        <v>0.1</v>
      </c>
      <c r="Q21" s="641">
        <f t="shared" si="7"/>
        <v>0.1</v>
      </c>
      <c r="R21" s="641">
        <f t="shared" si="8"/>
        <v>0.15</v>
      </c>
      <c r="S21" s="641">
        <f t="shared" si="9"/>
        <v>0.15</v>
      </c>
      <c r="T21" s="641">
        <f t="shared" si="10"/>
        <v>0.2</v>
      </c>
      <c r="U21" s="641">
        <f t="shared" si="11"/>
        <v>0.2</v>
      </c>
      <c r="V21" s="330" t="str">
        <f>IFERROR(IF(VLOOKUP(D21,期货合约要素!$D:$Q,12,0)=0,"",VLOOKUP(D21,期货合约要素!$D:$Q,12,0)),IF(VLOOKUP(D21,期权合约要素!$D:$V,17,0)=0,"",VLOOKUP(D21,期权合约要素!$D:$V,17,0)))</f>
        <v>√</v>
      </c>
      <c r="W21" s="391" t="str">
        <f>IFERROR(IF(VLOOKUP(D21,期货合约要素!$D:$Q,14,0)=0,"",VLOOKUP(D21,期货合约要素!$D:$Q,14,0)),IF(VLOOKUP(D21,期权合约要素!$D:$V,19,0)=0,"",VLOOKUP(D21,期权合约要素!$D:$V,19,0)))</f>
        <v>√</v>
      </c>
    </row>
    <row r="22" s="547" customFormat="1" ht="30" customHeight="1" spans="2:23">
      <c r="B22" s="566"/>
      <c r="C22" s="567" t="s">
        <v>710</v>
      </c>
      <c r="D22" s="573"/>
      <c r="E22" s="574"/>
      <c r="F22" s="575"/>
      <c r="G22" s="571">
        <v>0.12</v>
      </c>
      <c r="H22" s="572">
        <f t="shared" si="12"/>
        <v>0.15</v>
      </c>
      <c r="I22" s="636">
        <f t="shared" si="13"/>
        <v>0.17</v>
      </c>
      <c r="J22" s="571">
        <v>0.11</v>
      </c>
      <c r="K22" s="572">
        <f t="shared" si="14"/>
        <v>0.15</v>
      </c>
      <c r="L22" s="636">
        <f t="shared" si="15"/>
        <v>0.17</v>
      </c>
      <c r="M22" s="637">
        <v>0.1</v>
      </c>
      <c r="N22" s="638">
        <f t="shared" si="16"/>
        <v>0.13</v>
      </c>
      <c r="O22" s="639">
        <f t="shared" si="17"/>
        <v>0.15</v>
      </c>
      <c r="P22" s="641">
        <f t="shared" si="6"/>
        <v>0.12</v>
      </c>
      <c r="Q22" s="641">
        <f t="shared" si="7"/>
        <v>0.11</v>
      </c>
      <c r="R22" s="641">
        <f t="shared" si="8"/>
        <v>0.15</v>
      </c>
      <c r="S22" s="641">
        <f t="shared" si="9"/>
        <v>0.15</v>
      </c>
      <c r="T22" s="641">
        <f t="shared" si="10"/>
        <v>0.2</v>
      </c>
      <c r="U22" s="641">
        <f t="shared" si="11"/>
        <v>0.2</v>
      </c>
      <c r="V22" s="392"/>
      <c r="W22" s="393"/>
    </row>
    <row r="23" s="547" customFormat="1" ht="30" customHeight="1" spans="2:23">
      <c r="B23" s="566"/>
      <c r="C23" s="567" t="s">
        <v>85</v>
      </c>
      <c r="D23" s="578" t="s">
        <v>86</v>
      </c>
      <c r="E23" s="576" t="s">
        <v>332</v>
      </c>
      <c r="F23" s="570">
        <v>0.1</v>
      </c>
      <c r="G23" s="571">
        <v>0.13</v>
      </c>
      <c r="H23" s="572">
        <f t="shared" si="12"/>
        <v>0.16</v>
      </c>
      <c r="I23" s="636">
        <f t="shared" si="13"/>
        <v>0.18</v>
      </c>
      <c r="J23" s="571">
        <v>0.12</v>
      </c>
      <c r="K23" s="572">
        <f t="shared" si="14"/>
        <v>0.16</v>
      </c>
      <c r="L23" s="636">
        <f t="shared" si="15"/>
        <v>0.18</v>
      </c>
      <c r="M23" s="637">
        <v>0.11</v>
      </c>
      <c r="N23" s="638">
        <f t="shared" si="16"/>
        <v>0.14</v>
      </c>
      <c r="O23" s="639">
        <f t="shared" si="17"/>
        <v>0.16</v>
      </c>
      <c r="P23" s="641">
        <f t="shared" si="6"/>
        <v>0.13</v>
      </c>
      <c r="Q23" s="641">
        <f t="shared" si="7"/>
        <v>0.12</v>
      </c>
      <c r="R23" s="641">
        <f t="shared" si="8"/>
        <v>0.15</v>
      </c>
      <c r="S23" s="641">
        <f t="shared" si="9"/>
        <v>0.15</v>
      </c>
      <c r="T23" s="641">
        <f t="shared" si="10"/>
        <v>0.2</v>
      </c>
      <c r="U23" s="641">
        <f t="shared" si="11"/>
        <v>0.2</v>
      </c>
      <c r="V23" s="330" t="str">
        <f>IFERROR(IF(VLOOKUP(D23,期货合约要素!$D:$Q,12,0)=0,"",VLOOKUP(D23,期货合约要素!$D:$Q,12,0)),IF(VLOOKUP(D23,期权合约要素!$D:$V,17,0)=0,"",VLOOKUP(D23,期权合约要素!$D:$V,17,0)))</f>
        <v>√</v>
      </c>
      <c r="W23" s="391" t="str">
        <f>IFERROR(IF(VLOOKUP(D23,期货合约要素!$D:$Q,14,0)=0,"",VLOOKUP(D23,期货合约要素!$D:$Q,14,0)),IF(VLOOKUP(D23,期权合约要素!$D:$V,19,0)=0,"",VLOOKUP(D23,期权合约要素!$D:$V,19,0)))</f>
        <v/>
      </c>
    </row>
    <row r="24" s="547" customFormat="1" ht="30" customHeight="1" spans="2:23">
      <c r="B24" s="566"/>
      <c r="C24" s="567" t="s">
        <v>711</v>
      </c>
      <c r="D24" s="579"/>
      <c r="E24" s="577"/>
      <c r="F24" s="575"/>
      <c r="G24" s="571">
        <v>0.14</v>
      </c>
      <c r="H24" s="572">
        <f t="shared" si="12"/>
        <v>0.17</v>
      </c>
      <c r="I24" s="636">
        <f t="shared" si="13"/>
        <v>0.19</v>
      </c>
      <c r="J24" s="571">
        <v>0.13</v>
      </c>
      <c r="K24" s="572">
        <f t="shared" si="14"/>
        <v>0.17</v>
      </c>
      <c r="L24" s="636">
        <f t="shared" si="15"/>
        <v>0.19</v>
      </c>
      <c r="M24" s="637">
        <v>0.12</v>
      </c>
      <c r="N24" s="638">
        <f t="shared" si="16"/>
        <v>0.15</v>
      </c>
      <c r="O24" s="639">
        <f t="shared" si="17"/>
        <v>0.17</v>
      </c>
      <c r="P24" s="641">
        <f t="shared" si="6"/>
        <v>0.14</v>
      </c>
      <c r="Q24" s="641">
        <f t="shared" si="7"/>
        <v>0.13</v>
      </c>
      <c r="R24" s="641">
        <f t="shared" si="8"/>
        <v>0.15</v>
      </c>
      <c r="S24" s="641">
        <f t="shared" si="9"/>
        <v>0.15</v>
      </c>
      <c r="T24" s="641">
        <f t="shared" si="10"/>
        <v>0.2</v>
      </c>
      <c r="U24" s="641">
        <f t="shared" si="11"/>
        <v>0.2</v>
      </c>
      <c r="V24" s="394"/>
      <c r="W24" s="395"/>
    </row>
    <row r="25" s="547" customFormat="1" ht="42.95" customHeight="1" spans="2:23">
      <c r="B25" s="566"/>
      <c r="C25" s="567" t="s">
        <v>91</v>
      </c>
      <c r="D25" s="580" t="s">
        <v>92</v>
      </c>
      <c r="E25" s="12" t="s">
        <v>399</v>
      </c>
      <c r="F25" s="570">
        <v>0.12</v>
      </c>
      <c r="G25" s="571">
        <v>0.16</v>
      </c>
      <c r="H25" s="572">
        <f t="shared" si="12"/>
        <v>0.19</v>
      </c>
      <c r="I25" s="636">
        <f t="shared" si="13"/>
        <v>0.21</v>
      </c>
      <c r="J25" s="571">
        <v>0.15</v>
      </c>
      <c r="K25" s="572">
        <f t="shared" si="14"/>
        <v>0.19</v>
      </c>
      <c r="L25" s="636">
        <f t="shared" si="15"/>
        <v>0.21</v>
      </c>
      <c r="M25" s="637">
        <v>0.14</v>
      </c>
      <c r="N25" s="638">
        <f t="shared" si="16"/>
        <v>0.17</v>
      </c>
      <c r="O25" s="639">
        <f t="shared" si="17"/>
        <v>0.19</v>
      </c>
      <c r="P25" s="641">
        <f t="shared" si="6"/>
        <v>0.16</v>
      </c>
      <c r="Q25" s="641">
        <f t="shared" si="7"/>
        <v>0.15</v>
      </c>
      <c r="R25" s="641">
        <f t="shared" si="8"/>
        <v>0.16</v>
      </c>
      <c r="S25" s="641">
        <f t="shared" si="9"/>
        <v>0.15</v>
      </c>
      <c r="T25" s="641">
        <f t="shared" si="10"/>
        <v>0.2</v>
      </c>
      <c r="U25" s="641">
        <f t="shared" si="11"/>
        <v>0.2</v>
      </c>
      <c r="V25" s="330" t="str">
        <f>IFERROR(IF(VLOOKUP(D25,期货合约要素!$D:$Q,12,0)=0,"",VLOOKUP(D25,期货合约要素!$D:$Q,12,0)),IF(VLOOKUP(D25,期权合约要素!$D:$V,17,0)=0,"",VLOOKUP(D25,期权合约要素!$D:$V,17,0)))</f>
        <v>√</v>
      </c>
      <c r="W25" s="391" t="str">
        <f>IFERROR(IF(VLOOKUP(D25,期货合约要素!$D:$Q,14,0)=0,"",VLOOKUP(D25,期货合约要素!$D:$Q,14,0)),IF(VLOOKUP(D25,期权合约要素!$D:$V,19,0)=0,"",VLOOKUP(D25,期权合约要素!$D:$V,19,0)))</f>
        <v/>
      </c>
    </row>
    <row r="26" s="547" customFormat="1" ht="30" customHeight="1" spans="2:23">
      <c r="B26" s="566"/>
      <c r="C26" s="567" t="s">
        <v>94</v>
      </c>
      <c r="D26" s="581" t="s">
        <v>95</v>
      </c>
      <c r="E26" s="508" t="s">
        <v>340</v>
      </c>
      <c r="F26" s="570">
        <v>0.16</v>
      </c>
      <c r="G26" s="571">
        <v>0.16</v>
      </c>
      <c r="H26" s="572">
        <f t="shared" si="12"/>
        <v>0.19</v>
      </c>
      <c r="I26" s="636">
        <f t="shared" si="13"/>
        <v>0.21</v>
      </c>
      <c r="J26" s="571">
        <v>0.15</v>
      </c>
      <c r="K26" s="572">
        <f t="shared" si="14"/>
        <v>0.19</v>
      </c>
      <c r="L26" s="636">
        <f t="shared" si="15"/>
        <v>0.21</v>
      </c>
      <c r="M26" s="637">
        <v>0.14</v>
      </c>
      <c r="N26" s="638">
        <f t="shared" si="16"/>
        <v>0.17</v>
      </c>
      <c r="O26" s="639">
        <f t="shared" si="17"/>
        <v>0.19</v>
      </c>
      <c r="P26" s="642">
        <f t="shared" ref="P26:P35" si="18">MAX(10%,G26)</f>
        <v>0.16</v>
      </c>
      <c r="Q26" s="642">
        <f t="shared" ref="Q26:Q35" si="19">MAX(10%,J26)</f>
        <v>0.15</v>
      </c>
      <c r="R26" s="642">
        <f t="shared" ref="R26:R35" si="20">MAX(15%,G26)</f>
        <v>0.16</v>
      </c>
      <c r="S26" s="642">
        <f t="shared" ref="S26:S35" si="21">MAX(15%,J26)</f>
        <v>0.15</v>
      </c>
      <c r="T26" s="642">
        <f t="shared" ref="T26:T35" si="22">MAX(20%,G26)</f>
        <v>0.2</v>
      </c>
      <c r="U26" s="642">
        <f t="shared" ref="U26:U35" si="23">MAX(J26,20%)</f>
        <v>0.2</v>
      </c>
      <c r="V26" s="451" t="str">
        <f>IFERROR(IF(VLOOKUP(D26,期货合约要素!$D:$Q,12,0)=0,"",VLOOKUP(D26,期货合约要素!$D:$Q,12,0)),IF(VLOOKUP(D26,期权合约要素!$D:$V,17,0)=0,"",VLOOKUP(D26,期权合约要素!$D:$V,17,0)))</f>
        <v>√</v>
      </c>
      <c r="W26" s="331" t="str">
        <f>IFERROR(IF(VLOOKUP(D26,期货合约要素!$D:$Q,14,0)=0,"",VLOOKUP(D26,期货合约要素!$D:$Q,14,0)),IF(VLOOKUP(D26,期权合约要素!$D:$V,19,0)=0,"",VLOOKUP(D26,期权合约要素!$D:$V,19,0)))</f>
        <v/>
      </c>
    </row>
    <row r="27" s="547" customFormat="1" ht="30" spans="2:23">
      <c r="B27" s="566"/>
      <c r="C27" s="567" t="s">
        <v>712</v>
      </c>
      <c r="D27" s="581"/>
      <c r="E27" s="508"/>
      <c r="F27" s="582"/>
      <c r="G27" s="571">
        <v>0.22</v>
      </c>
      <c r="H27" s="572">
        <f t="shared" si="12"/>
        <v>0.25</v>
      </c>
      <c r="I27" s="636">
        <f t="shared" si="13"/>
        <v>0.27</v>
      </c>
      <c r="J27" s="571">
        <v>0.21</v>
      </c>
      <c r="K27" s="572">
        <f t="shared" si="14"/>
        <v>0.25</v>
      </c>
      <c r="L27" s="636">
        <f t="shared" si="15"/>
        <v>0.27</v>
      </c>
      <c r="M27" s="637">
        <v>0.2</v>
      </c>
      <c r="N27" s="638">
        <f t="shared" si="16"/>
        <v>0.23</v>
      </c>
      <c r="O27" s="639">
        <f t="shared" si="17"/>
        <v>0.25</v>
      </c>
      <c r="P27" s="642">
        <f t="shared" si="18"/>
        <v>0.22</v>
      </c>
      <c r="Q27" s="642">
        <f t="shared" si="19"/>
        <v>0.21</v>
      </c>
      <c r="R27" s="642">
        <f t="shared" si="20"/>
        <v>0.22</v>
      </c>
      <c r="S27" s="641">
        <f t="shared" si="21"/>
        <v>0.21</v>
      </c>
      <c r="T27" s="641">
        <f t="shared" si="22"/>
        <v>0.22</v>
      </c>
      <c r="U27" s="641">
        <f t="shared" si="23"/>
        <v>0.21</v>
      </c>
      <c r="V27" s="673"/>
      <c r="W27" s="674"/>
    </row>
    <row r="28" s="547" customFormat="1" ht="30" spans="2:23">
      <c r="B28" s="566"/>
      <c r="C28" s="567" t="s">
        <v>713</v>
      </c>
      <c r="D28" s="581"/>
      <c r="E28" s="508"/>
      <c r="F28" s="582"/>
      <c r="G28" s="571">
        <v>0.19</v>
      </c>
      <c r="H28" s="572">
        <f t="shared" si="12"/>
        <v>0.22</v>
      </c>
      <c r="I28" s="636">
        <f t="shared" si="13"/>
        <v>0.24</v>
      </c>
      <c r="J28" s="571">
        <v>0.18</v>
      </c>
      <c r="K28" s="572">
        <f t="shared" si="14"/>
        <v>0.22</v>
      </c>
      <c r="L28" s="636">
        <f t="shared" si="15"/>
        <v>0.24</v>
      </c>
      <c r="M28" s="637">
        <v>0.17</v>
      </c>
      <c r="N28" s="638">
        <f t="shared" si="16"/>
        <v>0.2</v>
      </c>
      <c r="O28" s="639">
        <f t="shared" si="17"/>
        <v>0.22</v>
      </c>
      <c r="P28" s="642">
        <f t="shared" si="18"/>
        <v>0.19</v>
      </c>
      <c r="Q28" s="642">
        <f t="shared" si="19"/>
        <v>0.18</v>
      </c>
      <c r="R28" s="642">
        <f t="shared" si="20"/>
        <v>0.19</v>
      </c>
      <c r="S28" s="642">
        <f t="shared" si="21"/>
        <v>0.18</v>
      </c>
      <c r="T28" s="642">
        <f t="shared" si="22"/>
        <v>0.2</v>
      </c>
      <c r="U28" s="642">
        <f t="shared" si="23"/>
        <v>0.2</v>
      </c>
      <c r="V28" s="673"/>
      <c r="W28" s="674"/>
    </row>
    <row r="29" s="547" customFormat="1" ht="30" customHeight="1" spans="2:23">
      <c r="B29" s="566"/>
      <c r="C29" s="583" t="s">
        <v>64</v>
      </c>
      <c r="D29" s="584" t="s">
        <v>65</v>
      </c>
      <c r="E29" s="492" t="s">
        <v>309</v>
      </c>
      <c r="F29" s="570">
        <v>0.06</v>
      </c>
      <c r="G29" s="585">
        <v>0.09</v>
      </c>
      <c r="H29" s="586">
        <f t="shared" si="12"/>
        <v>0.12</v>
      </c>
      <c r="I29" s="643">
        <f t="shared" si="13"/>
        <v>0.14</v>
      </c>
      <c r="J29" s="585">
        <v>0.08</v>
      </c>
      <c r="K29" s="586">
        <f t="shared" si="14"/>
        <v>0.12</v>
      </c>
      <c r="L29" s="643">
        <f t="shared" si="15"/>
        <v>0.14</v>
      </c>
      <c r="M29" s="585">
        <v>0.07</v>
      </c>
      <c r="N29" s="586">
        <f t="shared" si="16"/>
        <v>0.1</v>
      </c>
      <c r="O29" s="643">
        <f t="shared" si="17"/>
        <v>0.12</v>
      </c>
      <c r="P29" s="640">
        <f t="shared" si="18"/>
        <v>0.1</v>
      </c>
      <c r="Q29" s="640">
        <f t="shared" si="19"/>
        <v>0.1</v>
      </c>
      <c r="R29" s="640">
        <f t="shared" si="20"/>
        <v>0.15</v>
      </c>
      <c r="S29" s="640">
        <f t="shared" si="21"/>
        <v>0.15</v>
      </c>
      <c r="T29" s="640">
        <f t="shared" si="22"/>
        <v>0.2</v>
      </c>
      <c r="U29" s="640">
        <f t="shared" si="23"/>
        <v>0.2</v>
      </c>
      <c r="V29" s="330" t="str">
        <f>IFERROR(IF(VLOOKUP(D29,期货合约要素!$D:$Q,12,0)=0,"",VLOOKUP(D29,期货合约要素!$D:$Q,12,0)),IF(VLOOKUP(D29,期权合约要素!$D:$V,17,0)=0,"",VLOOKUP(D29,期权合约要素!$D:$V,17,0)))</f>
        <v>√</v>
      </c>
      <c r="W29" s="391" t="str">
        <f>IFERROR(IF(VLOOKUP(D29,期货合约要素!$D:$Q,14,0)=0,"",VLOOKUP(D29,期货合约要素!$D:$Q,14,0)),IF(VLOOKUP(D29,期权合约要素!$D:$V,19,0)=0,"",VLOOKUP(D29,期权合约要素!$D:$V,19,0)))</f>
        <v/>
      </c>
    </row>
    <row r="30" s="547" customFormat="1" ht="30" customHeight="1" spans="2:23">
      <c r="B30" s="566"/>
      <c r="C30" s="583" t="s">
        <v>62</v>
      </c>
      <c r="D30" s="584" t="s">
        <v>63</v>
      </c>
      <c r="E30" s="492" t="s">
        <v>309</v>
      </c>
      <c r="F30" s="570">
        <v>0.1</v>
      </c>
      <c r="G30" s="585">
        <v>0.12</v>
      </c>
      <c r="H30" s="586">
        <f t="shared" ref="H30:H36" si="24">MAX(G30,N30+2%)</f>
        <v>0.15</v>
      </c>
      <c r="I30" s="643">
        <f t="shared" ref="I30:I35" si="25">MAX(G30,O30+2%)</f>
        <v>0.17</v>
      </c>
      <c r="J30" s="585">
        <v>0.11</v>
      </c>
      <c r="K30" s="586">
        <f t="shared" ref="K30:K36" si="26">MAX(J30,N30+2%)</f>
        <v>0.15</v>
      </c>
      <c r="L30" s="643">
        <f t="shared" ref="L30:L36" si="27">MAX(J30,O30+2%)</f>
        <v>0.17</v>
      </c>
      <c r="M30" s="585">
        <v>0.1</v>
      </c>
      <c r="N30" s="586">
        <f t="shared" ref="N30:N36" si="28">M30+3%</f>
        <v>0.13</v>
      </c>
      <c r="O30" s="643">
        <f t="shared" ref="O30:O36" si="29">N30+2%</f>
        <v>0.15</v>
      </c>
      <c r="P30" s="640">
        <f t="shared" si="18"/>
        <v>0.12</v>
      </c>
      <c r="Q30" s="640">
        <f t="shared" si="19"/>
        <v>0.11</v>
      </c>
      <c r="R30" s="640">
        <f t="shared" si="20"/>
        <v>0.15</v>
      </c>
      <c r="S30" s="640">
        <f t="shared" si="21"/>
        <v>0.15</v>
      </c>
      <c r="T30" s="640">
        <f t="shared" si="22"/>
        <v>0.2</v>
      </c>
      <c r="U30" s="640">
        <f t="shared" si="23"/>
        <v>0.2</v>
      </c>
      <c r="V30" s="330" t="str">
        <f>IFERROR(IF(VLOOKUP(D30,期货合约要素!$D:$Q,12,0)=0,"",VLOOKUP(D30,期货合约要素!$D:$Q,12,0)),IF(VLOOKUP(D30,期权合约要素!$D:$V,17,0)=0,"",VLOOKUP(D30,期权合约要素!$D:$V,17,0)))</f>
        <v>√</v>
      </c>
      <c r="W30" s="391" t="str">
        <f>IFERROR(IF(VLOOKUP(D30,期货合约要素!$D:$Q,14,0)=0,"",VLOOKUP(D30,期货合约要素!$D:$Q,14,0)),IF(VLOOKUP(D30,期权合约要素!$D:$V,19,0)=0,"",VLOOKUP(D30,期权合约要素!$D:$V,19,0)))</f>
        <v/>
      </c>
    </row>
    <row r="31" s="547" customFormat="1" ht="30" customHeight="1" spans="2:23">
      <c r="B31" s="566"/>
      <c r="C31" s="583" t="s">
        <v>346</v>
      </c>
      <c r="D31" s="584" t="s">
        <v>69</v>
      </c>
      <c r="E31" s="492" t="s">
        <v>309</v>
      </c>
      <c r="F31" s="570">
        <v>0.06</v>
      </c>
      <c r="G31" s="585">
        <v>0.07</v>
      </c>
      <c r="H31" s="586">
        <f t="shared" si="24"/>
        <v>0.1</v>
      </c>
      <c r="I31" s="643">
        <f t="shared" si="25"/>
        <v>0.12</v>
      </c>
      <c r="J31" s="585">
        <v>0.06</v>
      </c>
      <c r="K31" s="586">
        <f t="shared" si="26"/>
        <v>0.1</v>
      </c>
      <c r="L31" s="643">
        <f t="shared" si="27"/>
        <v>0.12</v>
      </c>
      <c r="M31" s="585">
        <v>0.05</v>
      </c>
      <c r="N31" s="586">
        <f t="shared" si="28"/>
        <v>0.08</v>
      </c>
      <c r="O31" s="643">
        <f t="shared" si="29"/>
        <v>0.1</v>
      </c>
      <c r="P31" s="640">
        <f t="shared" si="18"/>
        <v>0.1</v>
      </c>
      <c r="Q31" s="640">
        <f t="shared" si="19"/>
        <v>0.1</v>
      </c>
      <c r="R31" s="640">
        <f t="shared" si="20"/>
        <v>0.15</v>
      </c>
      <c r="S31" s="640">
        <f t="shared" si="21"/>
        <v>0.15</v>
      </c>
      <c r="T31" s="640">
        <f t="shared" si="22"/>
        <v>0.2</v>
      </c>
      <c r="U31" s="640">
        <f t="shared" si="23"/>
        <v>0.2</v>
      </c>
      <c r="V31" s="330" t="str">
        <f>IFERROR(IF(VLOOKUP(D31,期货合约要素!$D:$Q,12,0)=0,"",VLOOKUP(D31,期货合约要素!$D:$Q,12,0)),IF(VLOOKUP(D31,期权合约要素!$D:$V,17,0)=0,"",VLOOKUP(D31,期权合约要素!$D:$V,17,0)))</f>
        <v>√</v>
      </c>
      <c r="W31" s="391" t="str">
        <f>IFERROR(IF(VLOOKUP(D31,期货合约要素!$D:$Q,14,0)=0,"",VLOOKUP(D31,期货合约要素!$D:$Q,14,0)),IF(VLOOKUP(D31,期权合约要素!$D:$V,19,0)=0,"",VLOOKUP(D31,期权合约要素!$D:$V,19,0)))</f>
        <v/>
      </c>
    </row>
    <row r="32" s="547" customFormat="1" ht="39" customHeight="1" spans="2:23">
      <c r="B32" s="566"/>
      <c r="C32" s="583" t="s">
        <v>350</v>
      </c>
      <c r="D32" s="584" t="s">
        <v>67</v>
      </c>
      <c r="E32" s="492" t="s">
        <v>316</v>
      </c>
      <c r="F32" s="570">
        <v>0.1</v>
      </c>
      <c r="G32" s="585">
        <v>0.12</v>
      </c>
      <c r="H32" s="586">
        <f t="shared" si="24"/>
        <v>0.15</v>
      </c>
      <c r="I32" s="643">
        <f t="shared" si="25"/>
        <v>0.17</v>
      </c>
      <c r="J32" s="585">
        <v>0.11</v>
      </c>
      <c r="K32" s="586">
        <f t="shared" si="26"/>
        <v>0.15</v>
      </c>
      <c r="L32" s="643">
        <f t="shared" si="27"/>
        <v>0.17</v>
      </c>
      <c r="M32" s="585">
        <v>0.1</v>
      </c>
      <c r="N32" s="586">
        <f t="shared" si="28"/>
        <v>0.13</v>
      </c>
      <c r="O32" s="643">
        <f t="shared" si="29"/>
        <v>0.15</v>
      </c>
      <c r="P32" s="640">
        <f t="shared" si="18"/>
        <v>0.12</v>
      </c>
      <c r="Q32" s="640">
        <f t="shared" si="19"/>
        <v>0.11</v>
      </c>
      <c r="R32" s="640">
        <f t="shared" si="20"/>
        <v>0.15</v>
      </c>
      <c r="S32" s="640">
        <f t="shared" si="21"/>
        <v>0.15</v>
      </c>
      <c r="T32" s="640">
        <f t="shared" si="22"/>
        <v>0.2</v>
      </c>
      <c r="U32" s="640">
        <f t="shared" si="23"/>
        <v>0.2</v>
      </c>
      <c r="V32" s="330" t="str">
        <f>IFERROR(IF(VLOOKUP(D32,期货合约要素!$D:$Q,12,0)=0,"",VLOOKUP(D32,期货合约要素!$D:$Q,12,0)),IF(VLOOKUP(D32,期权合约要素!$D:$V,17,0)=0,"",VLOOKUP(D32,期权合约要素!$D:$V,17,0)))</f>
        <v/>
      </c>
      <c r="W32" s="391" t="str">
        <f>IFERROR(IF(VLOOKUP(D32,期货合约要素!$D:$Q,14,0)=0,"",VLOOKUP(D32,期货合约要素!$D:$Q,14,0)),IF(VLOOKUP(D32,期权合约要素!$D:$V,19,0)=0,"",VLOOKUP(D32,期权合约要素!$D:$V,19,0)))</f>
        <v/>
      </c>
    </row>
    <row r="33" s="547" customFormat="1" ht="30" customHeight="1" spans="2:23">
      <c r="B33" s="566"/>
      <c r="C33" s="567" t="s">
        <v>89</v>
      </c>
      <c r="D33" s="568" t="s">
        <v>90</v>
      </c>
      <c r="E33" s="492" t="s">
        <v>309</v>
      </c>
      <c r="F33" s="570">
        <v>0.07</v>
      </c>
      <c r="G33" s="571">
        <v>0.07</v>
      </c>
      <c r="H33" s="572">
        <f t="shared" si="24"/>
        <v>0.1</v>
      </c>
      <c r="I33" s="636">
        <f t="shared" si="25"/>
        <v>0.12</v>
      </c>
      <c r="J33" s="571">
        <v>0.06</v>
      </c>
      <c r="K33" s="572">
        <f t="shared" si="26"/>
        <v>0.1</v>
      </c>
      <c r="L33" s="636">
        <f t="shared" si="27"/>
        <v>0.12</v>
      </c>
      <c r="M33" s="637">
        <v>0.05</v>
      </c>
      <c r="N33" s="638">
        <f t="shared" si="28"/>
        <v>0.08</v>
      </c>
      <c r="O33" s="639">
        <f t="shared" si="29"/>
        <v>0.1</v>
      </c>
      <c r="P33" s="640">
        <f t="shared" si="18"/>
        <v>0.1</v>
      </c>
      <c r="Q33" s="640">
        <f t="shared" si="19"/>
        <v>0.1</v>
      </c>
      <c r="R33" s="640">
        <f t="shared" si="20"/>
        <v>0.15</v>
      </c>
      <c r="S33" s="640">
        <f t="shared" si="21"/>
        <v>0.15</v>
      </c>
      <c r="T33" s="640">
        <f t="shared" si="22"/>
        <v>0.2</v>
      </c>
      <c r="U33" s="640">
        <f t="shared" si="23"/>
        <v>0.2</v>
      </c>
      <c r="V33" s="330" t="str">
        <f>IFERROR(IF(VLOOKUP(D33,期货合约要素!$D:$Q,12,0)=0,"",VLOOKUP(D33,期货合约要素!$D:$Q,12,0)),IF(VLOOKUP(D33,期权合约要素!$D:$V,17,0)=0,"",VLOOKUP(D33,期权合约要素!$D:$V,17,0)))</f>
        <v/>
      </c>
      <c r="W33" s="391" t="str">
        <f>IFERROR(IF(VLOOKUP(D33,期货合约要素!$D:$Q,14,0)=0,"",VLOOKUP(D33,期货合约要素!$D:$Q,14,0)),IF(VLOOKUP(D33,期权合约要素!$D:$V,19,0)=0,"",VLOOKUP(D33,期权合约要素!$D:$V,19,0)))</f>
        <v/>
      </c>
    </row>
    <row r="34" s="547" customFormat="1" ht="30" spans="2:23">
      <c r="B34" s="566"/>
      <c r="C34" s="567" t="s">
        <v>714</v>
      </c>
      <c r="D34" s="573"/>
      <c r="E34" s="445"/>
      <c r="F34" s="575"/>
      <c r="G34" s="571">
        <v>0.1</v>
      </c>
      <c r="H34" s="572">
        <f t="shared" si="24"/>
        <v>0.13</v>
      </c>
      <c r="I34" s="636">
        <f t="shared" si="25"/>
        <v>0.15</v>
      </c>
      <c r="J34" s="571">
        <v>0.09</v>
      </c>
      <c r="K34" s="572">
        <f t="shared" si="26"/>
        <v>0.13</v>
      </c>
      <c r="L34" s="636">
        <f t="shared" si="27"/>
        <v>0.15</v>
      </c>
      <c r="M34" s="637">
        <v>0.08</v>
      </c>
      <c r="N34" s="638">
        <f t="shared" si="28"/>
        <v>0.11</v>
      </c>
      <c r="O34" s="639">
        <f t="shared" si="29"/>
        <v>0.13</v>
      </c>
      <c r="P34" s="640">
        <f t="shared" si="18"/>
        <v>0.1</v>
      </c>
      <c r="Q34" s="640">
        <f t="shared" si="19"/>
        <v>0.1</v>
      </c>
      <c r="R34" s="640">
        <f t="shared" si="20"/>
        <v>0.15</v>
      </c>
      <c r="S34" s="640">
        <f t="shared" si="21"/>
        <v>0.15</v>
      </c>
      <c r="T34" s="640">
        <f t="shared" si="22"/>
        <v>0.2</v>
      </c>
      <c r="U34" s="640">
        <f t="shared" si="23"/>
        <v>0.2</v>
      </c>
      <c r="V34" s="392"/>
      <c r="W34" s="393"/>
    </row>
    <row r="35" s="547" customFormat="1" ht="39.95" customHeight="1" spans="2:23">
      <c r="B35" s="566"/>
      <c r="C35" s="583" t="s">
        <v>70</v>
      </c>
      <c r="D35" s="584" t="s">
        <v>71</v>
      </c>
      <c r="E35" s="492" t="s">
        <v>351</v>
      </c>
      <c r="F35" s="570">
        <v>0.05</v>
      </c>
      <c r="G35" s="585">
        <v>0.07</v>
      </c>
      <c r="H35" s="586">
        <f t="shared" si="24"/>
        <v>0.1</v>
      </c>
      <c r="I35" s="643">
        <f t="shared" si="25"/>
        <v>0.12</v>
      </c>
      <c r="J35" s="585">
        <v>0.06</v>
      </c>
      <c r="K35" s="586">
        <f t="shared" si="26"/>
        <v>0.1</v>
      </c>
      <c r="L35" s="643">
        <f t="shared" si="27"/>
        <v>0.12</v>
      </c>
      <c r="M35" s="585">
        <v>0.05</v>
      </c>
      <c r="N35" s="586">
        <f t="shared" si="28"/>
        <v>0.08</v>
      </c>
      <c r="O35" s="643">
        <f t="shared" si="29"/>
        <v>0.1</v>
      </c>
      <c r="P35" s="640">
        <f t="shared" si="18"/>
        <v>0.1</v>
      </c>
      <c r="Q35" s="640">
        <f t="shared" si="19"/>
        <v>0.1</v>
      </c>
      <c r="R35" s="640">
        <f t="shared" si="20"/>
        <v>0.15</v>
      </c>
      <c r="S35" s="640">
        <f t="shared" si="21"/>
        <v>0.15</v>
      </c>
      <c r="T35" s="640">
        <f t="shared" si="22"/>
        <v>0.2</v>
      </c>
      <c r="U35" s="640">
        <f t="shared" si="23"/>
        <v>0.2</v>
      </c>
      <c r="V35" s="330" t="str">
        <f>IFERROR(IF(VLOOKUP(D35,期货合约要素!$D:$Q,12,0)=0,"",VLOOKUP(D35,期货合约要素!$D:$Q,12,0)),IF(VLOOKUP(D35,期权合约要素!$D:$V,17,0)=0,"",VLOOKUP(D35,期权合约要素!$D:$V,17,0)))</f>
        <v/>
      </c>
      <c r="W35" s="391" t="str">
        <f>IFERROR(IF(VLOOKUP(D35,期货合约要素!$D:$Q,14,0)=0,"",VLOOKUP(D35,期货合约要素!$D:$Q,14,0)),IF(VLOOKUP(D35,期权合约要素!$D:$V,19,0)=0,"",VLOOKUP(D35,期权合约要素!$D:$V,19,0)))</f>
        <v/>
      </c>
    </row>
    <row r="36" s="547" customFormat="1" ht="45" spans="2:23">
      <c r="B36" s="566"/>
      <c r="C36" s="567" t="s">
        <v>348</v>
      </c>
      <c r="D36" s="568" t="s">
        <v>61</v>
      </c>
      <c r="E36" s="492" t="s">
        <v>309</v>
      </c>
      <c r="F36" s="587">
        <v>0.13</v>
      </c>
      <c r="G36" s="588">
        <v>0.16</v>
      </c>
      <c r="H36" s="589">
        <f t="shared" si="24"/>
        <v>0.19</v>
      </c>
      <c r="I36" s="644">
        <f>O36+2%</f>
        <v>0.21</v>
      </c>
      <c r="J36" s="588">
        <v>0.15</v>
      </c>
      <c r="K36" s="589">
        <f t="shared" si="26"/>
        <v>0.19</v>
      </c>
      <c r="L36" s="644">
        <f t="shared" si="27"/>
        <v>0.21</v>
      </c>
      <c r="M36" s="645">
        <v>0.14</v>
      </c>
      <c r="N36" s="646">
        <f t="shared" si="28"/>
        <v>0.17</v>
      </c>
      <c r="O36" s="647">
        <f t="shared" si="29"/>
        <v>0.19</v>
      </c>
      <c r="P36" s="648" t="s">
        <v>715</v>
      </c>
      <c r="Q36" s="648" t="s">
        <v>716</v>
      </c>
      <c r="R36" s="648" t="s">
        <v>717</v>
      </c>
      <c r="S36" s="648" t="s">
        <v>718</v>
      </c>
      <c r="T36" s="648" t="s">
        <v>702</v>
      </c>
      <c r="U36" s="648" t="s">
        <v>703</v>
      </c>
      <c r="V36" s="330" t="str">
        <f>IFERROR(IF(VLOOKUP(D36,期货合约要素!$D:$Q,12,0)=0,"",VLOOKUP(D36,期货合约要素!$D:$Q,12,0)),IF(VLOOKUP(D36,期权合约要素!$D:$V,17,0)=0,"",VLOOKUP(D36,期权合约要素!$D:$V,17,0)))</f>
        <v>√</v>
      </c>
      <c r="W36" s="391" t="str">
        <f>IFERROR(IF(VLOOKUP(D36,期货合约要素!$D:$Q,14,0)=0,"",VLOOKUP(D36,期货合约要素!$D:$Q,14,0)),IF(VLOOKUP(D36,期权合约要素!$D:$V,19,0)=0,"",VLOOKUP(D36,期权合约要素!$D:$V,19,0)))</f>
        <v/>
      </c>
    </row>
    <row r="37" s="547" customFormat="1" ht="41.1" customHeight="1" spans="2:23">
      <c r="B37" s="566"/>
      <c r="C37" s="567"/>
      <c r="D37" s="581"/>
      <c r="E37" s="508"/>
      <c r="F37" s="590"/>
      <c r="G37" s="591"/>
      <c r="H37" s="592"/>
      <c r="I37" s="649"/>
      <c r="J37" s="591"/>
      <c r="K37" s="592"/>
      <c r="L37" s="649"/>
      <c r="M37" s="650"/>
      <c r="N37" s="651"/>
      <c r="O37" s="652"/>
      <c r="P37" s="640">
        <f>MAX(10%,G36)</f>
        <v>0.16</v>
      </c>
      <c r="Q37" s="640">
        <f>MAX(10%,J36)</f>
        <v>0.15</v>
      </c>
      <c r="R37" s="640">
        <f>MAX(15%,G36)</f>
        <v>0.16</v>
      </c>
      <c r="S37" s="640">
        <f>MAX(15%,J36)</f>
        <v>0.15</v>
      </c>
      <c r="T37" s="640">
        <f>MAX(20%,G36)</f>
        <v>0.2</v>
      </c>
      <c r="U37" s="640">
        <f>MAX(J36,20%)</f>
        <v>0.2</v>
      </c>
      <c r="V37" s="394"/>
      <c r="W37" s="395"/>
    </row>
    <row r="38" s="547" customFormat="1" ht="50.25" customHeight="1" spans="2:23">
      <c r="B38" s="593"/>
      <c r="C38" s="594" t="s">
        <v>719</v>
      </c>
      <c r="D38" s="595"/>
      <c r="E38" s="519"/>
      <c r="F38" s="596"/>
      <c r="G38" s="597">
        <v>0.19</v>
      </c>
      <c r="H38" s="598">
        <f>MAX(G38,N38+2%)</f>
        <v>0.22</v>
      </c>
      <c r="I38" s="653">
        <f>O38+2%</f>
        <v>0.24</v>
      </c>
      <c r="J38" s="597">
        <v>0.18</v>
      </c>
      <c r="K38" s="598">
        <f>MAX(J38,N38+2%)</f>
        <v>0.22</v>
      </c>
      <c r="L38" s="653">
        <f>MAX(J38,O38+2%)</f>
        <v>0.24</v>
      </c>
      <c r="M38" s="654">
        <v>0.17</v>
      </c>
      <c r="N38" s="655">
        <f>M38+3%</f>
        <v>0.2</v>
      </c>
      <c r="O38" s="656">
        <f>N38+2%</f>
        <v>0.22</v>
      </c>
      <c r="P38" s="657">
        <f>MAX(10%,G38)</f>
        <v>0.19</v>
      </c>
      <c r="Q38" s="657">
        <f>MAX(10%,J38)</f>
        <v>0.18</v>
      </c>
      <c r="R38" s="657">
        <f>MAX(15%,G38)</f>
        <v>0.19</v>
      </c>
      <c r="S38" s="657">
        <f>MAX(15%,J38)</f>
        <v>0.18</v>
      </c>
      <c r="T38" s="657">
        <f>MAX(20%,G38)</f>
        <v>0.2</v>
      </c>
      <c r="U38" s="657">
        <f>MAX(J38,20%)</f>
        <v>0.2</v>
      </c>
      <c r="V38" s="675"/>
      <c r="W38" s="407"/>
    </row>
    <row r="39" s="547" customFormat="1" ht="50.25" customHeight="1" spans="2:23">
      <c r="B39" s="599" t="s">
        <v>9</v>
      </c>
      <c r="C39" s="600" t="s">
        <v>101</v>
      </c>
      <c r="D39" s="601" t="s">
        <v>102</v>
      </c>
      <c r="E39" s="602" t="s">
        <v>309</v>
      </c>
      <c r="F39" s="582">
        <v>0.06</v>
      </c>
      <c r="G39" s="603">
        <v>0.09</v>
      </c>
      <c r="H39" s="604">
        <f>MAX(G39,N39+2%)</f>
        <v>0.12</v>
      </c>
      <c r="I39" s="658">
        <f>MAX(G39,O39+2%)</f>
        <v>0.14</v>
      </c>
      <c r="J39" s="603">
        <v>0.08</v>
      </c>
      <c r="K39" s="604">
        <f>MAX(J39,N39+2%)</f>
        <v>0.12</v>
      </c>
      <c r="L39" s="658">
        <f>MAX(J39,O39+2%)</f>
        <v>0.14</v>
      </c>
      <c r="M39" s="603">
        <v>0.07</v>
      </c>
      <c r="N39" s="604">
        <f>M39+3%</f>
        <v>0.1</v>
      </c>
      <c r="O39" s="658">
        <f>N39+2%</f>
        <v>0.12</v>
      </c>
      <c r="P39" s="659" t="s">
        <v>720</v>
      </c>
      <c r="Q39" s="659" t="s">
        <v>721</v>
      </c>
      <c r="R39" s="659" t="s">
        <v>722</v>
      </c>
      <c r="S39" s="659" t="s">
        <v>723</v>
      </c>
      <c r="T39" s="659" t="s">
        <v>702</v>
      </c>
      <c r="U39" s="659" t="s">
        <v>703</v>
      </c>
      <c r="V39" s="394" t="str">
        <f>IFERROR(IF(VLOOKUP(D39,期货合约要素!$D:$Q,12,0)=0,"",VLOOKUP(D39,期货合约要素!$D:$Q,12,0)),IF(VLOOKUP(D39,期权合约要素!$D:$V,17,0)=0,"",VLOOKUP(D39,期权合约要素!$D:$V,17,0)))</f>
        <v>√</v>
      </c>
      <c r="W39" s="395" t="str">
        <f>IFERROR(IF(VLOOKUP(D39,期货合约要素!$D:$Q,14,0)=0,"",VLOOKUP(D39,期货合约要素!$D:$Q,14,0)),IF(VLOOKUP(D39,期权合约要素!$D:$V,19,0)=0,"",VLOOKUP(D39,期权合约要素!$D:$V,19,0)))</f>
        <v>√</v>
      </c>
    </row>
    <row r="40" s="547" customFormat="1" ht="30" customHeight="1" spans="2:23">
      <c r="B40" s="599"/>
      <c r="C40" s="583"/>
      <c r="D40" s="601"/>
      <c r="E40" s="602"/>
      <c r="F40" s="582"/>
      <c r="G40" s="585"/>
      <c r="H40" s="586"/>
      <c r="I40" s="643"/>
      <c r="J40" s="585"/>
      <c r="K40" s="586"/>
      <c r="L40" s="643"/>
      <c r="M40" s="585"/>
      <c r="N40" s="586"/>
      <c r="O40" s="643"/>
      <c r="P40" s="640">
        <f>MAX(10%,G39)</f>
        <v>0.1</v>
      </c>
      <c r="Q40" s="640">
        <f>MAX(10%,J39)</f>
        <v>0.1</v>
      </c>
      <c r="R40" s="640">
        <f>MAX(15%,G39)</f>
        <v>0.15</v>
      </c>
      <c r="S40" s="640">
        <f>MAX(15%,J40)</f>
        <v>0.15</v>
      </c>
      <c r="T40" s="640">
        <f>MAX(20%,G39)</f>
        <v>0.2</v>
      </c>
      <c r="U40" s="640">
        <f>MAX(J39,20%)</f>
        <v>0.2</v>
      </c>
      <c r="V40" s="394"/>
      <c r="W40" s="395"/>
    </row>
    <row r="41" s="547" customFormat="1" ht="30" customHeight="1" spans="2:23">
      <c r="B41" s="599"/>
      <c r="C41" s="567" t="s">
        <v>103</v>
      </c>
      <c r="D41" s="605" t="s">
        <v>104</v>
      </c>
      <c r="E41" s="606" t="s">
        <v>316</v>
      </c>
      <c r="F41" s="570">
        <v>0.07</v>
      </c>
      <c r="G41" s="571">
        <v>0.09</v>
      </c>
      <c r="H41" s="572">
        <f>MAX(G41,N41+2%)</f>
        <v>0.12</v>
      </c>
      <c r="I41" s="636">
        <f>MAX(G41,O41+2%)</f>
        <v>0.14</v>
      </c>
      <c r="J41" s="571">
        <v>0.08</v>
      </c>
      <c r="K41" s="572">
        <f>MAX(J41,N41+2%)</f>
        <v>0.12</v>
      </c>
      <c r="L41" s="636">
        <f>MAX(J41,O41+2%)</f>
        <v>0.14</v>
      </c>
      <c r="M41" s="637">
        <v>0.07</v>
      </c>
      <c r="N41" s="638">
        <f>M41+3%</f>
        <v>0.1</v>
      </c>
      <c r="O41" s="639">
        <f>N41+2%</f>
        <v>0.12</v>
      </c>
      <c r="P41" s="641">
        <f>MAX(10%,G41)</f>
        <v>0.1</v>
      </c>
      <c r="Q41" s="641">
        <f>MAX(10%,J41)</f>
        <v>0.1</v>
      </c>
      <c r="R41" s="641">
        <f>MAX(15%,G41)</f>
        <v>0.15</v>
      </c>
      <c r="S41" s="641">
        <f>MAX(15%,J41)</f>
        <v>0.15</v>
      </c>
      <c r="T41" s="641">
        <f>MAX(20%,G40)</f>
        <v>0.2</v>
      </c>
      <c r="U41" s="641">
        <f>MAX(J41,20%)</f>
        <v>0.2</v>
      </c>
      <c r="V41" s="330" t="str">
        <f>IFERROR(IF(VLOOKUP(D41,期货合约要素!$D:$Q,12,0)=0,"",VLOOKUP(D41,期货合约要素!$D:$Q,12,0)),IF(VLOOKUP(D41,期权合约要素!$D:$V,17,0)=0,"",VLOOKUP(D41,期权合约要素!$D:$V,17,0)))</f>
        <v>√</v>
      </c>
      <c r="W41" s="391" t="str">
        <f>IFERROR(IF(VLOOKUP(D41,期货合约要素!$D:$Q,14,0)=0,"",VLOOKUP(D41,期货合约要素!$D:$Q,14,0)),IF(VLOOKUP(D41,期权合约要素!$D:$V,19,0)=0,"",VLOOKUP(D41,期权合约要素!$D:$V,19,0)))</f>
        <v>√</v>
      </c>
    </row>
    <row r="42" s="547" customFormat="1" ht="30" spans="2:23">
      <c r="B42" s="599"/>
      <c r="C42" s="567" t="s">
        <v>724</v>
      </c>
      <c r="D42" s="607"/>
      <c r="E42" s="608"/>
      <c r="F42" s="575"/>
      <c r="G42" s="571">
        <v>0.11</v>
      </c>
      <c r="H42" s="572">
        <f>MAX(G42,N42+2%)</f>
        <v>0.14</v>
      </c>
      <c r="I42" s="636">
        <f>MAX(G42,O42+2%)</f>
        <v>0.16</v>
      </c>
      <c r="J42" s="571">
        <v>0.1</v>
      </c>
      <c r="K42" s="572">
        <f>MAX(J42,N42+2%)</f>
        <v>0.14</v>
      </c>
      <c r="L42" s="636">
        <f>MAX(J42,O42+2%)</f>
        <v>0.16</v>
      </c>
      <c r="M42" s="637">
        <v>0.09</v>
      </c>
      <c r="N42" s="638">
        <f>M42+3%</f>
        <v>0.12</v>
      </c>
      <c r="O42" s="639">
        <f>N42+2%</f>
        <v>0.14</v>
      </c>
      <c r="P42" s="641">
        <f>MAX(10%,G42)</f>
        <v>0.11</v>
      </c>
      <c r="Q42" s="641">
        <f>MAX(10%,J42)</f>
        <v>0.1</v>
      </c>
      <c r="R42" s="660">
        <f>MAX(15%,G42)</f>
        <v>0.15</v>
      </c>
      <c r="S42" s="660">
        <f>MAX(15%,J42)</f>
        <v>0.15</v>
      </c>
      <c r="T42" s="660">
        <f>MAX(20%,G40)</f>
        <v>0.2</v>
      </c>
      <c r="U42" s="660">
        <f>MAX(J42,20%)</f>
        <v>0.2</v>
      </c>
      <c r="V42" s="394"/>
      <c r="W42" s="395"/>
    </row>
    <row r="43" s="547" customFormat="1" ht="50.1" customHeight="1" spans="2:23">
      <c r="B43" s="599"/>
      <c r="C43" s="567" t="s">
        <v>97</v>
      </c>
      <c r="D43" s="491" t="s">
        <v>98</v>
      </c>
      <c r="E43" s="492" t="s">
        <v>303</v>
      </c>
      <c r="F43" s="570">
        <v>0.13</v>
      </c>
      <c r="G43" s="588">
        <v>0.16</v>
      </c>
      <c r="H43" s="589">
        <f>MAX(G43,N43+2%)</f>
        <v>0.19</v>
      </c>
      <c r="I43" s="644">
        <f t="shared" ref="I43:I48" si="30">O43+2%</f>
        <v>0.21</v>
      </c>
      <c r="J43" s="588">
        <v>0.15</v>
      </c>
      <c r="K43" s="589">
        <f>MAX(J43,N43+2%)</f>
        <v>0.19</v>
      </c>
      <c r="L43" s="644">
        <f>MAX(J43,O43+2%)</f>
        <v>0.21</v>
      </c>
      <c r="M43" s="645">
        <v>0.14</v>
      </c>
      <c r="N43" s="646">
        <f>M43+3%</f>
        <v>0.17</v>
      </c>
      <c r="O43" s="647">
        <f>N43+2%</f>
        <v>0.19</v>
      </c>
      <c r="P43" s="648" t="s">
        <v>720</v>
      </c>
      <c r="Q43" s="648" t="s">
        <v>721</v>
      </c>
      <c r="R43" s="648" t="s">
        <v>702</v>
      </c>
      <c r="S43" s="648"/>
      <c r="T43" s="648" t="s">
        <v>703</v>
      </c>
      <c r="U43" s="648"/>
      <c r="V43" s="330" t="str">
        <f>IFERROR(IF(VLOOKUP(D43,期货合约要素!$D:$Q,12,0)=0,"",VLOOKUP(D43,期货合约要素!$D:$Q,12,0)),IF(VLOOKUP(D43,期权合约要素!$D:$V,17,0)=0,"",VLOOKUP(D43,期权合约要素!$D:$V,17,0)))</f>
        <v>√</v>
      </c>
      <c r="W43" s="391" t="str">
        <f>IFERROR(IF(VLOOKUP(D43,期货合约要素!$D:$Q,14,0)=0,"",VLOOKUP(D43,期货合约要素!$D:$Q,14,0)),IF(VLOOKUP(D43,期权合约要素!$D:$V,19,0)=0,"",VLOOKUP(D43,期权合约要素!$D:$V,19,0)))</f>
        <v>√</v>
      </c>
    </row>
    <row r="44" s="547" customFormat="1" ht="44.1" customHeight="1" spans="2:23">
      <c r="B44" s="599"/>
      <c r="C44" s="567"/>
      <c r="D44" s="609"/>
      <c r="E44" s="508"/>
      <c r="F44" s="582"/>
      <c r="G44" s="591"/>
      <c r="H44" s="592"/>
      <c r="I44" s="649"/>
      <c r="J44" s="591"/>
      <c r="K44" s="592"/>
      <c r="L44" s="649"/>
      <c r="M44" s="650"/>
      <c r="N44" s="651"/>
      <c r="O44" s="652"/>
      <c r="P44" s="660">
        <f>MAX(10%,G43)</f>
        <v>0.16</v>
      </c>
      <c r="Q44" s="640">
        <f>MAX(10%,J43)</f>
        <v>0.15</v>
      </c>
      <c r="R44" s="640">
        <f>MAX(G43,20%)</f>
        <v>0.2</v>
      </c>
      <c r="S44" s="640"/>
      <c r="T44" s="640">
        <f>MAX(J43,20%)</f>
        <v>0.2</v>
      </c>
      <c r="U44" s="640"/>
      <c r="V44" s="394"/>
      <c r="W44" s="395"/>
    </row>
    <row r="45" s="547" customFormat="1" ht="39.95" customHeight="1" spans="2:23">
      <c r="B45" s="599"/>
      <c r="C45" s="567" t="s">
        <v>725</v>
      </c>
      <c r="D45" s="503"/>
      <c r="E45" s="445"/>
      <c r="F45" s="575"/>
      <c r="G45" s="571">
        <v>0.19</v>
      </c>
      <c r="H45" s="572">
        <f t="shared" ref="H45:H48" si="31">MAX(G45,N45+2%)</f>
        <v>0.22</v>
      </c>
      <c r="I45" s="636">
        <f t="shared" si="30"/>
        <v>0.24</v>
      </c>
      <c r="J45" s="571">
        <v>0.18</v>
      </c>
      <c r="K45" s="572">
        <f t="shared" ref="K45:K48" si="32">MAX(J45,N45+2%)</f>
        <v>0.22</v>
      </c>
      <c r="L45" s="636">
        <f t="shared" ref="L45:L48" si="33">MAX(J45,O45+2%)</f>
        <v>0.24</v>
      </c>
      <c r="M45" s="637">
        <v>0.17</v>
      </c>
      <c r="N45" s="638">
        <f t="shared" ref="N45:N48" si="34">M45+3%</f>
        <v>0.2</v>
      </c>
      <c r="O45" s="639">
        <f t="shared" ref="O45:O48" si="35">N45+2%</f>
        <v>0.22</v>
      </c>
      <c r="P45" s="660">
        <f>MAX(10%,G44)</f>
        <v>0.1</v>
      </c>
      <c r="Q45" s="640">
        <f>MAX(10%,J44)</f>
        <v>0.1</v>
      </c>
      <c r="R45" s="640">
        <f>MAX(G44,20%)</f>
        <v>0.2</v>
      </c>
      <c r="S45" s="640"/>
      <c r="T45" s="640">
        <f>MAX(J44,20%)</f>
        <v>0.2</v>
      </c>
      <c r="U45" s="640"/>
      <c r="V45" s="392"/>
      <c r="W45" s="393"/>
    </row>
    <row r="46" s="547" customFormat="1" ht="39.95" customHeight="1" spans="2:23">
      <c r="B46" s="599"/>
      <c r="C46" s="567" t="s">
        <v>99</v>
      </c>
      <c r="D46" s="491" t="s">
        <v>100</v>
      </c>
      <c r="E46" s="492" t="s">
        <v>309</v>
      </c>
      <c r="F46" s="570">
        <v>0.13</v>
      </c>
      <c r="G46" s="571">
        <v>0.16</v>
      </c>
      <c r="H46" s="572">
        <f t="shared" si="31"/>
        <v>0.19</v>
      </c>
      <c r="I46" s="636">
        <f t="shared" si="30"/>
        <v>0.21</v>
      </c>
      <c r="J46" s="571">
        <v>0.15</v>
      </c>
      <c r="K46" s="572">
        <f t="shared" si="32"/>
        <v>0.19</v>
      </c>
      <c r="L46" s="636">
        <f t="shared" si="33"/>
        <v>0.21</v>
      </c>
      <c r="M46" s="637">
        <v>0.14</v>
      </c>
      <c r="N46" s="638">
        <f t="shared" si="34"/>
        <v>0.17</v>
      </c>
      <c r="O46" s="639">
        <f t="shared" si="35"/>
        <v>0.19</v>
      </c>
      <c r="P46" s="660">
        <f>MAX(10%,G46)</f>
        <v>0.16</v>
      </c>
      <c r="Q46" s="640">
        <f>MAX(10%,J46)</f>
        <v>0.15</v>
      </c>
      <c r="R46" s="640">
        <f>MAX(G46,20%)</f>
        <v>0.2</v>
      </c>
      <c r="S46" s="640"/>
      <c r="T46" s="640">
        <f>MAX(J46,20%)</f>
        <v>0.2</v>
      </c>
      <c r="U46" s="640"/>
      <c r="V46" s="330" t="str">
        <f>IFERROR(IF(VLOOKUP(D46,期货合约要素!$D:$Q,12,0)=0,"",VLOOKUP(D46,期货合约要素!$D:$Q,12,0)),IF(VLOOKUP(D46,期权合约要素!$D:$V,17,0)=0,"",VLOOKUP(D46,期权合约要素!$D:$V,17,0)))</f>
        <v>√</v>
      </c>
      <c r="W46" s="391" t="str">
        <f>IFERROR(IF(VLOOKUP(D46,期货合约要素!$D:$Q,14,0)=0,"",VLOOKUP(D46,期货合约要素!$D:$Q,14,0)),IF(VLOOKUP(D46,期权合约要素!$D:$V,19,0)=0,"",VLOOKUP(D46,期权合约要素!$D:$V,19,0)))</f>
        <v>√</v>
      </c>
    </row>
    <row r="47" s="547" customFormat="1" ht="51" customHeight="1" spans="2:23">
      <c r="B47" s="599"/>
      <c r="C47" s="610" t="s">
        <v>726</v>
      </c>
      <c r="D47" s="609"/>
      <c r="E47" s="508"/>
      <c r="F47" s="582"/>
      <c r="G47" s="571">
        <v>0.19</v>
      </c>
      <c r="H47" s="572">
        <f t="shared" si="31"/>
        <v>0.22</v>
      </c>
      <c r="I47" s="636">
        <f t="shared" si="30"/>
        <v>0.24</v>
      </c>
      <c r="J47" s="571">
        <v>0.18</v>
      </c>
      <c r="K47" s="572">
        <f t="shared" si="32"/>
        <v>0.22</v>
      </c>
      <c r="L47" s="636">
        <f t="shared" si="33"/>
        <v>0.24</v>
      </c>
      <c r="M47" s="637">
        <v>0.17</v>
      </c>
      <c r="N47" s="638">
        <f t="shared" si="34"/>
        <v>0.2</v>
      </c>
      <c r="O47" s="639">
        <f t="shared" si="35"/>
        <v>0.22</v>
      </c>
      <c r="P47" s="660">
        <f>MAX(10%,G47)</f>
        <v>0.19</v>
      </c>
      <c r="Q47" s="640">
        <f>MAX(10%,J47)</f>
        <v>0.18</v>
      </c>
      <c r="R47" s="640">
        <f>MAX(G47,20%)</f>
        <v>0.2</v>
      </c>
      <c r="S47" s="640"/>
      <c r="T47" s="640">
        <f>MAX(J47,20%)</f>
        <v>0.2</v>
      </c>
      <c r="U47" s="640"/>
      <c r="V47" s="394"/>
      <c r="W47" s="395"/>
    </row>
    <row r="48" s="547" customFormat="1" ht="51" customHeight="1" spans="2:23">
      <c r="B48" s="599"/>
      <c r="C48" s="610" t="s">
        <v>727</v>
      </c>
      <c r="D48" s="611" t="s">
        <v>107</v>
      </c>
      <c r="E48" s="612" t="s">
        <v>728</v>
      </c>
      <c r="F48" s="570">
        <v>0.17</v>
      </c>
      <c r="G48" s="571">
        <v>0.17</v>
      </c>
      <c r="H48" s="572">
        <f t="shared" si="31"/>
        <v>0.2</v>
      </c>
      <c r="I48" s="636">
        <f t="shared" si="30"/>
        <v>0.22</v>
      </c>
      <c r="J48" s="571">
        <v>0.17</v>
      </c>
      <c r="K48" s="572">
        <f t="shared" si="32"/>
        <v>0.2</v>
      </c>
      <c r="L48" s="636">
        <f t="shared" si="33"/>
        <v>0.22</v>
      </c>
      <c r="M48" s="637">
        <v>0.15</v>
      </c>
      <c r="N48" s="638">
        <f t="shared" si="34"/>
        <v>0.18</v>
      </c>
      <c r="O48" s="639">
        <f t="shared" si="35"/>
        <v>0.2</v>
      </c>
      <c r="P48" s="661" t="s">
        <v>729</v>
      </c>
      <c r="Q48" s="661" t="s">
        <v>730</v>
      </c>
      <c r="R48" s="648" t="s">
        <v>702</v>
      </c>
      <c r="S48" s="648"/>
      <c r="T48" s="648" t="s">
        <v>703</v>
      </c>
      <c r="U48" s="648"/>
      <c r="V48" s="330" t="str">
        <f>IFERROR(IF(VLOOKUP(D48,期货合约要素!$D:$Q,12,0)=0,"",VLOOKUP(D48,期货合约要素!$D:$Q,12,0)),IF(VLOOKUP(D48,期权合约要素!$D:$V,17,0)=0,"",VLOOKUP(D48,期权合约要素!$D:$V,17,0)))</f>
        <v>√</v>
      </c>
      <c r="W48" s="391" t="str">
        <f>IFERROR(IF(VLOOKUP(D48,期货合约要素!$D:$Q,14,0)=0,"",VLOOKUP(D48,期货合约要素!$D:$Q,14,0)),IF(VLOOKUP(D48,期权合约要素!$D:$V,19,0)=0,"",VLOOKUP(D48,期权合约要素!$D:$V,19,0)))</f>
        <v>√</v>
      </c>
    </row>
    <row r="49" s="547" customFormat="1" ht="30" customHeight="1" spans="2:23">
      <c r="B49" s="599"/>
      <c r="C49" s="613"/>
      <c r="D49" s="614"/>
      <c r="E49" s="615"/>
      <c r="F49" s="582"/>
      <c r="G49" s="588"/>
      <c r="H49" s="589"/>
      <c r="I49" s="644"/>
      <c r="J49" s="588"/>
      <c r="K49" s="589"/>
      <c r="L49" s="644"/>
      <c r="M49" s="645"/>
      <c r="N49" s="646"/>
      <c r="O49" s="647"/>
      <c r="P49" s="662">
        <f>MAX(G48,20%)</f>
        <v>0.2</v>
      </c>
      <c r="Q49" s="662">
        <f>MAX(J48,20%)</f>
        <v>0.2</v>
      </c>
      <c r="R49" s="662">
        <f>MAX(G48,30%)</f>
        <v>0.3</v>
      </c>
      <c r="S49" s="662"/>
      <c r="T49" s="662">
        <f>MAX(J48,30%)</f>
        <v>0.3</v>
      </c>
      <c r="U49" s="662"/>
      <c r="V49" s="394"/>
      <c r="W49" s="395"/>
    </row>
    <row r="50" s="547" customFormat="1" ht="60.75" spans="2:23">
      <c r="B50" s="616"/>
      <c r="C50" s="594" t="s">
        <v>731</v>
      </c>
      <c r="D50" s="617"/>
      <c r="E50" s="618"/>
      <c r="F50" s="619"/>
      <c r="G50" s="597">
        <v>0.22</v>
      </c>
      <c r="H50" s="598">
        <f>MAX(G50,N50+2%)</f>
        <v>0.25</v>
      </c>
      <c r="I50" s="653">
        <f>O50+2%</f>
        <v>0.27</v>
      </c>
      <c r="J50" s="597">
        <v>0.22</v>
      </c>
      <c r="K50" s="598">
        <f>MAX(J50,N50+2%)</f>
        <v>0.25</v>
      </c>
      <c r="L50" s="653">
        <f>MAX(J50,O50+2%)</f>
        <v>0.27</v>
      </c>
      <c r="M50" s="654">
        <v>0.2</v>
      </c>
      <c r="N50" s="655">
        <f>M50+3%</f>
        <v>0.23</v>
      </c>
      <c r="O50" s="656">
        <f>N50+2%</f>
        <v>0.25</v>
      </c>
      <c r="P50" s="663">
        <f>MAX(G50,20%)</f>
        <v>0.22</v>
      </c>
      <c r="Q50" s="663">
        <f>MAX(J50,20%)</f>
        <v>0.22</v>
      </c>
      <c r="R50" s="663">
        <f>MAX(G50,30%)</f>
        <v>0.3</v>
      </c>
      <c r="S50" s="663"/>
      <c r="T50" s="663">
        <f>MAX(J50,30%)</f>
        <v>0.3</v>
      </c>
      <c r="U50" s="663"/>
      <c r="V50" s="675"/>
      <c r="W50" s="407"/>
    </row>
    <row r="51" s="547" customFormat="1" ht="21" customHeight="1" spans="2:24">
      <c r="B51"/>
      <c r="C51"/>
      <c r="D51"/>
      <c r="E51"/>
      <c r="F51"/>
      <c r="G51"/>
      <c r="H51"/>
      <c r="I51"/>
      <c r="J51"/>
      <c r="K51"/>
      <c r="L51"/>
      <c r="M51"/>
      <c r="N51"/>
      <c r="O51"/>
      <c r="P51"/>
      <c r="Q51"/>
      <c r="R51"/>
      <c r="S51"/>
      <c r="T51"/>
      <c r="U51"/>
      <c r="V51"/>
      <c r="W51"/>
      <c r="X51"/>
    </row>
    <row r="52" s="547" customFormat="1" ht="21" customHeight="1" spans="2:24">
      <c r="B52"/>
      <c r="C52"/>
      <c r="D52"/>
      <c r="E52"/>
      <c r="F52"/>
      <c r="G52"/>
      <c r="H52"/>
      <c r="I52"/>
      <c r="J52"/>
      <c r="K52"/>
      <c r="L52"/>
      <c r="M52"/>
      <c r="N52"/>
      <c r="O52"/>
      <c r="P52"/>
      <c r="Q52"/>
      <c r="R52"/>
      <c r="S52"/>
      <c r="T52"/>
      <c r="U52"/>
      <c r="V52"/>
      <c r="W52"/>
      <c r="X52"/>
    </row>
    <row r="53" s="547" customFormat="1" ht="24.95" customHeight="1" spans="2:23">
      <c r="B53" s="552" t="s">
        <v>35</v>
      </c>
      <c r="C53" s="553" t="s">
        <v>36</v>
      </c>
      <c r="D53" s="497" t="s">
        <v>37</v>
      </c>
      <c r="E53" s="497" t="s">
        <v>686</v>
      </c>
      <c r="F53" s="497" t="s">
        <v>687</v>
      </c>
      <c r="G53" s="540" t="s">
        <v>688</v>
      </c>
      <c r="H53" s="540"/>
      <c r="I53" s="540"/>
      <c r="J53" s="540"/>
      <c r="K53" s="540"/>
      <c r="L53" s="540"/>
      <c r="M53" s="497" t="s">
        <v>689</v>
      </c>
      <c r="N53" s="497"/>
      <c r="O53" s="497"/>
      <c r="P53" s="664" t="s">
        <v>732</v>
      </c>
      <c r="Q53" s="664"/>
      <c r="R53" s="664"/>
      <c r="S53" s="664"/>
      <c r="T53" s="664"/>
      <c r="U53" s="664"/>
      <c r="V53" s="317" t="s">
        <v>40</v>
      </c>
      <c r="W53" s="318" t="s">
        <v>41</v>
      </c>
    </row>
    <row r="54" s="547" customFormat="1" ht="37.5" customHeight="1" spans="2:23">
      <c r="B54" s="554"/>
      <c r="C54" s="487"/>
      <c r="D54" s="431"/>
      <c r="E54" s="431"/>
      <c r="F54" s="431"/>
      <c r="G54" s="555" t="s">
        <v>691</v>
      </c>
      <c r="H54" s="555"/>
      <c r="I54" s="555"/>
      <c r="J54" s="555" t="s">
        <v>692</v>
      </c>
      <c r="K54" s="555"/>
      <c r="L54" s="555"/>
      <c r="M54" s="431"/>
      <c r="N54" s="431"/>
      <c r="O54" s="431"/>
      <c r="P54" s="555" t="s">
        <v>693</v>
      </c>
      <c r="Q54" s="555"/>
      <c r="R54" s="555"/>
      <c r="S54" s="555"/>
      <c r="T54" s="555" t="s">
        <v>694</v>
      </c>
      <c r="U54" s="555"/>
      <c r="V54" s="423"/>
      <c r="W54" s="440"/>
    </row>
    <row r="55" s="547" customFormat="1" ht="49.5" customHeight="1" spans="2:23">
      <c r="B55" s="554"/>
      <c r="C55" s="487"/>
      <c r="D55" s="431"/>
      <c r="E55" s="431"/>
      <c r="F55" s="431"/>
      <c r="G55" s="431" t="s">
        <v>695</v>
      </c>
      <c r="H55" s="431" t="s">
        <v>696</v>
      </c>
      <c r="I55" s="431" t="s">
        <v>697</v>
      </c>
      <c r="J55" s="431" t="s">
        <v>695</v>
      </c>
      <c r="K55" s="431" t="s">
        <v>696</v>
      </c>
      <c r="L55" s="431" t="s">
        <v>697</v>
      </c>
      <c r="M55" s="431" t="s">
        <v>695</v>
      </c>
      <c r="N55" s="431" t="s">
        <v>698</v>
      </c>
      <c r="O55" s="431" t="s">
        <v>699</v>
      </c>
      <c r="P55" s="555" t="s">
        <v>733</v>
      </c>
      <c r="Q55" s="555"/>
      <c r="R55" s="555" t="s">
        <v>734</v>
      </c>
      <c r="S55" s="555"/>
      <c r="T55" s="555" t="s">
        <v>735</v>
      </c>
      <c r="U55" s="555" t="s">
        <v>736</v>
      </c>
      <c r="V55" s="423"/>
      <c r="W55" s="440"/>
    </row>
    <row r="56" s="548" customFormat="1" ht="30" customHeight="1" spans="2:23">
      <c r="B56" s="620" t="s">
        <v>737</v>
      </c>
      <c r="C56" s="621" t="s">
        <v>164</v>
      </c>
      <c r="D56" s="622" t="s">
        <v>165</v>
      </c>
      <c r="E56" s="623" t="s">
        <v>316</v>
      </c>
      <c r="F56" s="624">
        <v>0.06</v>
      </c>
      <c r="G56" s="571">
        <v>0.07</v>
      </c>
      <c r="H56" s="625">
        <f t="shared" ref="H56:H65" si="36">MAX(G56,N56+2%)</f>
        <v>0.11</v>
      </c>
      <c r="I56" s="636">
        <f t="shared" ref="I56:I65" si="37">MAX(G56,O56+2%)</f>
        <v>0.14</v>
      </c>
      <c r="J56" s="571">
        <v>0.07</v>
      </c>
      <c r="K56" s="625">
        <f t="shared" ref="K56:K65" si="38">MAX(J56,N56+2%)</f>
        <v>0.11</v>
      </c>
      <c r="L56" s="636">
        <f t="shared" ref="L56:L65" si="39">MAX(J56,O56+2%)</f>
        <v>0.14</v>
      </c>
      <c r="M56" s="665">
        <v>0.06</v>
      </c>
      <c r="N56" s="666">
        <f t="shared" ref="N56:N65" si="40">M56+3%</f>
        <v>0.09</v>
      </c>
      <c r="O56" s="667">
        <f t="shared" ref="O56:O65" si="41">N56+3%</f>
        <v>0.12</v>
      </c>
      <c r="P56" s="668">
        <f t="shared" ref="P56:P65" si="42">MAX(G56,10%)</f>
        <v>0.1</v>
      </c>
      <c r="Q56" s="668"/>
      <c r="R56" s="668">
        <f t="shared" ref="R56:R65" si="43">MAX(J56,10%)</f>
        <v>0.1</v>
      </c>
      <c r="S56" s="668"/>
      <c r="T56" s="668">
        <f t="shared" ref="T56:T65" si="44">MAX(20%,G56)</f>
        <v>0.2</v>
      </c>
      <c r="U56" s="668">
        <f t="shared" ref="U56:U65" si="45">MAX(J56,20%)</f>
        <v>0.2</v>
      </c>
      <c r="V56" s="322" t="str">
        <f>IFERROR(IF(VLOOKUP(D56,期货合约要素!$D:$Q,12,0)=0,"",VLOOKUP(D56,期货合约要素!$D:$Q,12,0)),IF(VLOOKUP(D56,期权合约要素!$D:$V,17,0)=0,"",VLOOKUP(D56,期权合约要素!$D:$V,17,0)))</f>
        <v/>
      </c>
      <c r="W56" s="323" t="str">
        <f>IFERROR(IF(VLOOKUP(D56,期货合约要素!$D:$Q,14,0)=0,"",VLOOKUP(D56,期货合约要素!$D:$Q,14,0)),IF(VLOOKUP(D56,期权合约要素!$D:$V,19,0)=0,"",VLOOKUP(D56,期权合约要素!$D:$V,19,0)))</f>
        <v/>
      </c>
    </row>
    <row r="57" s="548" customFormat="1" ht="30" customHeight="1" spans="2:23">
      <c r="B57" s="620"/>
      <c r="C57" s="626" t="s">
        <v>168</v>
      </c>
      <c r="D57" s="627" t="s">
        <v>169</v>
      </c>
      <c r="E57" s="628" t="s">
        <v>316</v>
      </c>
      <c r="F57" s="624">
        <v>0.06</v>
      </c>
      <c r="G57" s="571">
        <v>0.05</v>
      </c>
      <c r="H57" s="572">
        <f t="shared" si="36"/>
        <v>0.09</v>
      </c>
      <c r="I57" s="636">
        <f t="shared" si="37"/>
        <v>0.12</v>
      </c>
      <c r="J57" s="571">
        <v>0.05</v>
      </c>
      <c r="K57" s="572">
        <f t="shared" si="38"/>
        <v>0.09</v>
      </c>
      <c r="L57" s="636">
        <f t="shared" si="39"/>
        <v>0.12</v>
      </c>
      <c r="M57" s="665">
        <v>0.04</v>
      </c>
      <c r="N57" s="666">
        <f t="shared" si="40"/>
        <v>0.07</v>
      </c>
      <c r="O57" s="667">
        <f t="shared" si="41"/>
        <v>0.1</v>
      </c>
      <c r="P57" s="668">
        <f t="shared" si="42"/>
        <v>0.1</v>
      </c>
      <c r="Q57" s="668"/>
      <c r="R57" s="668">
        <f t="shared" si="43"/>
        <v>0.1</v>
      </c>
      <c r="S57" s="668"/>
      <c r="T57" s="668">
        <f t="shared" si="44"/>
        <v>0.2</v>
      </c>
      <c r="U57" s="668">
        <f t="shared" si="45"/>
        <v>0.2</v>
      </c>
      <c r="V57" s="322" t="str">
        <f>IFERROR(IF(VLOOKUP(D57,期货合约要素!$D:$Q,12,0)=0,"",VLOOKUP(D57,期货合约要素!$D:$Q,12,0)),IF(VLOOKUP(D57,期权合约要素!$D:$V,17,0)=0,"",VLOOKUP(D57,期权合约要素!$D:$V,17,0)))</f>
        <v/>
      </c>
      <c r="W57" s="323" t="str">
        <f>IFERROR(IF(VLOOKUP(D57,期货合约要素!$D:$Q,14,0)=0,"",VLOOKUP(D57,期货合约要素!$D:$Q,14,0)),IF(VLOOKUP(D57,期权合约要素!$D:$V,19,0)=0,"",VLOOKUP(D57,期权合约要素!$D:$V,19,0)))</f>
        <v/>
      </c>
    </row>
    <row r="58" s="548" customFormat="1" ht="30" customHeight="1" spans="2:23">
      <c r="B58" s="620"/>
      <c r="C58" s="626" t="s">
        <v>170</v>
      </c>
      <c r="D58" s="627" t="s">
        <v>171</v>
      </c>
      <c r="E58" s="628" t="s">
        <v>309</v>
      </c>
      <c r="F58" s="624">
        <v>0.06</v>
      </c>
      <c r="G58" s="571">
        <v>0.06</v>
      </c>
      <c r="H58" s="572">
        <f t="shared" si="36"/>
        <v>0.1</v>
      </c>
      <c r="I58" s="636">
        <f t="shared" si="37"/>
        <v>0.13</v>
      </c>
      <c r="J58" s="571">
        <v>0.06</v>
      </c>
      <c r="K58" s="572">
        <f t="shared" si="38"/>
        <v>0.1</v>
      </c>
      <c r="L58" s="636">
        <f t="shared" si="39"/>
        <v>0.13</v>
      </c>
      <c r="M58" s="665">
        <v>0.05</v>
      </c>
      <c r="N58" s="666">
        <f t="shared" si="40"/>
        <v>0.08</v>
      </c>
      <c r="O58" s="667">
        <f t="shared" si="41"/>
        <v>0.11</v>
      </c>
      <c r="P58" s="669">
        <f t="shared" si="42"/>
        <v>0.1</v>
      </c>
      <c r="Q58" s="669"/>
      <c r="R58" s="669">
        <f t="shared" si="43"/>
        <v>0.1</v>
      </c>
      <c r="S58" s="669"/>
      <c r="T58" s="669">
        <f t="shared" si="44"/>
        <v>0.2</v>
      </c>
      <c r="U58" s="669">
        <f t="shared" si="45"/>
        <v>0.2</v>
      </c>
      <c r="V58" s="324" t="str">
        <f>IFERROR(IF(VLOOKUP(D58,期货合约要素!$D:$Q,12,0)=0,"",VLOOKUP(D58,期货合约要素!$D:$Q,12,0)),IF(VLOOKUP(D58,期权合约要素!$D:$V,17,0)=0,"",VLOOKUP(D58,期权合约要素!$D:$V,17,0)))</f>
        <v>√</v>
      </c>
      <c r="W58" s="327" t="str">
        <f>IFERROR(IF(VLOOKUP(D58,期货合约要素!$D:$Q,14,0)=0,"",VLOOKUP(D58,期货合约要素!$D:$Q,14,0)),IF(VLOOKUP(D58,期权合约要素!$D:$V,19,0)=0,"",VLOOKUP(D58,期权合约要素!$D:$V,19,0)))</f>
        <v/>
      </c>
    </row>
    <row r="59" s="548" customFormat="1" ht="30" customHeight="1" spans="2:23">
      <c r="B59" s="620"/>
      <c r="C59" s="626" t="s">
        <v>178</v>
      </c>
      <c r="D59" s="627" t="s">
        <v>179</v>
      </c>
      <c r="E59" s="628" t="s">
        <v>316</v>
      </c>
      <c r="F59" s="624">
        <v>0.1</v>
      </c>
      <c r="G59" s="571">
        <v>0.07</v>
      </c>
      <c r="H59" s="572">
        <f t="shared" si="36"/>
        <v>0.11</v>
      </c>
      <c r="I59" s="636">
        <f t="shared" si="37"/>
        <v>0.14</v>
      </c>
      <c r="J59" s="571">
        <v>0.07</v>
      </c>
      <c r="K59" s="572">
        <f t="shared" si="38"/>
        <v>0.11</v>
      </c>
      <c r="L59" s="636">
        <f t="shared" si="39"/>
        <v>0.14</v>
      </c>
      <c r="M59" s="637">
        <v>0.06</v>
      </c>
      <c r="N59" s="638">
        <f t="shared" si="40"/>
        <v>0.09</v>
      </c>
      <c r="O59" s="639">
        <f t="shared" si="41"/>
        <v>0.12</v>
      </c>
      <c r="P59" s="669">
        <f t="shared" si="42"/>
        <v>0.1</v>
      </c>
      <c r="Q59" s="669"/>
      <c r="R59" s="669">
        <f t="shared" si="43"/>
        <v>0.1</v>
      </c>
      <c r="S59" s="669"/>
      <c r="T59" s="669">
        <f t="shared" si="44"/>
        <v>0.2</v>
      </c>
      <c r="U59" s="669">
        <f t="shared" si="45"/>
        <v>0.2</v>
      </c>
      <c r="V59" s="324" t="str">
        <f>IFERROR(IF(VLOOKUP(D59,期货合约要素!$D:$Q,12,0)=0,"",VLOOKUP(D59,期货合约要素!$D:$Q,12,0)),IF(VLOOKUP(D59,期权合约要素!$D:$V,17,0)=0,"",VLOOKUP(D59,期权合约要素!$D:$V,17,0)))</f>
        <v>√</v>
      </c>
      <c r="W59" s="327" t="str">
        <f>IFERROR(IF(VLOOKUP(D59,期货合约要素!$D:$Q,14,0)=0,"",VLOOKUP(D59,期货合约要素!$D:$Q,14,0)),IF(VLOOKUP(D59,期权合约要素!$D:$V,19,0)=0,"",VLOOKUP(D59,期权合约要素!$D:$V,19,0)))</f>
        <v>√</v>
      </c>
    </row>
    <row r="60" s="548" customFormat="1" ht="30" spans="2:23">
      <c r="B60" s="620"/>
      <c r="C60" s="626" t="s">
        <v>738</v>
      </c>
      <c r="D60" s="627"/>
      <c r="E60" s="628"/>
      <c r="F60" s="624"/>
      <c r="G60" s="571">
        <v>0.13</v>
      </c>
      <c r="H60" s="572">
        <f t="shared" si="36"/>
        <v>0.16</v>
      </c>
      <c r="I60" s="636">
        <f t="shared" si="37"/>
        <v>0.19</v>
      </c>
      <c r="J60" s="571">
        <v>0.13</v>
      </c>
      <c r="K60" s="572">
        <f t="shared" si="38"/>
        <v>0.16</v>
      </c>
      <c r="L60" s="636">
        <f t="shared" si="39"/>
        <v>0.19</v>
      </c>
      <c r="M60" s="637">
        <v>0.11</v>
      </c>
      <c r="N60" s="638">
        <f t="shared" si="40"/>
        <v>0.14</v>
      </c>
      <c r="O60" s="639">
        <f t="shared" si="41"/>
        <v>0.17</v>
      </c>
      <c r="P60" s="669">
        <f t="shared" si="42"/>
        <v>0.13</v>
      </c>
      <c r="Q60" s="669"/>
      <c r="R60" s="669">
        <f t="shared" si="43"/>
        <v>0.13</v>
      </c>
      <c r="S60" s="669"/>
      <c r="T60" s="669">
        <f t="shared" si="44"/>
        <v>0.2</v>
      </c>
      <c r="U60" s="669">
        <f t="shared" si="45"/>
        <v>0.2</v>
      </c>
      <c r="V60" s="324"/>
      <c r="W60" s="327"/>
    </row>
    <row r="61" s="548" customFormat="1" ht="30" spans="2:23">
      <c r="B61" s="620"/>
      <c r="C61" s="626" t="s">
        <v>739</v>
      </c>
      <c r="D61" s="627"/>
      <c r="E61" s="628"/>
      <c r="F61" s="624"/>
      <c r="G61" s="571">
        <v>0.1</v>
      </c>
      <c r="H61" s="572">
        <f t="shared" si="36"/>
        <v>0.14</v>
      </c>
      <c r="I61" s="636">
        <f t="shared" si="37"/>
        <v>0.17</v>
      </c>
      <c r="J61" s="571">
        <v>0.1</v>
      </c>
      <c r="K61" s="572">
        <f t="shared" si="38"/>
        <v>0.14</v>
      </c>
      <c r="L61" s="636">
        <f t="shared" si="39"/>
        <v>0.17</v>
      </c>
      <c r="M61" s="637">
        <v>0.09</v>
      </c>
      <c r="N61" s="638">
        <f t="shared" si="40"/>
        <v>0.12</v>
      </c>
      <c r="O61" s="639">
        <f t="shared" si="41"/>
        <v>0.15</v>
      </c>
      <c r="P61" s="669">
        <f t="shared" si="42"/>
        <v>0.1</v>
      </c>
      <c r="Q61" s="669"/>
      <c r="R61" s="669">
        <f t="shared" si="43"/>
        <v>0.1</v>
      </c>
      <c r="S61" s="669"/>
      <c r="T61" s="669">
        <f t="shared" si="44"/>
        <v>0.2</v>
      </c>
      <c r="U61" s="669">
        <f t="shared" si="45"/>
        <v>0.2</v>
      </c>
      <c r="V61" s="324"/>
      <c r="W61" s="327"/>
    </row>
    <row r="62" s="548" customFormat="1" ht="30" customHeight="1" spans="2:23">
      <c r="B62" s="620"/>
      <c r="C62" s="626" t="s">
        <v>180</v>
      </c>
      <c r="D62" s="627" t="s">
        <v>181</v>
      </c>
      <c r="E62" s="628" t="s">
        <v>316</v>
      </c>
      <c r="F62" s="624">
        <v>0.1</v>
      </c>
      <c r="G62" s="571">
        <v>0.07</v>
      </c>
      <c r="H62" s="572">
        <f t="shared" si="36"/>
        <v>0.11</v>
      </c>
      <c r="I62" s="636">
        <f t="shared" si="37"/>
        <v>0.14</v>
      </c>
      <c r="J62" s="571">
        <v>0.07</v>
      </c>
      <c r="K62" s="572">
        <f t="shared" si="38"/>
        <v>0.11</v>
      </c>
      <c r="L62" s="636">
        <f t="shared" si="39"/>
        <v>0.14</v>
      </c>
      <c r="M62" s="637">
        <v>0.06</v>
      </c>
      <c r="N62" s="638">
        <f t="shared" si="40"/>
        <v>0.09</v>
      </c>
      <c r="O62" s="639">
        <f t="shared" si="41"/>
        <v>0.12</v>
      </c>
      <c r="P62" s="669">
        <f t="shared" si="42"/>
        <v>0.1</v>
      </c>
      <c r="Q62" s="669"/>
      <c r="R62" s="669">
        <f t="shared" si="43"/>
        <v>0.1</v>
      </c>
      <c r="S62" s="669"/>
      <c r="T62" s="669">
        <f t="shared" si="44"/>
        <v>0.2</v>
      </c>
      <c r="U62" s="669">
        <f t="shared" si="45"/>
        <v>0.2</v>
      </c>
      <c r="V62" s="324" t="str">
        <f>IFERROR(IF(VLOOKUP(D62,期货合约要素!$D:$Q,12,0)=0,"",VLOOKUP(D62,期货合约要素!$D:$Q,12,0)),IF(VLOOKUP(D62,期权合约要素!$D:$V,17,0)=0,"",VLOOKUP(D62,期权合约要素!$D:$V,17,0)))</f>
        <v>√</v>
      </c>
      <c r="W62" s="327" t="str">
        <f>IFERROR(IF(VLOOKUP(D62,期货合约要素!$D:$Q,14,0)=0,"",VLOOKUP(D62,期货合约要素!$D:$Q,14,0)),IF(VLOOKUP(D62,期权合约要素!$D:$V,19,0)=0,"",VLOOKUP(D62,期权合约要素!$D:$V,19,0)))</f>
        <v>√</v>
      </c>
    </row>
    <row r="63" s="548" customFormat="1" ht="30" spans="2:23">
      <c r="B63" s="620"/>
      <c r="C63" s="626" t="s">
        <v>740</v>
      </c>
      <c r="D63" s="627"/>
      <c r="E63" s="628"/>
      <c r="F63" s="624"/>
      <c r="G63" s="571">
        <v>0.13</v>
      </c>
      <c r="H63" s="572">
        <f t="shared" si="36"/>
        <v>0.16</v>
      </c>
      <c r="I63" s="636">
        <f t="shared" si="37"/>
        <v>0.19</v>
      </c>
      <c r="J63" s="571">
        <v>0.13</v>
      </c>
      <c r="K63" s="572">
        <f t="shared" si="38"/>
        <v>0.16</v>
      </c>
      <c r="L63" s="636">
        <f t="shared" si="39"/>
        <v>0.19</v>
      </c>
      <c r="M63" s="637">
        <v>0.11</v>
      </c>
      <c r="N63" s="638">
        <f t="shared" si="40"/>
        <v>0.14</v>
      </c>
      <c r="O63" s="639">
        <f t="shared" si="41"/>
        <v>0.17</v>
      </c>
      <c r="P63" s="669">
        <f t="shared" si="42"/>
        <v>0.13</v>
      </c>
      <c r="Q63" s="669"/>
      <c r="R63" s="669">
        <f t="shared" si="43"/>
        <v>0.13</v>
      </c>
      <c r="S63" s="669"/>
      <c r="T63" s="669">
        <f t="shared" si="44"/>
        <v>0.2</v>
      </c>
      <c r="U63" s="669">
        <f t="shared" si="45"/>
        <v>0.2</v>
      </c>
      <c r="V63" s="324"/>
      <c r="W63" s="327"/>
    </row>
    <row r="64" s="549" customFormat="1" ht="30" spans="2:23">
      <c r="B64" s="629"/>
      <c r="C64" s="626" t="s">
        <v>741</v>
      </c>
      <c r="D64" s="627"/>
      <c r="E64" s="628"/>
      <c r="F64" s="624"/>
      <c r="G64" s="571">
        <v>0.1</v>
      </c>
      <c r="H64" s="572">
        <f t="shared" si="36"/>
        <v>0.14</v>
      </c>
      <c r="I64" s="636">
        <f t="shared" si="37"/>
        <v>0.17</v>
      </c>
      <c r="J64" s="571">
        <v>0.1</v>
      </c>
      <c r="K64" s="572">
        <f t="shared" si="38"/>
        <v>0.14</v>
      </c>
      <c r="L64" s="636">
        <f t="shared" si="39"/>
        <v>0.17</v>
      </c>
      <c r="M64" s="637">
        <v>0.09</v>
      </c>
      <c r="N64" s="638">
        <f t="shared" si="40"/>
        <v>0.12</v>
      </c>
      <c r="O64" s="639">
        <f t="shared" si="41"/>
        <v>0.15</v>
      </c>
      <c r="P64" s="669">
        <f t="shared" si="42"/>
        <v>0.1</v>
      </c>
      <c r="Q64" s="669"/>
      <c r="R64" s="669">
        <f t="shared" si="43"/>
        <v>0.1</v>
      </c>
      <c r="S64" s="669"/>
      <c r="T64" s="669">
        <f t="shared" si="44"/>
        <v>0.2</v>
      </c>
      <c r="U64" s="669">
        <f t="shared" si="45"/>
        <v>0.2</v>
      </c>
      <c r="V64" s="324"/>
      <c r="W64" s="327"/>
    </row>
    <row r="65" s="549" customFormat="1" ht="30" customHeight="1" spans="2:23">
      <c r="B65" s="629"/>
      <c r="C65" s="626" t="s">
        <v>172</v>
      </c>
      <c r="D65" s="627" t="s">
        <v>173</v>
      </c>
      <c r="E65" s="628" t="s">
        <v>329</v>
      </c>
      <c r="F65" s="624">
        <v>0.08</v>
      </c>
      <c r="G65" s="571">
        <v>0.09</v>
      </c>
      <c r="H65" s="572">
        <f t="shared" si="36"/>
        <v>0.13</v>
      </c>
      <c r="I65" s="636">
        <f t="shared" si="37"/>
        <v>0.16</v>
      </c>
      <c r="J65" s="571">
        <v>0.09</v>
      </c>
      <c r="K65" s="572">
        <f t="shared" si="38"/>
        <v>0.13</v>
      </c>
      <c r="L65" s="636">
        <f t="shared" si="39"/>
        <v>0.16</v>
      </c>
      <c r="M65" s="637">
        <v>0.08</v>
      </c>
      <c r="N65" s="638">
        <f t="shared" si="40"/>
        <v>0.11</v>
      </c>
      <c r="O65" s="639">
        <f t="shared" si="41"/>
        <v>0.14</v>
      </c>
      <c r="P65" s="669">
        <f t="shared" si="42"/>
        <v>0.1</v>
      </c>
      <c r="Q65" s="669"/>
      <c r="R65" s="669">
        <f t="shared" si="43"/>
        <v>0.1</v>
      </c>
      <c r="S65" s="669"/>
      <c r="T65" s="669">
        <f t="shared" si="44"/>
        <v>0.2</v>
      </c>
      <c r="U65" s="669">
        <f t="shared" si="45"/>
        <v>0.2</v>
      </c>
      <c r="V65" s="324" t="str">
        <f>IFERROR(IF(VLOOKUP(D65,期货合约要素!$D:$Q,12,0)=0,"",VLOOKUP(D65,期货合约要素!$D:$Q,12,0)),IF(VLOOKUP(D65,期权合约要素!$D:$V,17,0)=0,"",VLOOKUP(D65,期权合约要素!$D:$V,17,0)))</f>
        <v>√</v>
      </c>
      <c r="W65" s="327" t="str">
        <f>IFERROR(IF(VLOOKUP(D65,期货合约要素!$D:$Q,14,0)=0,"",VLOOKUP(D65,期货合约要素!$D:$Q,14,0)),IF(VLOOKUP(D65,期权合约要素!$D:$V,19,0)=0,"",VLOOKUP(D65,期权合约要素!$D:$V,19,0)))</f>
        <v/>
      </c>
    </row>
    <row r="66" s="548" customFormat="1" ht="30" customHeight="1" spans="2:23">
      <c r="B66" s="620"/>
      <c r="C66" s="626" t="s">
        <v>176</v>
      </c>
      <c r="D66" s="627" t="s">
        <v>177</v>
      </c>
      <c r="E66" s="628" t="s">
        <v>309</v>
      </c>
      <c r="F66" s="624">
        <v>0.09</v>
      </c>
      <c r="G66" s="571">
        <v>0.07</v>
      </c>
      <c r="H66" s="572">
        <f t="shared" ref="H66:H71" si="46">MAX(G66,N66+2%)</f>
        <v>0.11</v>
      </c>
      <c r="I66" s="636">
        <f t="shared" ref="I66:I71" si="47">MAX(G66,O66+2%)</f>
        <v>0.14</v>
      </c>
      <c r="J66" s="571">
        <v>0.07</v>
      </c>
      <c r="K66" s="572">
        <f t="shared" ref="K66:K71" si="48">MAX(J66,N66+2%)</f>
        <v>0.11</v>
      </c>
      <c r="L66" s="636">
        <f t="shared" ref="L66:L71" si="49">MAX(J66,O66+2%)</f>
        <v>0.14</v>
      </c>
      <c r="M66" s="637">
        <v>0.06</v>
      </c>
      <c r="N66" s="638">
        <f t="shared" ref="N66:N71" si="50">M66+3%</f>
        <v>0.09</v>
      </c>
      <c r="O66" s="639">
        <f t="shared" ref="O66:O71" si="51">N66+3%</f>
        <v>0.12</v>
      </c>
      <c r="P66" s="669">
        <f t="shared" ref="P66:P71" si="52">MAX(G66,10%)</f>
        <v>0.1</v>
      </c>
      <c r="Q66" s="669"/>
      <c r="R66" s="669">
        <f t="shared" ref="R66:R71" si="53">MAX(J66,10%)</f>
        <v>0.1</v>
      </c>
      <c r="S66" s="669"/>
      <c r="T66" s="669">
        <f t="shared" ref="T66:T71" si="54">MAX(20%,G66)</f>
        <v>0.2</v>
      </c>
      <c r="U66" s="669">
        <f t="shared" ref="U66:U71" si="55">MAX(J66,20%)</f>
        <v>0.2</v>
      </c>
      <c r="V66" s="324" t="str">
        <f>IFERROR(IF(VLOOKUP(D66,期货合约要素!$D:$Q,12,0)=0,"",VLOOKUP(D66,期货合约要素!$D:$Q,12,0)),IF(VLOOKUP(D66,期权合约要素!$D:$V,17,0)=0,"",VLOOKUP(D66,期权合约要素!$D:$V,17,0)))</f>
        <v>√</v>
      </c>
      <c r="W66" s="327" t="str">
        <f>IFERROR(IF(VLOOKUP(D66,期货合约要素!$D:$Q,14,0)=0,"",VLOOKUP(D66,期货合约要素!$D:$Q,14,0)),IF(VLOOKUP(D66,期权合约要素!$D:$V,19,0)=0,"",VLOOKUP(D66,期权合约要素!$D:$V,19,0)))</f>
        <v/>
      </c>
    </row>
    <row r="67" s="548" customFormat="1" ht="30" customHeight="1" spans="2:23">
      <c r="B67" s="620"/>
      <c r="C67" s="626" t="s">
        <v>742</v>
      </c>
      <c r="D67" s="627"/>
      <c r="E67" s="628"/>
      <c r="F67" s="624"/>
      <c r="G67" s="571">
        <v>0.13</v>
      </c>
      <c r="H67" s="572">
        <f t="shared" si="46"/>
        <v>0.16</v>
      </c>
      <c r="I67" s="636">
        <f t="shared" si="47"/>
        <v>0.19</v>
      </c>
      <c r="J67" s="571">
        <v>0.13</v>
      </c>
      <c r="K67" s="572">
        <f t="shared" si="48"/>
        <v>0.16</v>
      </c>
      <c r="L67" s="636">
        <f t="shared" si="49"/>
        <v>0.19</v>
      </c>
      <c r="M67" s="637">
        <v>0.11</v>
      </c>
      <c r="N67" s="638">
        <f t="shared" si="50"/>
        <v>0.14</v>
      </c>
      <c r="O67" s="639">
        <f t="shared" si="51"/>
        <v>0.17</v>
      </c>
      <c r="P67" s="669">
        <f t="shared" si="52"/>
        <v>0.13</v>
      </c>
      <c r="Q67" s="669"/>
      <c r="R67" s="669">
        <f t="shared" si="53"/>
        <v>0.13</v>
      </c>
      <c r="S67" s="669"/>
      <c r="T67" s="669">
        <f t="shared" si="54"/>
        <v>0.2</v>
      </c>
      <c r="U67" s="669">
        <f t="shared" si="55"/>
        <v>0.2</v>
      </c>
      <c r="V67" s="324"/>
      <c r="W67" s="327"/>
    </row>
    <row r="68" s="549" customFormat="1" ht="30" spans="2:23">
      <c r="B68" s="629"/>
      <c r="C68" s="626" t="s">
        <v>743</v>
      </c>
      <c r="D68" s="627"/>
      <c r="E68" s="628"/>
      <c r="F68" s="624"/>
      <c r="G68" s="571">
        <v>0.1</v>
      </c>
      <c r="H68" s="572">
        <f t="shared" si="46"/>
        <v>0.14</v>
      </c>
      <c r="I68" s="636">
        <f t="shared" si="47"/>
        <v>0.17</v>
      </c>
      <c r="J68" s="571">
        <v>0.1</v>
      </c>
      <c r="K68" s="572">
        <f t="shared" si="48"/>
        <v>0.14</v>
      </c>
      <c r="L68" s="636">
        <f t="shared" si="49"/>
        <v>0.17</v>
      </c>
      <c r="M68" s="637">
        <v>0.09</v>
      </c>
      <c r="N68" s="638">
        <f t="shared" si="50"/>
        <v>0.12</v>
      </c>
      <c r="O68" s="639">
        <f t="shared" si="51"/>
        <v>0.15</v>
      </c>
      <c r="P68" s="669">
        <f t="shared" si="52"/>
        <v>0.1</v>
      </c>
      <c r="Q68" s="669"/>
      <c r="R68" s="669">
        <f t="shared" si="53"/>
        <v>0.1</v>
      </c>
      <c r="S68" s="669"/>
      <c r="T68" s="669">
        <f t="shared" si="54"/>
        <v>0.2</v>
      </c>
      <c r="U68" s="669">
        <f t="shared" si="55"/>
        <v>0.2</v>
      </c>
      <c r="V68" s="324"/>
      <c r="W68" s="327"/>
    </row>
    <row r="69" s="549" customFormat="1" ht="30" customHeight="1" spans="2:23">
      <c r="B69" s="629"/>
      <c r="C69" s="626" t="s">
        <v>174</v>
      </c>
      <c r="D69" s="627" t="s">
        <v>175</v>
      </c>
      <c r="E69" s="12" t="s">
        <v>329</v>
      </c>
      <c r="F69" s="624">
        <v>0.06</v>
      </c>
      <c r="G69" s="571">
        <v>0.08</v>
      </c>
      <c r="H69" s="572">
        <f t="shared" si="46"/>
        <v>0.12</v>
      </c>
      <c r="I69" s="636">
        <f t="shared" si="47"/>
        <v>0.15</v>
      </c>
      <c r="J69" s="571">
        <v>0.08</v>
      </c>
      <c r="K69" s="572">
        <f t="shared" si="48"/>
        <v>0.12</v>
      </c>
      <c r="L69" s="636">
        <f t="shared" si="49"/>
        <v>0.15</v>
      </c>
      <c r="M69" s="637">
        <v>0.07</v>
      </c>
      <c r="N69" s="638">
        <f t="shared" si="50"/>
        <v>0.1</v>
      </c>
      <c r="O69" s="639">
        <f t="shared" si="51"/>
        <v>0.13</v>
      </c>
      <c r="P69" s="669">
        <f t="shared" si="52"/>
        <v>0.1</v>
      </c>
      <c r="Q69" s="669"/>
      <c r="R69" s="669">
        <f t="shared" si="53"/>
        <v>0.1</v>
      </c>
      <c r="S69" s="669"/>
      <c r="T69" s="669">
        <f t="shared" si="54"/>
        <v>0.2</v>
      </c>
      <c r="U69" s="669">
        <f t="shared" si="55"/>
        <v>0.2</v>
      </c>
      <c r="V69" s="324" t="str">
        <f>IFERROR(IF(VLOOKUP(D69,期货合约要素!$D:$Q,12,0)=0,"",VLOOKUP(D69,期货合约要素!$D:$Q,12,0)),IF(VLOOKUP(D69,期权合约要素!$D:$V,17,0)=0,"",VLOOKUP(D69,期权合约要素!$D:$V,17,0)))</f>
        <v>√</v>
      </c>
      <c r="W69" s="327" t="str">
        <f>IFERROR(IF(VLOOKUP(D69,期货合约要素!$D:$Q,14,0)=0,"",VLOOKUP(D69,期货合约要素!$D:$Q,14,0)),IF(VLOOKUP(D69,期权合约要素!$D:$V,19,0)=0,"",VLOOKUP(D69,期权合约要素!$D:$V,19,0)))</f>
        <v/>
      </c>
    </row>
    <row r="70" s="548" customFormat="1" ht="30" customHeight="1" spans="2:23">
      <c r="B70" s="620"/>
      <c r="C70" s="626" t="s">
        <v>184</v>
      </c>
      <c r="D70" s="627" t="s">
        <v>185</v>
      </c>
      <c r="E70" s="623" t="s">
        <v>309</v>
      </c>
      <c r="F70" s="624">
        <v>0.07</v>
      </c>
      <c r="G70" s="571">
        <v>0.07</v>
      </c>
      <c r="H70" s="572">
        <f t="shared" si="46"/>
        <v>0.11</v>
      </c>
      <c r="I70" s="636">
        <f t="shared" si="47"/>
        <v>0.14</v>
      </c>
      <c r="J70" s="571">
        <v>0.07</v>
      </c>
      <c r="K70" s="572">
        <f t="shared" si="48"/>
        <v>0.11</v>
      </c>
      <c r="L70" s="636">
        <f t="shared" si="49"/>
        <v>0.14</v>
      </c>
      <c r="M70" s="637">
        <v>0.06</v>
      </c>
      <c r="N70" s="638">
        <f t="shared" si="50"/>
        <v>0.09</v>
      </c>
      <c r="O70" s="639">
        <f t="shared" si="51"/>
        <v>0.12</v>
      </c>
      <c r="P70" s="669">
        <f t="shared" si="52"/>
        <v>0.1</v>
      </c>
      <c r="Q70" s="669"/>
      <c r="R70" s="669">
        <f t="shared" si="53"/>
        <v>0.1</v>
      </c>
      <c r="S70" s="669"/>
      <c r="T70" s="669">
        <f t="shared" si="54"/>
        <v>0.2</v>
      </c>
      <c r="U70" s="669">
        <f t="shared" si="55"/>
        <v>0.2</v>
      </c>
      <c r="V70" s="324" t="str">
        <f>IFERROR(IF(VLOOKUP(D70,期货合约要素!$D:$Q,12,0)=0,"",VLOOKUP(D70,期货合约要素!$D:$Q,12,0)),IF(VLOOKUP(D70,期权合约要素!$D:$V,17,0)=0,"",VLOOKUP(D70,期权合约要素!$D:$V,17,0)))</f>
        <v>√</v>
      </c>
      <c r="W70" s="327" t="str">
        <f>IFERROR(IF(VLOOKUP(D70,期货合约要素!$D:$Q,14,0)=0,"",VLOOKUP(D70,期货合约要素!$D:$Q,14,0)),IF(VLOOKUP(D70,期权合约要素!$D:$V,19,0)=0,"",VLOOKUP(D70,期权合约要素!$D:$V,19,0)))</f>
        <v>√</v>
      </c>
    </row>
    <row r="71" s="548" customFormat="1" ht="30" customHeight="1" spans="2:23">
      <c r="B71" s="620"/>
      <c r="C71" s="626" t="s">
        <v>385</v>
      </c>
      <c r="D71" s="627" t="s">
        <v>183</v>
      </c>
      <c r="E71" s="628" t="s">
        <v>309</v>
      </c>
      <c r="F71" s="624">
        <v>0.08</v>
      </c>
      <c r="G71" s="571">
        <v>0.07</v>
      </c>
      <c r="H71" s="572">
        <f t="shared" si="46"/>
        <v>0.11</v>
      </c>
      <c r="I71" s="636">
        <f t="shared" si="47"/>
        <v>0.14</v>
      </c>
      <c r="J71" s="571">
        <v>0.07</v>
      </c>
      <c r="K71" s="572">
        <f t="shared" si="48"/>
        <v>0.11</v>
      </c>
      <c r="L71" s="636">
        <f t="shared" si="49"/>
        <v>0.14</v>
      </c>
      <c r="M71" s="637">
        <v>0.06</v>
      </c>
      <c r="N71" s="638">
        <f t="shared" si="50"/>
        <v>0.09</v>
      </c>
      <c r="O71" s="639">
        <f t="shared" si="51"/>
        <v>0.12</v>
      </c>
      <c r="P71" s="669">
        <f t="shared" si="52"/>
        <v>0.1</v>
      </c>
      <c r="Q71" s="669"/>
      <c r="R71" s="669">
        <f t="shared" si="53"/>
        <v>0.1</v>
      </c>
      <c r="S71" s="669"/>
      <c r="T71" s="669">
        <f t="shared" si="54"/>
        <v>0.2</v>
      </c>
      <c r="U71" s="669">
        <f t="shared" si="55"/>
        <v>0.2</v>
      </c>
      <c r="V71" s="324" t="str">
        <f>IFERROR(IF(VLOOKUP(D71,期货合约要素!$D:$Q,12,0)=0,"",VLOOKUP(D71,期货合约要素!$D:$Q,12,0)),IF(VLOOKUP(D71,期权合约要素!$D:$V,17,0)=0,"",VLOOKUP(D71,期权合约要素!$D:$V,17,0)))</f>
        <v>√</v>
      </c>
      <c r="W71" s="327" t="str">
        <f>IFERROR(IF(VLOOKUP(D71,期货合约要素!$D:$Q,14,0)=0,"",VLOOKUP(D71,期货合约要素!$D:$Q,14,0)),IF(VLOOKUP(D71,期权合约要素!$D:$V,19,0)=0,"",VLOOKUP(D71,期权合约要素!$D:$V,19,0)))</f>
        <v>√</v>
      </c>
    </row>
    <row r="72" s="548" customFormat="1" ht="30" customHeight="1" spans="2:23">
      <c r="B72" s="620"/>
      <c r="C72" s="626" t="s">
        <v>192</v>
      </c>
      <c r="D72" s="627" t="s">
        <v>193</v>
      </c>
      <c r="E72" s="628" t="s">
        <v>365</v>
      </c>
      <c r="F72" s="624">
        <v>0.5</v>
      </c>
      <c r="G72" s="571">
        <v>0.5</v>
      </c>
      <c r="H72" s="572">
        <f t="shared" ref="H72:H87" si="56">MAX(G72,N72+2%)</f>
        <v>0.5</v>
      </c>
      <c r="I72" s="636">
        <f t="shared" ref="I72:I87" si="57">MAX(G72,O72+2%)</f>
        <v>0.5</v>
      </c>
      <c r="J72" s="571">
        <v>0.5</v>
      </c>
      <c r="K72" s="572">
        <f t="shared" ref="K72:K87" si="58">MAX(J72,N72+2%)</f>
        <v>0.5</v>
      </c>
      <c r="L72" s="636">
        <f t="shared" ref="L72:L87" si="59">MAX(J72,O72+2%)</f>
        <v>0.5</v>
      </c>
      <c r="M72" s="665">
        <v>0.1</v>
      </c>
      <c r="N72" s="666">
        <f t="shared" ref="N72:N79" si="60">M72+3%</f>
        <v>0.13</v>
      </c>
      <c r="O72" s="667">
        <f t="shared" ref="O72:O79" si="61">N72+3%</f>
        <v>0.16</v>
      </c>
      <c r="P72" s="669">
        <f t="shared" ref="P72:P87" si="62">MAX(G72,10%)</f>
        <v>0.5</v>
      </c>
      <c r="Q72" s="669"/>
      <c r="R72" s="669">
        <f t="shared" ref="R72:R87" si="63">MAX(J72,10%)</f>
        <v>0.5</v>
      </c>
      <c r="S72" s="669"/>
      <c r="T72" s="669">
        <f t="shared" ref="T72:T87" si="64">MAX(20%,G72)</f>
        <v>0.5</v>
      </c>
      <c r="U72" s="669">
        <f t="shared" ref="U72:U87" si="65">MAX(J72,20%)</f>
        <v>0.5</v>
      </c>
      <c r="V72" s="324" t="str">
        <f>IFERROR(IF(VLOOKUP(D72,期货合约要素!$D:$Q,12,0)=0,"",VLOOKUP(D72,期货合约要素!$D:$Q,12,0)),IF(VLOOKUP(D72,期权合约要素!$D:$V,17,0)=0,"",VLOOKUP(D72,期权合约要素!$D:$V,17,0)))</f>
        <v/>
      </c>
      <c r="W72" s="327" t="str">
        <f>IFERROR(IF(VLOOKUP(D72,期货合约要素!$D:$Q,14,0)=0,"",VLOOKUP(D72,期货合约要素!$D:$Q,14,0)),IF(VLOOKUP(D72,期权合约要素!$D:$V,19,0)=0,"",VLOOKUP(D72,期权合约要素!$D:$V,19,0)))</f>
        <v/>
      </c>
    </row>
    <row r="73" s="548" customFormat="1" ht="30" customHeight="1" spans="2:23">
      <c r="B73" s="620"/>
      <c r="C73" s="626" t="s">
        <v>210</v>
      </c>
      <c r="D73" s="627" t="s">
        <v>211</v>
      </c>
      <c r="E73" s="628" t="s">
        <v>329</v>
      </c>
      <c r="F73" s="624">
        <v>0.45</v>
      </c>
      <c r="G73" s="571">
        <v>0.15</v>
      </c>
      <c r="H73" s="572">
        <f t="shared" si="56"/>
        <v>0.15</v>
      </c>
      <c r="I73" s="636">
        <f t="shared" si="57"/>
        <v>0.15</v>
      </c>
      <c r="J73" s="571">
        <v>0.15</v>
      </c>
      <c r="K73" s="572">
        <f t="shared" si="58"/>
        <v>0.15</v>
      </c>
      <c r="L73" s="636">
        <f t="shared" si="59"/>
        <v>0.15</v>
      </c>
      <c r="M73" s="665">
        <v>0.07</v>
      </c>
      <c r="N73" s="666">
        <f t="shared" si="60"/>
        <v>0.1</v>
      </c>
      <c r="O73" s="667">
        <f t="shared" si="61"/>
        <v>0.13</v>
      </c>
      <c r="P73" s="669">
        <f t="shared" si="62"/>
        <v>0.15</v>
      </c>
      <c r="Q73" s="669"/>
      <c r="R73" s="669">
        <f t="shared" si="63"/>
        <v>0.15</v>
      </c>
      <c r="S73" s="669"/>
      <c r="T73" s="669">
        <f t="shared" si="64"/>
        <v>0.2</v>
      </c>
      <c r="U73" s="669">
        <f t="shared" si="65"/>
        <v>0.2</v>
      </c>
      <c r="V73" s="324" t="str">
        <f>IFERROR(IF(VLOOKUP(D73,期货合约要素!$D:$Q,12,0)=0,"",VLOOKUP(D73,期货合约要素!$D:$Q,12,0)),IF(VLOOKUP(D73,期权合约要素!$D:$V,17,0)=0,"",VLOOKUP(D73,期权合约要素!$D:$V,17,0)))</f>
        <v/>
      </c>
      <c r="W73" s="327" t="str">
        <f>IFERROR(IF(VLOOKUP(D73,期货合约要素!$D:$Q,14,0)=0,"",VLOOKUP(D73,期货合约要素!$D:$Q,14,0)),IF(VLOOKUP(D73,期权合约要素!$D:$V,19,0)=0,"",VLOOKUP(D73,期权合约要素!$D:$V,19,0)))</f>
        <v/>
      </c>
    </row>
    <row r="74" s="548" customFormat="1" ht="30" customHeight="1" spans="2:23">
      <c r="B74" s="620"/>
      <c r="C74" s="626" t="s">
        <v>198</v>
      </c>
      <c r="D74" s="627" t="s">
        <v>199</v>
      </c>
      <c r="E74" s="628" t="s">
        <v>390</v>
      </c>
      <c r="F74" s="624">
        <v>0.45</v>
      </c>
      <c r="G74" s="571">
        <v>0.15</v>
      </c>
      <c r="H74" s="572">
        <f t="shared" si="56"/>
        <v>0.15</v>
      </c>
      <c r="I74" s="636">
        <f t="shared" si="57"/>
        <v>0.15</v>
      </c>
      <c r="J74" s="571">
        <v>0.15</v>
      </c>
      <c r="K74" s="572">
        <f t="shared" si="58"/>
        <v>0.15</v>
      </c>
      <c r="L74" s="636">
        <f t="shared" si="59"/>
        <v>0.15</v>
      </c>
      <c r="M74" s="665">
        <v>0.07</v>
      </c>
      <c r="N74" s="666">
        <f t="shared" si="60"/>
        <v>0.1</v>
      </c>
      <c r="O74" s="667">
        <f t="shared" si="61"/>
        <v>0.13</v>
      </c>
      <c r="P74" s="668">
        <f t="shared" si="62"/>
        <v>0.15</v>
      </c>
      <c r="Q74" s="668"/>
      <c r="R74" s="668">
        <f t="shared" si="63"/>
        <v>0.15</v>
      </c>
      <c r="S74" s="668"/>
      <c r="T74" s="668">
        <f t="shared" si="64"/>
        <v>0.2</v>
      </c>
      <c r="U74" s="668">
        <f t="shared" si="65"/>
        <v>0.2</v>
      </c>
      <c r="V74" s="322" t="str">
        <f>IFERROR(IF(VLOOKUP(D74,期货合约要素!$D:$Q,12,0)=0,"",VLOOKUP(D74,期货合约要素!$D:$Q,12,0)),IF(VLOOKUP(D74,期权合约要素!$D:$V,17,0)=0,"",VLOOKUP(D74,期权合约要素!$D:$V,17,0)))</f>
        <v/>
      </c>
      <c r="W74" s="323" t="str">
        <f>IFERROR(IF(VLOOKUP(D74,期货合约要素!$D:$Q,14,0)=0,"",VLOOKUP(D74,期货合约要素!$D:$Q,14,0)),IF(VLOOKUP(D74,期权合约要素!$D:$V,19,0)=0,"",VLOOKUP(D74,期权合约要素!$D:$V,19,0)))</f>
        <v/>
      </c>
    </row>
    <row r="75" s="548" customFormat="1" ht="30" customHeight="1" spans="2:23">
      <c r="B75" s="620"/>
      <c r="C75" s="626" t="s">
        <v>218</v>
      </c>
      <c r="D75" s="627" t="s">
        <v>219</v>
      </c>
      <c r="E75" s="628" t="s">
        <v>329</v>
      </c>
      <c r="F75" s="676">
        <v>0.45</v>
      </c>
      <c r="G75" s="571">
        <v>0.15</v>
      </c>
      <c r="H75" s="572">
        <f t="shared" si="56"/>
        <v>0.15</v>
      </c>
      <c r="I75" s="636">
        <f t="shared" si="57"/>
        <v>0.15</v>
      </c>
      <c r="J75" s="571">
        <v>0.15</v>
      </c>
      <c r="K75" s="572">
        <f t="shared" si="58"/>
        <v>0.15</v>
      </c>
      <c r="L75" s="636">
        <f t="shared" si="59"/>
        <v>0.15</v>
      </c>
      <c r="M75" s="665">
        <v>0.07</v>
      </c>
      <c r="N75" s="666">
        <f t="shared" si="60"/>
        <v>0.1</v>
      </c>
      <c r="O75" s="667">
        <f t="shared" si="61"/>
        <v>0.13</v>
      </c>
      <c r="P75" s="669">
        <f t="shared" si="62"/>
        <v>0.15</v>
      </c>
      <c r="Q75" s="669"/>
      <c r="R75" s="669">
        <f t="shared" si="63"/>
        <v>0.15</v>
      </c>
      <c r="S75" s="669"/>
      <c r="T75" s="669">
        <f t="shared" si="64"/>
        <v>0.2</v>
      </c>
      <c r="U75" s="669">
        <f t="shared" si="65"/>
        <v>0.2</v>
      </c>
      <c r="V75" s="322" t="str">
        <f>IFERROR(IF(VLOOKUP(D75,期货合约要素!$D:$Q,12,0)=0,"",VLOOKUP(D75,期货合约要素!$D:$Q,12,0)),IF(VLOOKUP(D75,期权合约要素!$D:$V,17,0)=0,"",VLOOKUP(D75,期权合约要素!$D:$V,17,0)))</f>
        <v/>
      </c>
      <c r="W75" s="323" t="str">
        <f>IFERROR(IF(VLOOKUP(D75,期货合约要素!$D:$Q,14,0)=0,"",VLOOKUP(D75,期货合约要素!$D:$Q,14,0)),IF(VLOOKUP(D75,期权合约要素!$D:$V,19,0)=0,"",VLOOKUP(D75,期权合约要素!$D:$V,19,0)))</f>
        <v/>
      </c>
    </row>
    <row r="76" s="548" customFormat="1" ht="30" customHeight="1" spans="2:23">
      <c r="B76" s="620"/>
      <c r="C76" s="626" t="s">
        <v>216</v>
      </c>
      <c r="D76" s="627" t="s">
        <v>217</v>
      </c>
      <c r="E76" s="628" t="s">
        <v>329</v>
      </c>
      <c r="F76" s="676">
        <v>0.45</v>
      </c>
      <c r="G76" s="571">
        <v>0.15</v>
      </c>
      <c r="H76" s="572">
        <f t="shared" si="56"/>
        <v>0.15</v>
      </c>
      <c r="I76" s="636">
        <f t="shared" si="57"/>
        <v>0.15</v>
      </c>
      <c r="J76" s="571">
        <v>0.15</v>
      </c>
      <c r="K76" s="572">
        <f t="shared" si="58"/>
        <v>0.15</v>
      </c>
      <c r="L76" s="636">
        <f t="shared" si="59"/>
        <v>0.15</v>
      </c>
      <c r="M76" s="665">
        <v>0.07</v>
      </c>
      <c r="N76" s="666">
        <f t="shared" si="60"/>
        <v>0.1</v>
      </c>
      <c r="O76" s="667">
        <f t="shared" si="61"/>
        <v>0.13</v>
      </c>
      <c r="P76" s="669">
        <f t="shared" si="62"/>
        <v>0.15</v>
      </c>
      <c r="Q76" s="669"/>
      <c r="R76" s="669">
        <f t="shared" si="63"/>
        <v>0.15</v>
      </c>
      <c r="S76" s="669"/>
      <c r="T76" s="669">
        <f t="shared" si="64"/>
        <v>0.2</v>
      </c>
      <c r="U76" s="669">
        <f t="shared" si="65"/>
        <v>0.2</v>
      </c>
      <c r="V76" s="322" t="str">
        <f>IFERROR(IF(VLOOKUP(D76,期货合约要素!$D:$Q,12,0)=0,"",VLOOKUP(D76,期货合约要素!$D:$Q,12,0)),IF(VLOOKUP(D76,期权合约要素!$D:$V,17,0)=0,"",VLOOKUP(D76,期权合约要素!$D:$V,17,0)))</f>
        <v/>
      </c>
      <c r="W76" s="323" t="str">
        <f>IFERROR(IF(VLOOKUP(D76,期货合约要素!$D:$Q,14,0)=0,"",VLOOKUP(D76,期货合约要素!$D:$Q,14,0)),IF(VLOOKUP(D76,期权合约要素!$D:$V,19,0)=0,"",VLOOKUP(D76,期权合约要素!$D:$V,19,0)))</f>
        <v/>
      </c>
    </row>
    <row r="77" s="548" customFormat="1" ht="30" customHeight="1" spans="2:23">
      <c r="B77" s="620"/>
      <c r="C77" s="626" t="s">
        <v>200</v>
      </c>
      <c r="D77" s="627" t="s">
        <v>201</v>
      </c>
      <c r="E77" s="628" t="s">
        <v>329</v>
      </c>
      <c r="F77" s="676">
        <v>0.45</v>
      </c>
      <c r="G77" s="571">
        <v>0.15</v>
      </c>
      <c r="H77" s="572">
        <f t="shared" si="56"/>
        <v>0.15</v>
      </c>
      <c r="I77" s="636">
        <f t="shared" si="57"/>
        <v>0.15</v>
      </c>
      <c r="J77" s="571">
        <v>0.15</v>
      </c>
      <c r="K77" s="572">
        <f t="shared" si="58"/>
        <v>0.15</v>
      </c>
      <c r="L77" s="636">
        <f t="shared" si="59"/>
        <v>0.15</v>
      </c>
      <c r="M77" s="665">
        <v>0.07</v>
      </c>
      <c r="N77" s="666">
        <f t="shared" si="60"/>
        <v>0.1</v>
      </c>
      <c r="O77" s="667">
        <f t="shared" si="61"/>
        <v>0.13</v>
      </c>
      <c r="P77" s="669">
        <f t="shared" si="62"/>
        <v>0.15</v>
      </c>
      <c r="Q77" s="669"/>
      <c r="R77" s="669">
        <f t="shared" si="63"/>
        <v>0.15</v>
      </c>
      <c r="S77" s="669"/>
      <c r="T77" s="669">
        <f t="shared" si="64"/>
        <v>0.2</v>
      </c>
      <c r="U77" s="669">
        <f t="shared" si="65"/>
        <v>0.2</v>
      </c>
      <c r="V77" s="322" t="str">
        <f>IFERROR(IF(VLOOKUP(D77,期货合约要素!$D:$Q,12,0)=0,"",VLOOKUP(D77,期货合约要素!$D:$Q,12,0)),IF(VLOOKUP(D77,期权合约要素!$D:$V,17,0)=0,"",VLOOKUP(D77,期权合约要素!$D:$V,17,0)))</f>
        <v/>
      </c>
      <c r="W77" s="323" t="str">
        <f>IFERROR(IF(VLOOKUP(D77,期货合约要素!$D:$Q,14,0)=0,"",VLOOKUP(D77,期货合约要素!$D:$Q,14,0)),IF(VLOOKUP(D77,期权合约要素!$D:$V,19,0)=0,"",VLOOKUP(D77,期权合约要素!$D:$V,19,0)))</f>
        <v/>
      </c>
    </row>
    <row r="78" s="548" customFormat="1" ht="30" customHeight="1" spans="2:23">
      <c r="B78" s="620"/>
      <c r="C78" s="621" t="s">
        <v>204</v>
      </c>
      <c r="D78" s="622" t="s">
        <v>205</v>
      </c>
      <c r="E78" s="623" t="s">
        <v>309</v>
      </c>
      <c r="F78" s="676">
        <v>0.07</v>
      </c>
      <c r="G78" s="571">
        <v>0.09</v>
      </c>
      <c r="H78" s="572">
        <f t="shared" si="56"/>
        <v>0.13</v>
      </c>
      <c r="I78" s="636">
        <f t="shared" si="57"/>
        <v>0.16</v>
      </c>
      <c r="J78" s="571">
        <v>0.09</v>
      </c>
      <c r="K78" s="572">
        <f t="shared" si="58"/>
        <v>0.13</v>
      </c>
      <c r="L78" s="636">
        <f t="shared" si="59"/>
        <v>0.16</v>
      </c>
      <c r="M78" s="665">
        <v>0.08</v>
      </c>
      <c r="N78" s="666">
        <f t="shared" si="60"/>
        <v>0.11</v>
      </c>
      <c r="O78" s="667">
        <f t="shared" si="61"/>
        <v>0.14</v>
      </c>
      <c r="P78" s="669">
        <f t="shared" si="62"/>
        <v>0.1</v>
      </c>
      <c r="Q78" s="669"/>
      <c r="R78" s="669">
        <f t="shared" si="63"/>
        <v>0.1</v>
      </c>
      <c r="S78" s="669"/>
      <c r="T78" s="669">
        <f t="shared" si="64"/>
        <v>0.2</v>
      </c>
      <c r="U78" s="669">
        <f t="shared" si="65"/>
        <v>0.2</v>
      </c>
      <c r="V78" s="322" t="str">
        <f>IFERROR(IF(VLOOKUP(D78,期货合约要素!$D:$Q,12,0)=0,"",VLOOKUP(D78,期货合约要素!$D:$Q,12,0)),IF(VLOOKUP(D78,期权合约要素!$D:$V,17,0)=0,"",VLOOKUP(D78,期权合约要素!$D:$V,17,0)))</f>
        <v/>
      </c>
      <c r="W78" s="323" t="str">
        <f>IFERROR(IF(VLOOKUP(D78,期货合约要素!$D:$Q,14,0)=0,"",VLOOKUP(D78,期货合约要素!$D:$Q,14,0)),IF(VLOOKUP(D78,期权合约要素!$D:$V,19,0)=0,"",VLOOKUP(D78,期权合约要素!$D:$V,19,0)))</f>
        <v/>
      </c>
    </row>
    <row r="79" s="548" customFormat="1" ht="30" customHeight="1" spans="2:23">
      <c r="B79" s="620"/>
      <c r="C79" s="621" t="s">
        <v>212</v>
      </c>
      <c r="D79" s="622" t="s">
        <v>213</v>
      </c>
      <c r="E79" s="623" t="s">
        <v>329</v>
      </c>
      <c r="F79" s="676">
        <v>0.07</v>
      </c>
      <c r="G79" s="571">
        <v>0.08</v>
      </c>
      <c r="H79" s="572">
        <f t="shared" si="56"/>
        <v>0.12</v>
      </c>
      <c r="I79" s="636">
        <f t="shared" si="57"/>
        <v>0.15</v>
      </c>
      <c r="J79" s="571">
        <v>0.08</v>
      </c>
      <c r="K79" s="572">
        <f t="shared" si="58"/>
        <v>0.12</v>
      </c>
      <c r="L79" s="636">
        <f t="shared" si="59"/>
        <v>0.15</v>
      </c>
      <c r="M79" s="665">
        <v>0.07</v>
      </c>
      <c r="N79" s="666">
        <f t="shared" si="60"/>
        <v>0.1</v>
      </c>
      <c r="O79" s="667">
        <f t="shared" si="61"/>
        <v>0.13</v>
      </c>
      <c r="P79" s="669">
        <f t="shared" si="62"/>
        <v>0.1</v>
      </c>
      <c r="Q79" s="669"/>
      <c r="R79" s="669">
        <f t="shared" si="63"/>
        <v>0.1</v>
      </c>
      <c r="S79" s="669"/>
      <c r="T79" s="669">
        <f t="shared" si="64"/>
        <v>0.2</v>
      </c>
      <c r="U79" s="669">
        <f t="shared" si="65"/>
        <v>0.2</v>
      </c>
      <c r="V79" s="322" t="str">
        <f>IFERROR(IF(VLOOKUP(D79,期货合约要素!$D:$Q,12,0)=0,"",VLOOKUP(D79,期货合约要素!$D:$Q,12,0)),IF(VLOOKUP(D79,期权合约要素!$D:$V,17,0)=0,"",VLOOKUP(D79,期权合约要素!$D:$V,17,0)))</f>
        <v/>
      </c>
      <c r="W79" s="323" t="str">
        <f>IFERROR(IF(VLOOKUP(D79,期货合约要素!$D:$Q,14,0)=0,"",VLOOKUP(D79,期货合约要素!$D:$Q,14,0)),IF(VLOOKUP(D79,期权合约要素!$D:$V,19,0)=0,"",VLOOKUP(D79,期权合约要素!$D:$V,19,0)))</f>
        <v/>
      </c>
    </row>
    <row r="80" s="548" customFormat="1" ht="30" customHeight="1" spans="2:23">
      <c r="B80" s="620"/>
      <c r="C80" s="626" t="s">
        <v>214</v>
      </c>
      <c r="D80" s="627" t="s">
        <v>215</v>
      </c>
      <c r="E80" s="628" t="s">
        <v>316</v>
      </c>
      <c r="F80" s="676">
        <v>0.05</v>
      </c>
      <c r="G80" s="571">
        <v>0.07</v>
      </c>
      <c r="H80" s="572">
        <f t="shared" si="56"/>
        <v>0.11</v>
      </c>
      <c r="I80" s="636">
        <f t="shared" si="57"/>
        <v>0.14</v>
      </c>
      <c r="J80" s="571">
        <v>0.07</v>
      </c>
      <c r="K80" s="572">
        <f t="shared" si="58"/>
        <v>0.11</v>
      </c>
      <c r="L80" s="636">
        <f t="shared" si="59"/>
        <v>0.14</v>
      </c>
      <c r="M80" s="665">
        <v>0.06</v>
      </c>
      <c r="N80" s="666">
        <f t="shared" ref="N80:O82" si="66">M80+3%</f>
        <v>0.09</v>
      </c>
      <c r="O80" s="667">
        <f t="shared" si="66"/>
        <v>0.12</v>
      </c>
      <c r="P80" s="668">
        <f t="shared" si="62"/>
        <v>0.1</v>
      </c>
      <c r="Q80" s="668"/>
      <c r="R80" s="668">
        <f t="shared" si="63"/>
        <v>0.1</v>
      </c>
      <c r="S80" s="668"/>
      <c r="T80" s="668">
        <f t="shared" si="64"/>
        <v>0.2</v>
      </c>
      <c r="U80" s="668">
        <f t="shared" si="65"/>
        <v>0.2</v>
      </c>
      <c r="V80" s="322" t="str">
        <f>IFERROR(IF(VLOOKUP(D80,期货合约要素!$D:$Q,12,0)=0,"",VLOOKUP(D80,期货合约要素!$D:$Q,12,0)),IF(VLOOKUP(D80,期权合约要素!$D:$V,17,0)=0,"",VLOOKUP(D80,期权合约要素!$D:$V,17,0)))</f>
        <v>√</v>
      </c>
      <c r="W80" s="323" t="str">
        <f>IFERROR(IF(VLOOKUP(D80,期货合约要素!$D:$Q,14,0)=0,"",VLOOKUP(D80,期货合约要素!$D:$Q,14,0)),IF(VLOOKUP(D80,期权合约要素!$D:$V,19,0)=0,"",VLOOKUP(D80,期权合约要素!$D:$V,19,0)))</f>
        <v>√</v>
      </c>
    </row>
    <row r="81" s="548" customFormat="1" ht="30" customHeight="1" spans="2:23">
      <c r="B81" s="620"/>
      <c r="C81" s="626" t="s">
        <v>206</v>
      </c>
      <c r="D81" s="627" t="s">
        <v>207</v>
      </c>
      <c r="E81" s="628" t="s">
        <v>309</v>
      </c>
      <c r="F81" s="676">
        <v>0.4</v>
      </c>
      <c r="G81" s="571">
        <v>0.2</v>
      </c>
      <c r="H81" s="572">
        <f t="shared" si="56"/>
        <v>0.2</v>
      </c>
      <c r="I81" s="636">
        <f t="shared" si="57"/>
        <v>0.2</v>
      </c>
      <c r="J81" s="571">
        <v>0.2</v>
      </c>
      <c r="K81" s="572">
        <f t="shared" si="58"/>
        <v>0.2</v>
      </c>
      <c r="L81" s="636">
        <f t="shared" si="59"/>
        <v>0.2</v>
      </c>
      <c r="M81" s="637">
        <v>0.1</v>
      </c>
      <c r="N81" s="638">
        <f t="shared" si="66"/>
        <v>0.13</v>
      </c>
      <c r="O81" s="639">
        <f t="shared" si="66"/>
        <v>0.16</v>
      </c>
      <c r="P81" s="668">
        <f t="shared" si="62"/>
        <v>0.2</v>
      </c>
      <c r="Q81" s="668"/>
      <c r="R81" s="668">
        <f t="shared" si="63"/>
        <v>0.2</v>
      </c>
      <c r="S81" s="668"/>
      <c r="T81" s="668">
        <f t="shared" si="64"/>
        <v>0.2</v>
      </c>
      <c r="U81" s="668">
        <f t="shared" si="65"/>
        <v>0.2</v>
      </c>
      <c r="V81" s="322" t="str">
        <f>IFERROR(IF(VLOOKUP(D81,期货合约要素!$D:$Q,12,0)=0,"",VLOOKUP(D81,期货合约要素!$D:$Q,12,0)),IF(VLOOKUP(D81,期权合约要素!$D:$V,17,0)=0,"",VLOOKUP(D81,期权合约要素!$D:$V,17,0)))</f>
        <v/>
      </c>
      <c r="W81" s="323" t="str">
        <f>IFERROR(IF(VLOOKUP(D81,期货合约要素!$D:$Q,14,0)=0,"",VLOOKUP(D81,期货合约要素!$D:$Q,14,0)),IF(VLOOKUP(D81,期权合约要素!$D:$V,19,0)=0,"",VLOOKUP(D81,期权合约要素!$D:$V,19,0)))</f>
        <v/>
      </c>
    </row>
    <row r="82" s="548" customFormat="1" ht="30" customHeight="1" spans="2:23">
      <c r="B82" s="620"/>
      <c r="C82" s="626" t="s">
        <v>196</v>
      </c>
      <c r="D82" s="627" t="s">
        <v>197</v>
      </c>
      <c r="E82" s="628" t="s">
        <v>316</v>
      </c>
      <c r="F82" s="676">
        <v>0.08</v>
      </c>
      <c r="G82" s="571">
        <v>0.07</v>
      </c>
      <c r="H82" s="572">
        <f t="shared" si="56"/>
        <v>0.11</v>
      </c>
      <c r="I82" s="636">
        <f t="shared" si="57"/>
        <v>0.14</v>
      </c>
      <c r="J82" s="571">
        <v>0.07</v>
      </c>
      <c r="K82" s="572">
        <f t="shared" si="58"/>
        <v>0.11</v>
      </c>
      <c r="L82" s="636">
        <f t="shared" si="59"/>
        <v>0.14</v>
      </c>
      <c r="M82" s="637">
        <v>0.06</v>
      </c>
      <c r="N82" s="638">
        <f t="shared" ref="N82:N87" si="67">M82+3%</f>
        <v>0.09</v>
      </c>
      <c r="O82" s="639">
        <f t="shared" si="66"/>
        <v>0.12</v>
      </c>
      <c r="P82" s="669">
        <f t="shared" si="62"/>
        <v>0.1</v>
      </c>
      <c r="Q82" s="669"/>
      <c r="R82" s="669">
        <f t="shared" si="63"/>
        <v>0.1</v>
      </c>
      <c r="S82" s="669"/>
      <c r="T82" s="668">
        <f t="shared" si="64"/>
        <v>0.2</v>
      </c>
      <c r="U82" s="668">
        <f t="shared" si="65"/>
        <v>0.2</v>
      </c>
      <c r="V82" s="322" t="str">
        <f>IFERROR(IF(VLOOKUP(D82,期货合约要素!$D:$Q,12,0)=0,"",VLOOKUP(D82,期货合约要素!$D:$Q,12,0)),IF(VLOOKUP(D82,期权合约要素!$D:$V,17,0)=0,"",VLOOKUP(D82,期权合约要素!$D:$V,17,0)))</f>
        <v>√</v>
      </c>
      <c r="W82" s="323" t="str">
        <f>IFERROR(IF(VLOOKUP(D82,期货合约要素!$D:$Q,14,0)=0,"",VLOOKUP(D82,期货合约要素!$D:$Q,14,0)),IF(VLOOKUP(D82,期权合约要素!$D:$V,19,0)=0,"",VLOOKUP(D82,期权合约要素!$D:$V,19,0)))</f>
        <v/>
      </c>
    </row>
    <row r="83" s="548" customFormat="1" ht="30" customHeight="1" spans="2:23">
      <c r="B83" s="620"/>
      <c r="C83" s="626" t="s">
        <v>202</v>
      </c>
      <c r="D83" s="627" t="s">
        <v>203</v>
      </c>
      <c r="E83" s="628" t="s">
        <v>316</v>
      </c>
      <c r="F83" s="676">
        <v>0.07</v>
      </c>
      <c r="G83" s="571">
        <v>0.07</v>
      </c>
      <c r="H83" s="572">
        <f t="shared" si="56"/>
        <v>0.11</v>
      </c>
      <c r="I83" s="636">
        <f t="shared" si="57"/>
        <v>0.14</v>
      </c>
      <c r="J83" s="571">
        <v>0.07</v>
      </c>
      <c r="K83" s="572">
        <f t="shared" si="58"/>
        <v>0.11</v>
      </c>
      <c r="L83" s="636">
        <f t="shared" si="59"/>
        <v>0.14</v>
      </c>
      <c r="M83" s="637">
        <v>0.06</v>
      </c>
      <c r="N83" s="638">
        <f t="shared" si="67"/>
        <v>0.09</v>
      </c>
      <c r="O83" s="639">
        <f t="shared" ref="O83:O87" si="68">N83+3%</f>
        <v>0.12</v>
      </c>
      <c r="P83" s="668">
        <f t="shared" si="62"/>
        <v>0.1</v>
      </c>
      <c r="Q83" s="668"/>
      <c r="R83" s="668">
        <f t="shared" si="63"/>
        <v>0.1</v>
      </c>
      <c r="S83" s="668"/>
      <c r="T83" s="668">
        <f t="shared" si="64"/>
        <v>0.2</v>
      </c>
      <c r="U83" s="668">
        <f t="shared" si="65"/>
        <v>0.2</v>
      </c>
      <c r="V83" s="322" t="str">
        <f>IFERROR(IF(VLOOKUP(D83,期货合约要素!$D:$Q,12,0)=0,"",VLOOKUP(D83,期货合约要素!$D:$Q,12,0)),IF(VLOOKUP(D83,期权合约要素!$D:$V,17,0)=0,"",VLOOKUP(D83,期权合约要素!$D:$V,17,0)))</f>
        <v>√</v>
      </c>
      <c r="W83" s="323" t="str">
        <f>IFERROR(IF(VLOOKUP(D83,期货合约要素!$D:$Q,14,0)=0,"",VLOOKUP(D83,期货合约要素!$D:$Q,14,0)),IF(VLOOKUP(D83,期权合约要素!$D:$V,19,0)=0,"",VLOOKUP(D83,期权合约要素!$D:$V,19,0)))</f>
        <v/>
      </c>
    </row>
    <row r="84" s="548" customFormat="1" ht="30" customHeight="1" spans="2:23">
      <c r="B84" s="620"/>
      <c r="C84" s="626" t="s">
        <v>188</v>
      </c>
      <c r="D84" s="627" t="s">
        <v>189</v>
      </c>
      <c r="E84" s="628" t="s">
        <v>378</v>
      </c>
      <c r="F84" s="676">
        <v>0.08</v>
      </c>
      <c r="G84" s="571">
        <v>0.08</v>
      </c>
      <c r="H84" s="572">
        <f t="shared" si="56"/>
        <v>0.12</v>
      </c>
      <c r="I84" s="636">
        <f t="shared" si="57"/>
        <v>0.15</v>
      </c>
      <c r="J84" s="571">
        <v>0.08</v>
      </c>
      <c r="K84" s="572">
        <f t="shared" si="58"/>
        <v>0.12</v>
      </c>
      <c r="L84" s="636">
        <f t="shared" si="59"/>
        <v>0.15</v>
      </c>
      <c r="M84" s="637">
        <v>0.07</v>
      </c>
      <c r="N84" s="638">
        <f t="shared" si="67"/>
        <v>0.1</v>
      </c>
      <c r="O84" s="639">
        <f t="shared" si="68"/>
        <v>0.13</v>
      </c>
      <c r="P84" s="669">
        <f t="shared" si="62"/>
        <v>0.1</v>
      </c>
      <c r="Q84" s="669"/>
      <c r="R84" s="669">
        <f t="shared" si="63"/>
        <v>0.1</v>
      </c>
      <c r="S84" s="669"/>
      <c r="T84" s="669">
        <f t="shared" si="64"/>
        <v>0.2</v>
      </c>
      <c r="U84" s="669">
        <f t="shared" si="65"/>
        <v>0.2</v>
      </c>
      <c r="V84" s="324" t="str">
        <f>IFERROR(IF(VLOOKUP(D84,期货合约要素!$D:$Q,12,0)=0,"",VLOOKUP(D84,期货合约要素!$D:$Q,12,0)),IF(VLOOKUP(D84,期权合约要素!$D:$V,17,0)=0,"",VLOOKUP(D84,期权合约要素!$D:$V,17,0)))</f>
        <v/>
      </c>
      <c r="W84" s="323" t="str">
        <f>IFERROR(IF(VLOOKUP(D84,期货合约要素!$D:$Q,14,0)=0,"",VLOOKUP(D84,期货合约要素!$D:$Q,14,0)),IF(VLOOKUP(D84,期权合约要素!$D:$V,19,0)=0,"",VLOOKUP(D84,期权合约要素!$D:$V,19,0)))</f>
        <v/>
      </c>
    </row>
    <row r="85" s="548" customFormat="1" ht="30" spans="2:23">
      <c r="B85" s="620"/>
      <c r="C85" s="626" t="s">
        <v>744</v>
      </c>
      <c r="D85" s="627"/>
      <c r="E85" s="628"/>
      <c r="F85" s="676"/>
      <c r="G85" s="571">
        <v>0.12</v>
      </c>
      <c r="H85" s="572">
        <f t="shared" si="56"/>
        <v>0.15</v>
      </c>
      <c r="I85" s="636">
        <f t="shared" si="57"/>
        <v>0.18</v>
      </c>
      <c r="J85" s="571">
        <v>0.12</v>
      </c>
      <c r="K85" s="572">
        <f t="shared" si="58"/>
        <v>0.15</v>
      </c>
      <c r="L85" s="636">
        <f t="shared" si="59"/>
        <v>0.18</v>
      </c>
      <c r="M85" s="637">
        <v>0.1</v>
      </c>
      <c r="N85" s="638">
        <f t="shared" si="67"/>
        <v>0.13</v>
      </c>
      <c r="O85" s="639">
        <f t="shared" si="68"/>
        <v>0.16</v>
      </c>
      <c r="P85" s="669">
        <f t="shared" si="62"/>
        <v>0.12</v>
      </c>
      <c r="Q85" s="669"/>
      <c r="R85" s="669">
        <f t="shared" si="63"/>
        <v>0.12</v>
      </c>
      <c r="S85" s="669"/>
      <c r="T85" s="669">
        <f t="shared" si="64"/>
        <v>0.2</v>
      </c>
      <c r="U85" s="669">
        <f t="shared" si="65"/>
        <v>0.2</v>
      </c>
      <c r="V85" s="324"/>
      <c r="W85" s="323"/>
    </row>
    <row r="86" s="548" customFormat="1" ht="30" customHeight="1" spans="2:23">
      <c r="B86" s="620"/>
      <c r="C86" s="626" t="s">
        <v>190</v>
      </c>
      <c r="D86" s="627" t="s">
        <v>191</v>
      </c>
      <c r="E86" s="628" t="s">
        <v>395</v>
      </c>
      <c r="F86" s="676">
        <v>0.09</v>
      </c>
      <c r="G86" s="571">
        <v>0.07</v>
      </c>
      <c r="H86" s="572">
        <f t="shared" si="56"/>
        <v>0.11</v>
      </c>
      <c r="I86" s="636">
        <f t="shared" si="57"/>
        <v>0.14</v>
      </c>
      <c r="J86" s="571">
        <v>0.07</v>
      </c>
      <c r="K86" s="572">
        <f t="shared" si="58"/>
        <v>0.11</v>
      </c>
      <c r="L86" s="636">
        <f t="shared" si="59"/>
        <v>0.14</v>
      </c>
      <c r="M86" s="637">
        <v>0.06</v>
      </c>
      <c r="N86" s="638">
        <f t="shared" si="67"/>
        <v>0.09</v>
      </c>
      <c r="O86" s="639">
        <f t="shared" si="68"/>
        <v>0.12</v>
      </c>
      <c r="P86" s="669">
        <f t="shared" si="62"/>
        <v>0.1</v>
      </c>
      <c r="Q86" s="669"/>
      <c r="R86" s="669">
        <f t="shared" si="63"/>
        <v>0.1</v>
      </c>
      <c r="S86" s="669"/>
      <c r="T86" s="669">
        <f t="shared" si="64"/>
        <v>0.2</v>
      </c>
      <c r="U86" s="669">
        <f t="shared" si="65"/>
        <v>0.2</v>
      </c>
      <c r="V86" s="324" t="str">
        <f>IFERROR(IF(VLOOKUP(D86,期货合约要素!$D:$Q,12,0)=0,"",VLOOKUP(D86,期货合约要素!$D:$Q,12,0)),IF(VLOOKUP(D86,期权合约要素!$D:$V,17,0)=0,"",VLOOKUP(D86,期权合约要素!$D:$V,17,0)))</f>
        <v>√</v>
      </c>
      <c r="W86" s="323" t="str">
        <f>IFERROR(IF(VLOOKUP(D86,期货合约要素!$D:$Q,14,0)=0,"",VLOOKUP(D86,期货合约要素!$D:$Q,14,0)),IF(VLOOKUP(D86,期权合约要素!$D:$V,19,0)=0,"",VLOOKUP(D86,期权合约要素!$D:$V,19,0)))</f>
        <v>√</v>
      </c>
    </row>
    <row r="87" s="548" customFormat="1" ht="30" spans="2:23">
      <c r="B87" s="620"/>
      <c r="C87" s="626" t="s">
        <v>745</v>
      </c>
      <c r="D87" s="627"/>
      <c r="E87" s="628"/>
      <c r="F87" s="676"/>
      <c r="G87" s="571">
        <v>0.13</v>
      </c>
      <c r="H87" s="572">
        <f t="shared" si="56"/>
        <v>0.16</v>
      </c>
      <c r="I87" s="636">
        <f t="shared" si="57"/>
        <v>0.19</v>
      </c>
      <c r="J87" s="571">
        <v>0.13</v>
      </c>
      <c r="K87" s="572">
        <f t="shared" si="58"/>
        <v>0.16</v>
      </c>
      <c r="L87" s="636">
        <f t="shared" si="59"/>
        <v>0.19</v>
      </c>
      <c r="M87" s="637">
        <v>0.11</v>
      </c>
      <c r="N87" s="638">
        <f t="shared" si="67"/>
        <v>0.14</v>
      </c>
      <c r="O87" s="639">
        <f t="shared" si="68"/>
        <v>0.17</v>
      </c>
      <c r="P87" s="669">
        <f t="shared" si="62"/>
        <v>0.13</v>
      </c>
      <c r="Q87" s="669"/>
      <c r="R87" s="669">
        <f t="shared" si="63"/>
        <v>0.13</v>
      </c>
      <c r="S87" s="669"/>
      <c r="T87" s="669">
        <f t="shared" si="64"/>
        <v>0.2</v>
      </c>
      <c r="U87" s="669">
        <f t="shared" si="65"/>
        <v>0.2</v>
      </c>
      <c r="V87" s="324"/>
      <c r="W87" s="323"/>
    </row>
    <row r="88" s="549" customFormat="1" ht="30" spans="2:23">
      <c r="B88" s="620"/>
      <c r="C88" s="626" t="s">
        <v>746</v>
      </c>
      <c r="D88" s="627"/>
      <c r="E88" s="628"/>
      <c r="F88" s="676"/>
      <c r="G88" s="571">
        <v>0.1</v>
      </c>
      <c r="H88" s="572">
        <f t="shared" ref="H88:H92" si="69">MAX(G88,N88+2%)</f>
        <v>0.14</v>
      </c>
      <c r="I88" s="636">
        <f t="shared" ref="I88:I92" si="70">MAX(G88,O88+2%)</f>
        <v>0.17</v>
      </c>
      <c r="J88" s="571">
        <v>0.1</v>
      </c>
      <c r="K88" s="572">
        <f t="shared" ref="K88:K92" si="71">MAX(J88,N88+2%)</f>
        <v>0.14</v>
      </c>
      <c r="L88" s="636">
        <f t="shared" ref="L88:L92" si="72">MAX(J88,O88+2%)</f>
        <v>0.17</v>
      </c>
      <c r="M88" s="637">
        <v>0.09</v>
      </c>
      <c r="N88" s="638">
        <f t="shared" ref="N88:N92" si="73">M88+3%</f>
        <v>0.12</v>
      </c>
      <c r="O88" s="639">
        <f t="shared" ref="O88:O92" si="74">N88+3%</f>
        <v>0.15</v>
      </c>
      <c r="P88" s="669">
        <f t="shared" ref="P88:P91" si="75">MAX(G88,10%)</f>
        <v>0.1</v>
      </c>
      <c r="Q88" s="669"/>
      <c r="R88" s="669">
        <f t="shared" ref="R88:R91" si="76">MAX(J88,10%)</f>
        <v>0.1</v>
      </c>
      <c r="S88" s="669"/>
      <c r="T88" s="669">
        <f t="shared" ref="T88:T91" si="77">MAX(20%,G88)</f>
        <v>0.2</v>
      </c>
      <c r="U88" s="669">
        <f t="shared" ref="U88:U91" si="78">MAX(J88,20%)</f>
        <v>0.2</v>
      </c>
      <c r="V88" s="324"/>
      <c r="W88" s="323"/>
    </row>
    <row r="89" s="549" customFormat="1" ht="30" customHeight="1" spans="2:23">
      <c r="B89" s="620"/>
      <c r="C89" s="626" t="s">
        <v>194</v>
      </c>
      <c r="D89" s="627" t="s">
        <v>195</v>
      </c>
      <c r="E89" s="628" t="s">
        <v>329</v>
      </c>
      <c r="F89" s="676">
        <v>0.09</v>
      </c>
      <c r="G89" s="571">
        <v>0.07</v>
      </c>
      <c r="H89" s="572">
        <f t="shared" si="69"/>
        <v>0.11</v>
      </c>
      <c r="I89" s="636">
        <f t="shared" si="70"/>
        <v>0.14</v>
      </c>
      <c r="J89" s="571">
        <v>0.07</v>
      </c>
      <c r="K89" s="572">
        <f t="shared" si="71"/>
        <v>0.11</v>
      </c>
      <c r="L89" s="636">
        <f t="shared" si="72"/>
        <v>0.14</v>
      </c>
      <c r="M89" s="637">
        <v>0.06</v>
      </c>
      <c r="N89" s="638">
        <f t="shared" si="73"/>
        <v>0.09</v>
      </c>
      <c r="O89" s="639">
        <f t="shared" si="74"/>
        <v>0.12</v>
      </c>
      <c r="P89" s="669">
        <f t="shared" si="75"/>
        <v>0.1</v>
      </c>
      <c r="Q89" s="669"/>
      <c r="R89" s="669">
        <f t="shared" si="76"/>
        <v>0.1</v>
      </c>
      <c r="S89" s="669"/>
      <c r="T89" s="669">
        <f t="shared" si="77"/>
        <v>0.2</v>
      </c>
      <c r="U89" s="669">
        <f t="shared" si="78"/>
        <v>0.2</v>
      </c>
      <c r="V89" s="324" t="str">
        <f>IFERROR(IF(VLOOKUP(D89,期货合约要素!$D:$Q,12,0)=0,"",VLOOKUP(D89,期货合约要素!$D:$Q,12,0)),IF(VLOOKUP(D89,期权合约要素!$D:$V,17,0)=0,"",VLOOKUP(D89,期权合约要素!$D:$V,17,0)))</f>
        <v/>
      </c>
      <c r="W89" s="323" t="str">
        <f>IFERROR(IF(VLOOKUP(D89,期货合约要素!$D:$Q,14,0)=0,"",VLOOKUP(D89,期货合约要素!$D:$Q,14,0)),IF(VLOOKUP(D89,期权合约要素!$D:$V,19,0)=0,"",VLOOKUP(D89,期权合约要素!$D:$V,19,0)))</f>
        <v/>
      </c>
    </row>
    <row r="90" s="549" customFormat="1" ht="30" spans="2:23">
      <c r="B90" s="620"/>
      <c r="C90" s="610" t="s">
        <v>747</v>
      </c>
      <c r="D90" s="627"/>
      <c r="E90" s="628"/>
      <c r="F90" s="676"/>
      <c r="G90" s="571">
        <v>0.11</v>
      </c>
      <c r="H90" s="572">
        <f t="shared" si="69"/>
        <v>0.14</v>
      </c>
      <c r="I90" s="636">
        <f t="shared" si="70"/>
        <v>0.17</v>
      </c>
      <c r="J90" s="571">
        <v>0.11</v>
      </c>
      <c r="K90" s="572">
        <f t="shared" si="71"/>
        <v>0.14</v>
      </c>
      <c r="L90" s="636">
        <f t="shared" si="72"/>
        <v>0.17</v>
      </c>
      <c r="M90" s="637">
        <v>0.09</v>
      </c>
      <c r="N90" s="638">
        <f t="shared" si="73"/>
        <v>0.12</v>
      </c>
      <c r="O90" s="639">
        <f t="shared" si="74"/>
        <v>0.15</v>
      </c>
      <c r="P90" s="669">
        <f t="shared" si="75"/>
        <v>0.11</v>
      </c>
      <c r="Q90" s="669"/>
      <c r="R90" s="669">
        <f t="shared" si="76"/>
        <v>0.11</v>
      </c>
      <c r="S90" s="669"/>
      <c r="T90" s="669">
        <f t="shared" si="77"/>
        <v>0.2</v>
      </c>
      <c r="U90" s="669">
        <f t="shared" si="78"/>
        <v>0.2</v>
      </c>
      <c r="V90" s="324"/>
      <c r="W90" s="323"/>
    </row>
    <row r="91" s="548" customFormat="1" ht="30" spans="2:23">
      <c r="B91" s="620"/>
      <c r="C91" s="610" t="s">
        <v>748</v>
      </c>
      <c r="D91" s="627"/>
      <c r="E91" s="628"/>
      <c r="F91" s="676"/>
      <c r="G91" s="571">
        <v>0.1</v>
      </c>
      <c r="H91" s="572">
        <f t="shared" si="69"/>
        <v>0.14</v>
      </c>
      <c r="I91" s="636">
        <f t="shared" si="70"/>
        <v>0.17</v>
      </c>
      <c r="J91" s="571">
        <v>0.1</v>
      </c>
      <c r="K91" s="572">
        <f t="shared" si="71"/>
        <v>0.14</v>
      </c>
      <c r="L91" s="636">
        <f t="shared" si="72"/>
        <v>0.17</v>
      </c>
      <c r="M91" s="637">
        <v>0.09</v>
      </c>
      <c r="N91" s="638">
        <f t="shared" si="73"/>
        <v>0.12</v>
      </c>
      <c r="O91" s="639">
        <f t="shared" si="74"/>
        <v>0.15</v>
      </c>
      <c r="P91" s="669">
        <f t="shared" si="75"/>
        <v>0.1</v>
      </c>
      <c r="Q91" s="669"/>
      <c r="R91" s="669">
        <f t="shared" si="76"/>
        <v>0.1</v>
      </c>
      <c r="S91" s="669"/>
      <c r="T91" s="669">
        <f t="shared" si="77"/>
        <v>0.2</v>
      </c>
      <c r="U91" s="669">
        <f t="shared" si="78"/>
        <v>0.2</v>
      </c>
      <c r="V91" s="324"/>
      <c r="W91" s="323"/>
    </row>
    <row r="92" s="548" customFormat="1" ht="65.1" customHeight="1" spans="2:23">
      <c r="B92" s="620"/>
      <c r="C92" s="610" t="s">
        <v>208</v>
      </c>
      <c r="D92" s="677" t="s">
        <v>209</v>
      </c>
      <c r="E92" s="678" t="s">
        <v>316</v>
      </c>
      <c r="F92" s="676">
        <v>0.06</v>
      </c>
      <c r="G92" s="571">
        <v>0.08</v>
      </c>
      <c r="H92" s="572">
        <f t="shared" si="69"/>
        <v>0.12</v>
      </c>
      <c r="I92" s="636">
        <f t="shared" si="70"/>
        <v>0.15</v>
      </c>
      <c r="J92" s="571">
        <v>0.08</v>
      </c>
      <c r="K92" s="572">
        <f t="shared" si="71"/>
        <v>0.12</v>
      </c>
      <c r="L92" s="636">
        <f t="shared" si="72"/>
        <v>0.15</v>
      </c>
      <c r="M92" s="637">
        <v>0.07</v>
      </c>
      <c r="N92" s="638">
        <f t="shared" si="73"/>
        <v>0.1</v>
      </c>
      <c r="O92" s="639">
        <f t="shared" si="74"/>
        <v>0.13</v>
      </c>
      <c r="P92" s="648" t="s">
        <v>749</v>
      </c>
      <c r="Q92" s="648" t="s">
        <v>750</v>
      </c>
      <c r="R92" s="648" t="s">
        <v>733</v>
      </c>
      <c r="S92" s="648" t="s">
        <v>734</v>
      </c>
      <c r="T92" s="648" t="s">
        <v>735</v>
      </c>
      <c r="U92" s="648" t="s">
        <v>736</v>
      </c>
      <c r="V92" s="322" t="str">
        <f>IFERROR(IF(VLOOKUP(D92,期货合约要素!$D:$Q,12,0)=0,"",VLOOKUP(D92,期货合约要素!$D:$Q,12,0)),IF(VLOOKUP(D92,期权合约要素!$D:$V,17,0)=0,"",VLOOKUP(D92,期权合约要素!$D:$V,17,0)))</f>
        <v/>
      </c>
      <c r="W92" s="323" t="str">
        <f>IFERROR(IF(VLOOKUP(D92,期货合约要素!$D:$Q,14,0)=0,"",VLOOKUP(D92,期货合约要素!$D:$Q,14,0)),IF(VLOOKUP(D92,期权合约要素!$D:$V,19,0)=0,"",VLOOKUP(D92,期权合约要素!$D:$V,19,0)))</f>
        <v/>
      </c>
    </row>
    <row r="93" s="548" customFormat="1" ht="30" customHeight="1" spans="2:23">
      <c r="B93" s="620"/>
      <c r="C93" s="610"/>
      <c r="D93" s="677"/>
      <c r="E93" s="678"/>
      <c r="F93" s="676"/>
      <c r="G93" s="571"/>
      <c r="H93" s="572"/>
      <c r="I93" s="636"/>
      <c r="J93" s="571"/>
      <c r="K93" s="572"/>
      <c r="L93" s="636"/>
      <c r="M93" s="637"/>
      <c r="N93" s="638"/>
      <c r="O93" s="639"/>
      <c r="P93" s="668">
        <f>MAX(G92,10%)</f>
        <v>0.1</v>
      </c>
      <c r="Q93" s="668">
        <f>MAX(J92,10%)</f>
        <v>0.1</v>
      </c>
      <c r="R93" s="668">
        <f>MAX(G92,15%)</f>
        <v>0.15</v>
      </c>
      <c r="S93" s="668">
        <f>MAX(J92,15%)</f>
        <v>0.15</v>
      </c>
      <c r="T93" s="668">
        <f>MAX(G92,20%)</f>
        <v>0.2</v>
      </c>
      <c r="U93" s="710">
        <f>MAX(J92,20%)</f>
        <v>0.2</v>
      </c>
      <c r="V93" s="322"/>
      <c r="W93" s="323"/>
    </row>
    <row r="94" s="548" customFormat="1" ht="38.1" customHeight="1" spans="2:23">
      <c r="B94" s="620"/>
      <c r="C94" s="626" t="s">
        <v>186</v>
      </c>
      <c r="D94" s="627" t="s">
        <v>187</v>
      </c>
      <c r="E94" s="628" t="s">
        <v>316</v>
      </c>
      <c r="F94" s="676">
        <v>0.1</v>
      </c>
      <c r="G94" s="571">
        <v>0.07</v>
      </c>
      <c r="H94" s="572">
        <f>MAX(G94,N94+2%)</f>
        <v>0.11</v>
      </c>
      <c r="I94" s="636">
        <f>MAX(G94,O94+2%)</f>
        <v>0.14</v>
      </c>
      <c r="J94" s="571">
        <v>0.07</v>
      </c>
      <c r="K94" s="572">
        <f>MAX(J94,N94+2%)</f>
        <v>0.11</v>
      </c>
      <c r="L94" s="636">
        <f>MAX(J94,O94+2%)</f>
        <v>0.14</v>
      </c>
      <c r="M94" s="637">
        <v>0.06</v>
      </c>
      <c r="N94" s="638">
        <f t="shared" ref="N94:O96" si="79">M94+3%</f>
        <v>0.09</v>
      </c>
      <c r="O94" s="639">
        <f t="shared" si="79"/>
        <v>0.12</v>
      </c>
      <c r="P94" s="668">
        <f>MAX(G94,10%)</f>
        <v>0.1</v>
      </c>
      <c r="Q94" s="668">
        <f>MAX(J94,10%)</f>
        <v>0.1</v>
      </c>
      <c r="R94" s="668">
        <f>MAX(G94,15%)</f>
        <v>0.15</v>
      </c>
      <c r="S94" s="668">
        <f>MAX(J94,15%)</f>
        <v>0.15</v>
      </c>
      <c r="T94" s="668">
        <f>MAX(G94,20%)</f>
        <v>0.2</v>
      </c>
      <c r="U94" s="710">
        <f>MAX(J94,20%)</f>
        <v>0.2</v>
      </c>
      <c r="V94" s="322" t="str">
        <f>IFERROR(IF(VLOOKUP(D94,期货合约要素!$D:$Q,12,0)=0,"",VLOOKUP(D94,期货合约要素!$D:$Q,12,0)),IF(VLOOKUP(D94,期权合约要素!$D:$V,17,0)=0,"",VLOOKUP(D94,期权合约要素!$D:$V,17,0)))</f>
        <v>√</v>
      </c>
      <c r="W94" s="323" t="str">
        <f>IFERROR(IF(VLOOKUP(D94,期货合约要素!$D:$Q,14,0)=0,"",VLOOKUP(D94,期货合约要素!$D:$Q,14,0)),IF(VLOOKUP(D94,期权合约要素!$D:$V,19,0)=0,"",VLOOKUP(D94,期权合约要素!$D:$V,19,0)))</f>
        <v>√</v>
      </c>
    </row>
    <row r="95" s="548" customFormat="1" ht="41.1" customHeight="1" spans="2:23">
      <c r="B95" s="620"/>
      <c r="C95" s="567" t="s">
        <v>751</v>
      </c>
      <c r="D95" s="627"/>
      <c r="E95" s="628"/>
      <c r="F95" s="676"/>
      <c r="G95" s="571">
        <v>0.13</v>
      </c>
      <c r="H95" s="572">
        <f>MAX(G95,N95+2%)</f>
        <v>0.16</v>
      </c>
      <c r="I95" s="636">
        <f>MAX(G95,O95+2%)</f>
        <v>0.19</v>
      </c>
      <c r="J95" s="571">
        <v>0.13</v>
      </c>
      <c r="K95" s="572">
        <f>MAX(J95,N95+2%)</f>
        <v>0.16</v>
      </c>
      <c r="L95" s="636">
        <f>MAX(J95,O95+2%)</f>
        <v>0.19</v>
      </c>
      <c r="M95" s="637">
        <v>0.11</v>
      </c>
      <c r="N95" s="638">
        <f t="shared" si="79"/>
        <v>0.14</v>
      </c>
      <c r="O95" s="639">
        <f t="shared" si="79"/>
        <v>0.17</v>
      </c>
      <c r="P95" s="669">
        <f>MAX(G95,10%)</f>
        <v>0.13</v>
      </c>
      <c r="Q95" s="669">
        <f>MAX(J95,10%)</f>
        <v>0.13</v>
      </c>
      <c r="R95" s="669">
        <f>MAX(G95,15%)</f>
        <v>0.15</v>
      </c>
      <c r="S95" s="669">
        <f>MAX(J95,15%)</f>
        <v>0.15</v>
      </c>
      <c r="T95" s="669">
        <f>MAX(G95,20%)</f>
        <v>0.2</v>
      </c>
      <c r="U95" s="711">
        <f>MAX(J95,20%)</f>
        <v>0.2</v>
      </c>
      <c r="V95" s="322"/>
      <c r="W95" s="323"/>
    </row>
    <row r="96" s="547" customFormat="1" ht="30.75" spans="2:23">
      <c r="B96" s="679"/>
      <c r="C96" s="594" t="s">
        <v>752</v>
      </c>
      <c r="D96" s="680"/>
      <c r="E96" s="681"/>
      <c r="F96" s="682"/>
      <c r="G96" s="597">
        <v>0.1</v>
      </c>
      <c r="H96" s="598">
        <f>MAX(G96,N96+2%)</f>
        <v>0.14</v>
      </c>
      <c r="I96" s="653">
        <f>MAX(G96,O96+2%)</f>
        <v>0.17</v>
      </c>
      <c r="J96" s="597">
        <v>0.1</v>
      </c>
      <c r="K96" s="598">
        <f>MAX(J96,N96+2%)</f>
        <v>0.14</v>
      </c>
      <c r="L96" s="653">
        <f>MAX(J96,O96+2%)</f>
        <v>0.17</v>
      </c>
      <c r="M96" s="654">
        <v>0.09</v>
      </c>
      <c r="N96" s="655">
        <f t="shared" si="79"/>
        <v>0.12</v>
      </c>
      <c r="O96" s="656">
        <f t="shared" si="79"/>
        <v>0.15</v>
      </c>
      <c r="P96" s="701">
        <f>MAX(G96,10%)</f>
        <v>0.1</v>
      </c>
      <c r="Q96" s="701">
        <f>MAX(J96,10%)</f>
        <v>0.1</v>
      </c>
      <c r="R96" s="701">
        <f>MAX(G96,15%)</f>
        <v>0.15</v>
      </c>
      <c r="S96" s="701">
        <f>MAX(J96,15%)</f>
        <v>0.15</v>
      </c>
      <c r="T96" s="701">
        <f>MAX(G96,20%)</f>
        <v>0.2</v>
      </c>
      <c r="U96" s="712">
        <f>MAX(J96,20%)</f>
        <v>0.2</v>
      </c>
      <c r="V96" s="388"/>
      <c r="W96" s="389"/>
    </row>
    <row r="97" s="547" customFormat="1" customHeight="1" spans="2:21">
      <c r="B97" s="683"/>
      <c r="C97" s="684"/>
      <c r="D97" s="684"/>
      <c r="E97" s="684"/>
      <c r="F97" s="685"/>
      <c r="G97" s="685"/>
      <c r="H97" s="685"/>
      <c r="I97" s="685"/>
      <c r="J97" s="702"/>
      <c r="K97" s="685"/>
      <c r="L97" s="685"/>
      <c r="M97" s="702"/>
      <c r="N97" s="702"/>
      <c r="O97" s="702"/>
      <c r="P97" s="685"/>
      <c r="Q97" s="685"/>
      <c r="R97" s="685"/>
      <c r="S97" s="685"/>
      <c r="T97" s="685"/>
      <c r="U97" s="685"/>
    </row>
    <row r="98" s="547" customFormat="1" ht="24.95" customHeight="1" spans="2:23">
      <c r="B98" s="552" t="s">
        <v>35</v>
      </c>
      <c r="C98" s="553" t="s">
        <v>36</v>
      </c>
      <c r="D98" s="497" t="s">
        <v>37</v>
      </c>
      <c r="E98" s="497" t="s">
        <v>686</v>
      </c>
      <c r="F98" s="497" t="s">
        <v>687</v>
      </c>
      <c r="G98" s="540" t="s">
        <v>688</v>
      </c>
      <c r="H98" s="540"/>
      <c r="I98" s="540"/>
      <c r="J98" s="540"/>
      <c r="K98" s="540"/>
      <c r="L98" s="540"/>
      <c r="M98" s="497" t="s">
        <v>689</v>
      </c>
      <c r="N98" s="497"/>
      <c r="O98" s="497"/>
      <c r="P98" s="497" t="s">
        <v>732</v>
      </c>
      <c r="Q98" s="497"/>
      <c r="R98" s="497"/>
      <c r="S98" s="497"/>
      <c r="T98" s="497"/>
      <c r="U98" s="497"/>
      <c r="V98" s="317" t="s">
        <v>40</v>
      </c>
      <c r="W98" s="318" t="s">
        <v>41</v>
      </c>
    </row>
    <row r="99" s="547" customFormat="1" ht="30" customHeight="1" spans="2:23">
      <c r="B99" s="554"/>
      <c r="C99" s="487"/>
      <c r="D99" s="431"/>
      <c r="E99" s="431"/>
      <c r="F99" s="431"/>
      <c r="G99" s="555" t="s">
        <v>691</v>
      </c>
      <c r="H99" s="555"/>
      <c r="I99" s="555"/>
      <c r="J99" s="555" t="s">
        <v>692</v>
      </c>
      <c r="K99" s="555"/>
      <c r="L99" s="555"/>
      <c r="M99" s="431"/>
      <c r="N99" s="431"/>
      <c r="O99" s="431"/>
      <c r="P99" s="431" t="s">
        <v>693</v>
      </c>
      <c r="Q99" s="431"/>
      <c r="R99" s="431"/>
      <c r="S99" s="431"/>
      <c r="T99" s="431" t="s">
        <v>753</v>
      </c>
      <c r="U99" s="431"/>
      <c r="V99" s="423"/>
      <c r="W99" s="440"/>
    </row>
    <row r="100" s="547" customFormat="1" ht="51.75" customHeight="1" spans="2:23">
      <c r="B100" s="554"/>
      <c r="C100" s="487"/>
      <c r="D100" s="431"/>
      <c r="E100" s="431"/>
      <c r="F100" s="431"/>
      <c r="G100" s="431" t="s">
        <v>695</v>
      </c>
      <c r="H100" s="431" t="s">
        <v>696</v>
      </c>
      <c r="I100" s="431" t="s">
        <v>697</v>
      </c>
      <c r="J100" s="431" t="s">
        <v>695</v>
      </c>
      <c r="K100" s="431" t="s">
        <v>696</v>
      </c>
      <c r="L100" s="431" t="s">
        <v>697</v>
      </c>
      <c r="M100" s="431" t="s">
        <v>695</v>
      </c>
      <c r="N100" s="431" t="s">
        <v>698</v>
      </c>
      <c r="O100" s="431" t="s">
        <v>699</v>
      </c>
      <c r="P100" s="555" t="s">
        <v>754</v>
      </c>
      <c r="Q100" s="555"/>
      <c r="R100" s="555" t="s">
        <v>755</v>
      </c>
      <c r="S100" s="555"/>
      <c r="T100" s="648" t="s">
        <v>700</v>
      </c>
      <c r="U100" s="648" t="s">
        <v>701</v>
      </c>
      <c r="V100" s="423"/>
      <c r="W100" s="440"/>
    </row>
    <row r="101" s="547" customFormat="1" ht="30" customHeight="1" spans="2:23">
      <c r="B101" s="686" t="s">
        <v>756</v>
      </c>
      <c r="C101" s="626" t="s">
        <v>352</v>
      </c>
      <c r="D101" s="426" t="s">
        <v>110</v>
      </c>
      <c r="E101" s="12" t="s">
        <v>309</v>
      </c>
      <c r="F101" s="624">
        <v>0.05</v>
      </c>
      <c r="G101" s="571">
        <v>0.07</v>
      </c>
      <c r="H101" s="572">
        <f t="shared" ref="H101:H124" si="80">MAX(G101,N101+2%)</f>
        <v>0.11</v>
      </c>
      <c r="I101" s="703">
        <f t="shared" ref="I101:I124" si="81">MAX(G101,O101+2%)</f>
        <v>0.13</v>
      </c>
      <c r="J101" s="688">
        <v>0.07</v>
      </c>
      <c r="K101" s="572">
        <f t="shared" ref="K101:K124" si="82">MAX(J101,N101+2%)</f>
        <v>0.11</v>
      </c>
      <c r="L101" s="703">
        <f t="shared" ref="L101:L124" si="83">MAX(J101,O101+2%)</f>
        <v>0.13</v>
      </c>
      <c r="M101" s="637">
        <v>0.06</v>
      </c>
      <c r="N101" s="638">
        <f t="shared" ref="N101:N124" si="84">M101+3%</f>
        <v>0.09</v>
      </c>
      <c r="O101" s="639">
        <f t="shared" ref="O101:O124" si="85">N101+2%</f>
        <v>0.11</v>
      </c>
      <c r="P101" s="668">
        <f t="shared" ref="P101:P126" si="86">MAX(G101,10%)</f>
        <v>0.1</v>
      </c>
      <c r="Q101" s="668"/>
      <c r="R101" s="668">
        <f t="shared" ref="R101:R126" si="87">MAX(J101,10%)</f>
        <v>0.1</v>
      </c>
      <c r="S101" s="668"/>
      <c r="T101" s="668">
        <f t="shared" ref="T101:T126" si="88">MAX(20%,G101)</f>
        <v>0.2</v>
      </c>
      <c r="U101" s="668">
        <f t="shared" ref="U101:U124" si="89">MAX(J101,20%)</f>
        <v>0.2</v>
      </c>
      <c r="V101" s="322" t="str">
        <f>IFERROR(IF(VLOOKUP(D101,期货合约要素!$D:$Q,12,0)=0,"",VLOOKUP(D101,期货合约要素!$D:$Q,12,0)),IF(VLOOKUP(D101,期权合约要素!$D:$V,17,0)=0,"",VLOOKUP(D101,期权合约要素!$D:$V,17,0)))</f>
        <v>√</v>
      </c>
      <c r="W101" s="323" t="str">
        <f>IFERROR(IF(VLOOKUP(D101,期货合约要素!$D:$Q,14,0)=0,"",VLOOKUP(D101,期货合约要素!$D:$Q,14,0)),IF(VLOOKUP(D101,期权合约要素!$D:$V,19,0)=0,"",VLOOKUP(D101,期权合约要素!$D:$V,19,0)))</f>
        <v>√</v>
      </c>
    </row>
    <row r="102" s="547" customFormat="1" ht="30" customHeight="1" spans="2:23">
      <c r="B102" s="687"/>
      <c r="C102" s="626" t="s">
        <v>358</v>
      </c>
      <c r="D102" s="426" t="s">
        <v>114</v>
      </c>
      <c r="E102" s="12" t="s">
        <v>309</v>
      </c>
      <c r="F102" s="624">
        <v>0.05</v>
      </c>
      <c r="G102" s="571">
        <v>0.07</v>
      </c>
      <c r="H102" s="572">
        <f t="shared" si="80"/>
        <v>0.11</v>
      </c>
      <c r="I102" s="703">
        <f t="shared" si="81"/>
        <v>0.13</v>
      </c>
      <c r="J102" s="688">
        <v>0.07</v>
      </c>
      <c r="K102" s="572">
        <f t="shared" si="82"/>
        <v>0.11</v>
      </c>
      <c r="L102" s="703">
        <f t="shared" si="83"/>
        <v>0.13</v>
      </c>
      <c r="M102" s="637">
        <v>0.06</v>
      </c>
      <c r="N102" s="638">
        <f t="shared" si="84"/>
        <v>0.09</v>
      </c>
      <c r="O102" s="639">
        <f t="shared" si="85"/>
        <v>0.11</v>
      </c>
      <c r="P102" s="668">
        <f t="shared" si="86"/>
        <v>0.1</v>
      </c>
      <c r="Q102" s="668"/>
      <c r="R102" s="668">
        <f t="shared" si="87"/>
        <v>0.1</v>
      </c>
      <c r="S102" s="668"/>
      <c r="T102" s="668">
        <f t="shared" si="88"/>
        <v>0.2</v>
      </c>
      <c r="U102" s="668">
        <f t="shared" si="89"/>
        <v>0.2</v>
      </c>
      <c r="V102" s="322" t="str">
        <f>IFERROR(IF(VLOOKUP(D102,期货合约要素!$D:$Q,12,0)=0,"",VLOOKUP(D102,期货合约要素!$D:$Q,12,0)),IF(VLOOKUP(D102,期权合约要素!$D:$V,17,0)=0,"",VLOOKUP(D102,期权合约要素!$D:$V,17,0)))</f>
        <v>√</v>
      </c>
      <c r="W102" s="323" t="str">
        <f>IFERROR(IF(VLOOKUP(D102,期货合约要素!$D:$Q,14,0)=0,"",VLOOKUP(D102,期货合约要素!$D:$Q,14,0)),IF(VLOOKUP(D102,期权合约要素!$D:$V,19,0)=0,"",VLOOKUP(D102,期权合约要素!$D:$V,19,0)))</f>
        <v>√</v>
      </c>
    </row>
    <row r="103" s="547" customFormat="1" ht="30" customHeight="1" spans="2:23">
      <c r="B103" s="687"/>
      <c r="C103" s="626" t="s">
        <v>115</v>
      </c>
      <c r="D103" s="426" t="s">
        <v>116</v>
      </c>
      <c r="E103" s="12" t="s">
        <v>309</v>
      </c>
      <c r="F103" s="624">
        <v>0.06</v>
      </c>
      <c r="G103" s="571">
        <v>0.07</v>
      </c>
      <c r="H103" s="572">
        <f t="shared" si="80"/>
        <v>0.11</v>
      </c>
      <c r="I103" s="703">
        <f t="shared" si="81"/>
        <v>0.13</v>
      </c>
      <c r="J103" s="688">
        <v>0.07</v>
      </c>
      <c r="K103" s="572">
        <f t="shared" si="82"/>
        <v>0.11</v>
      </c>
      <c r="L103" s="703">
        <f t="shared" si="83"/>
        <v>0.13</v>
      </c>
      <c r="M103" s="637">
        <v>0.06</v>
      </c>
      <c r="N103" s="638">
        <f t="shared" si="84"/>
        <v>0.09</v>
      </c>
      <c r="O103" s="639">
        <f t="shared" si="85"/>
        <v>0.11</v>
      </c>
      <c r="P103" s="668">
        <f t="shared" si="86"/>
        <v>0.1</v>
      </c>
      <c r="Q103" s="668"/>
      <c r="R103" s="668">
        <f t="shared" si="87"/>
        <v>0.1</v>
      </c>
      <c r="S103" s="668"/>
      <c r="T103" s="668">
        <f t="shared" si="88"/>
        <v>0.2</v>
      </c>
      <c r="U103" s="668">
        <f t="shared" si="89"/>
        <v>0.2</v>
      </c>
      <c r="V103" s="322" t="str">
        <f>IFERROR(IF(VLOOKUP(D103,期货合约要素!$D:$Q,12,0)=0,"",VLOOKUP(D103,期货合约要素!$D:$Q,12,0)),IF(VLOOKUP(D103,期权合约要素!$D:$V,17,0)=0,"",VLOOKUP(D103,期权合约要素!$D:$V,17,0)))</f>
        <v>√</v>
      </c>
      <c r="W103" s="323" t="str">
        <f>IFERROR(IF(VLOOKUP(D103,期货合约要素!$D:$Q,14,0)=0,"",VLOOKUP(D103,期货合约要素!$D:$Q,14,0)),IF(VLOOKUP(D103,期权合约要素!$D:$V,19,0)=0,"",VLOOKUP(D103,期权合约要素!$D:$V,19,0)))</f>
        <v>√</v>
      </c>
    </row>
    <row r="104" s="547" customFormat="1" ht="30" customHeight="1" spans="2:23">
      <c r="B104" s="687"/>
      <c r="C104" s="626" t="s">
        <v>117</v>
      </c>
      <c r="D104" s="605" t="s">
        <v>118</v>
      </c>
      <c r="E104" s="606" t="s">
        <v>309</v>
      </c>
      <c r="F104" s="570">
        <v>0.08</v>
      </c>
      <c r="G104" s="688">
        <v>0.07</v>
      </c>
      <c r="H104" s="572">
        <f t="shared" si="80"/>
        <v>0.11</v>
      </c>
      <c r="I104" s="703">
        <f t="shared" si="81"/>
        <v>0.13</v>
      </c>
      <c r="J104" s="688">
        <v>0.07</v>
      </c>
      <c r="K104" s="572">
        <f t="shared" si="82"/>
        <v>0.11</v>
      </c>
      <c r="L104" s="703">
        <f t="shared" si="83"/>
        <v>0.13</v>
      </c>
      <c r="M104" s="637">
        <v>0.06</v>
      </c>
      <c r="N104" s="638">
        <f t="shared" si="84"/>
        <v>0.09</v>
      </c>
      <c r="O104" s="639">
        <f t="shared" si="85"/>
        <v>0.11</v>
      </c>
      <c r="P104" s="668">
        <f t="shared" si="86"/>
        <v>0.1</v>
      </c>
      <c r="Q104" s="668"/>
      <c r="R104" s="668">
        <f t="shared" si="87"/>
        <v>0.1</v>
      </c>
      <c r="S104" s="668"/>
      <c r="T104" s="668">
        <f t="shared" si="88"/>
        <v>0.2</v>
      </c>
      <c r="U104" s="668">
        <f t="shared" si="89"/>
        <v>0.2</v>
      </c>
      <c r="V104" s="330" t="str">
        <f>IFERROR(IF(VLOOKUP(D104,期货合约要素!$D:$Q,12,0)=0,"",VLOOKUP(D104,期货合约要素!$D:$Q,12,0)),IF(VLOOKUP(D104,期权合约要素!$D:$V,17,0)=0,"",VLOOKUP(D104,期权合约要素!$D:$V,17,0)))</f>
        <v>√</v>
      </c>
      <c r="W104" s="391" t="str">
        <f>IFERROR(IF(VLOOKUP(D104,期货合约要素!$D:$Q,14,0)=0,"",VLOOKUP(D104,期货合约要素!$D:$Q,14,0)),IF(VLOOKUP(D104,期权合约要素!$D:$V,19,0)=0,"",VLOOKUP(D104,期权合约要素!$D:$V,19,0)))</f>
        <v>√</v>
      </c>
    </row>
    <row r="105" s="547" customFormat="1" ht="30" customHeight="1" spans="2:23">
      <c r="B105" s="687"/>
      <c r="C105" s="626" t="s">
        <v>119</v>
      </c>
      <c r="D105" s="605" t="s">
        <v>120</v>
      </c>
      <c r="E105" s="606" t="s">
        <v>309</v>
      </c>
      <c r="F105" s="570">
        <v>0.08</v>
      </c>
      <c r="G105" s="688">
        <v>0.08</v>
      </c>
      <c r="H105" s="572">
        <f t="shared" si="80"/>
        <v>0.12</v>
      </c>
      <c r="I105" s="703">
        <f t="shared" si="81"/>
        <v>0.14</v>
      </c>
      <c r="J105" s="688">
        <v>0.08</v>
      </c>
      <c r="K105" s="572">
        <f t="shared" si="82"/>
        <v>0.12</v>
      </c>
      <c r="L105" s="703">
        <f t="shared" si="83"/>
        <v>0.14</v>
      </c>
      <c r="M105" s="637">
        <v>0.07</v>
      </c>
      <c r="N105" s="638">
        <f t="shared" si="84"/>
        <v>0.1</v>
      </c>
      <c r="O105" s="639">
        <f t="shared" si="85"/>
        <v>0.12</v>
      </c>
      <c r="P105" s="668">
        <f t="shared" si="86"/>
        <v>0.1</v>
      </c>
      <c r="Q105" s="668"/>
      <c r="R105" s="668">
        <f t="shared" si="87"/>
        <v>0.1</v>
      </c>
      <c r="S105" s="668"/>
      <c r="T105" s="668">
        <f t="shared" si="88"/>
        <v>0.2</v>
      </c>
      <c r="U105" s="668">
        <f t="shared" si="89"/>
        <v>0.2</v>
      </c>
      <c r="V105" s="330" t="str">
        <f>IFERROR(IF(VLOOKUP(D105,期货合约要素!$D:$Q,12,0)=0,"",VLOOKUP(D105,期货合约要素!$D:$Q,12,0)),IF(VLOOKUP(D105,期权合约要素!$D:$V,17,0)=0,"",VLOOKUP(D105,期权合约要素!$D:$V,17,0)))</f>
        <v>√</v>
      </c>
      <c r="W105" s="391" t="str">
        <f>IFERROR(IF(VLOOKUP(D105,期货合约要素!$D:$Q,14,0)=0,"",VLOOKUP(D105,期货合约要素!$D:$Q,14,0)),IF(VLOOKUP(D105,期权合约要素!$D:$V,19,0)=0,"",VLOOKUP(D105,期权合约要素!$D:$V,19,0)))</f>
        <v>√</v>
      </c>
    </row>
    <row r="106" s="547" customFormat="1" ht="30" customHeight="1" spans="2:23">
      <c r="B106" s="687"/>
      <c r="C106" s="626" t="s">
        <v>143</v>
      </c>
      <c r="D106" s="605" t="s">
        <v>144</v>
      </c>
      <c r="E106" s="606" t="s">
        <v>361</v>
      </c>
      <c r="F106" s="570">
        <v>0.1</v>
      </c>
      <c r="G106" s="688">
        <v>0.12</v>
      </c>
      <c r="H106" s="572">
        <f t="shared" si="80"/>
        <v>0.13</v>
      </c>
      <c r="I106" s="703">
        <f t="shared" si="81"/>
        <v>0.15</v>
      </c>
      <c r="J106" s="688">
        <v>0.12</v>
      </c>
      <c r="K106" s="572">
        <f t="shared" si="82"/>
        <v>0.13</v>
      </c>
      <c r="L106" s="703">
        <f t="shared" si="83"/>
        <v>0.15</v>
      </c>
      <c r="M106" s="637">
        <v>0.08</v>
      </c>
      <c r="N106" s="638">
        <f t="shared" si="84"/>
        <v>0.11</v>
      </c>
      <c r="O106" s="639">
        <f t="shared" si="85"/>
        <v>0.13</v>
      </c>
      <c r="P106" s="668">
        <f t="shared" si="86"/>
        <v>0.12</v>
      </c>
      <c r="Q106" s="668"/>
      <c r="R106" s="668">
        <f t="shared" si="87"/>
        <v>0.12</v>
      </c>
      <c r="S106" s="668"/>
      <c r="T106" s="668">
        <f t="shared" si="88"/>
        <v>0.2</v>
      </c>
      <c r="U106" s="668">
        <f t="shared" si="89"/>
        <v>0.2</v>
      </c>
      <c r="V106" s="330" t="str">
        <f>IFERROR(IF(VLOOKUP(D106,期货合约要素!$D:$Q,12,0)=0,"",VLOOKUP(D106,期货合约要素!$D:$Q,12,0)),IF(VLOOKUP(D106,期权合约要素!$D:$V,17,0)=0,"",VLOOKUP(D106,期权合约要素!$D:$V,17,0)))</f>
        <v/>
      </c>
      <c r="W106" s="391" t="str">
        <f>IFERROR(IF(VLOOKUP(D106,期货合约要素!$D:$Q,14,0)=0,"",VLOOKUP(D106,期货合约要素!$D:$Q,14,0)),IF(VLOOKUP(D106,期权合约要素!$D:$V,19,0)=0,"",VLOOKUP(D106,期权合约要素!$D:$V,19,0)))</f>
        <v/>
      </c>
    </row>
    <row r="107" s="547" customFormat="1" ht="30" customHeight="1" spans="2:23">
      <c r="B107" s="687"/>
      <c r="C107" s="626" t="s">
        <v>364</v>
      </c>
      <c r="D107" s="426" t="s">
        <v>142</v>
      </c>
      <c r="E107" s="12" t="s">
        <v>365</v>
      </c>
      <c r="F107" s="624">
        <v>0.08</v>
      </c>
      <c r="G107" s="571">
        <v>0.12</v>
      </c>
      <c r="H107" s="572">
        <f t="shared" si="80"/>
        <v>0.13</v>
      </c>
      <c r="I107" s="636">
        <f t="shared" si="81"/>
        <v>0.15</v>
      </c>
      <c r="J107" s="571">
        <v>0.12</v>
      </c>
      <c r="K107" s="572">
        <f t="shared" si="82"/>
        <v>0.13</v>
      </c>
      <c r="L107" s="636">
        <f t="shared" si="83"/>
        <v>0.15</v>
      </c>
      <c r="M107" s="637">
        <v>0.08</v>
      </c>
      <c r="N107" s="638">
        <f t="shared" si="84"/>
        <v>0.11</v>
      </c>
      <c r="O107" s="639">
        <f t="shared" si="85"/>
        <v>0.13</v>
      </c>
      <c r="P107" s="668">
        <f t="shared" si="86"/>
        <v>0.12</v>
      </c>
      <c r="Q107" s="668"/>
      <c r="R107" s="668">
        <f t="shared" si="87"/>
        <v>0.12</v>
      </c>
      <c r="S107" s="668"/>
      <c r="T107" s="668">
        <f t="shared" si="88"/>
        <v>0.2</v>
      </c>
      <c r="U107" s="668">
        <f t="shared" si="89"/>
        <v>0.2</v>
      </c>
      <c r="V107" s="322" t="str">
        <f>IFERROR(IF(VLOOKUP(D107,期货合约要素!$D:$Q,12,0)=0,"",VLOOKUP(D107,期货合约要素!$D:$Q,12,0)),IF(VLOOKUP(D107,期权合约要素!$D:$V,17,0)=0,"",VLOOKUP(D107,期权合约要素!$D:$V,17,0)))</f>
        <v/>
      </c>
      <c r="W107" s="323" t="str">
        <f>IFERROR(IF(VLOOKUP(D107,期货合约要素!$D:$Q,14,0)=0,"",VLOOKUP(D107,期货合约要素!$D:$Q,14,0)),IF(VLOOKUP(D107,期权合约要素!$D:$V,19,0)=0,"",VLOOKUP(D107,期权合约要素!$D:$V,19,0)))</f>
        <v/>
      </c>
    </row>
    <row r="108" s="547" customFormat="1" ht="30" customHeight="1" spans="2:23">
      <c r="B108" s="687"/>
      <c r="C108" s="626" t="s">
        <v>149</v>
      </c>
      <c r="D108" s="689" t="s">
        <v>150</v>
      </c>
      <c r="E108" s="18" t="s">
        <v>365</v>
      </c>
      <c r="F108" s="624">
        <v>0.08</v>
      </c>
      <c r="G108" s="688">
        <v>0.11</v>
      </c>
      <c r="H108" s="572">
        <f t="shared" si="80"/>
        <v>0.14</v>
      </c>
      <c r="I108" s="703">
        <f t="shared" si="81"/>
        <v>0.16</v>
      </c>
      <c r="J108" s="688">
        <v>0.11</v>
      </c>
      <c r="K108" s="572">
        <f t="shared" si="82"/>
        <v>0.14</v>
      </c>
      <c r="L108" s="703">
        <f t="shared" si="83"/>
        <v>0.16</v>
      </c>
      <c r="M108" s="637">
        <v>0.09</v>
      </c>
      <c r="N108" s="638">
        <f t="shared" si="84"/>
        <v>0.12</v>
      </c>
      <c r="O108" s="639">
        <f t="shared" si="85"/>
        <v>0.14</v>
      </c>
      <c r="P108" s="668">
        <f t="shared" si="86"/>
        <v>0.11</v>
      </c>
      <c r="Q108" s="668"/>
      <c r="R108" s="668">
        <f t="shared" si="87"/>
        <v>0.11</v>
      </c>
      <c r="S108" s="668"/>
      <c r="T108" s="668">
        <f t="shared" si="88"/>
        <v>0.2</v>
      </c>
      <c r="U108" s="668">
        <f t="shared" si="89"/>
        <v>0.2</v>
      </c>
      <c r="V108" s="322" t="str">
        <f>IFERROR(IF(VLOOKUP(D108,期货合约要素!$D:$Q,12,0)=0,"",VLOOKUP(D108,期货合约要素!$D:$Q,12,0)),IF(VLOOKUP(D108,期权合约要素!$D:$V,17,0)=0,"",VLOOKUP(D108,期权合约要素!$D:$V,17,0)))</f>
        <v>√</v>
      </c>
      <c r="W108" s="323" t="str">
        <f>IFERROR(IF(VLOOKUP(D108,期货合约要素!$D:$Q,14,0)=0,"",VLOOKUP(D108,期货合约要素!$D:$Q,14,0)),IF(VLOOKUP(D108,期权合约要素!$D:$V,19,0)=0,"",VLOOKUP(D108,期权合约要素!$D:$V,19,0)))</f>
        <v>√</v>
      </c>
    </row>
    <row r="109" s="547" customFormat="1" ht="30" customHeight="1" spans="2:23">
      <c r="B109" s="687"/>
      <c r="C109" s="626" t="s">
        <v>121</v>
      </c>
      <c r="D109" s="689" t="s">
        <v>122</v>
      </c>
      <c r="E109" s="18" t="s">
        <v>309</v>
      </c>
      <c r="F109" s="624">
        <v>0.03</v>
      </c>
      <c r="G109" s="688">
        <v>0.07</v>
      </c>
      <c r="H109" s="572">
        <f t="shared" si="80"/>
        <v>0.11</v>
      </c>
      <c r="I109" s="703">
        <f t="shared" si="81"/>
        <v>0.13</v>
      </c>
      <c r="J109" s="688">
        <v>0.07</v>
      </c>
      <c r="K109" s="572">
        <f t="shared" si="82"/>
        <v>0.11</v>
      </c>
      <c r="L109" s="703">
        <f t="shared" si="83"/>
        <v>0.13</v>
      </c>
      <c r="M109" s="637">
        <v>0.06</v>
      </c>
      <c r="N109" s="638">
        <f t="shared" si="84"/>
        <v>0.09</v>
      </c>
      <c r="O109" s="639">
        <f t="shared" si="85"/>
        <v>0.11</v>
      </c>
      <c r="P109" s="668">
        <f t="shared" si="86"/>
        <v>0.1</v>
      </c>
      <c r="Q109" s="668"/>
      <c r="R109" s="668">
        <f t="shared" si="87"/>
        <v>0.1</v>
      </c>
      <c r="S109" s="668"/>
      <c r="T109" s="668">
        <f t="shared" si="88"/>
        <v>0.2</v>
      </c>
      <c r="U109" s="668">
        <f t="shared" si="89"/>
        <v>0.2</v>
      </c>
      <c r="V109" s="322" t="str">
        <f>IFERROR(IF(VLOOKUP(D109,期货合约要素!$D:$Q,12,0)=0,"",VLOOKUP(D109,期货合约要素!$D:$Q,12,0)),IF(VLOOKUP(D109,期权合约要素!$D:$V,17,0)=0,"",VLOOKUP(D109,期权合约要素!$D:$V,17,0)))</f>
        <v/>
      </c>
      <c r="W109" s="323" t="str">
        <f>IFERROR(IF(VLOOKUP(D109,期货合约要素!$D:$Q,14,0)=0,"",VLOOKUP(D109,期货合约要素!$D:$Q,14,0)),IF(VLOOKUP(D109,期权合约要素!$D:$V,19,0)=0,"",VLOOKUP(D109,期权合约要素!$D:$V,19,0)))</f>
        <v/>
      </c>
    </row>
    <row r="110" s="547" customFormat="1" ht="30" customHeight="1" spans="2:23">
      <c r="B110" s="687"/>
      <c r="C110" s="626" t="s">
        <v>123</v>
      </c>
      <c r="D110" s="689" t="s">
        <v>124</v>
      </c>
      <c r="E110" s="18" t="s">
        <v>309</v>
      </c>
      <c r="F110" s="624">
        <v>0.05</v>
      </c>
      <c r="G110" s="688">
        <v>0.06</v>
      </c>
      <c r="H110" s="572">
        <f t="shared" si="80"/>
        <v>0.1</v>
      </c>
      <c r="I110" s="703">
        <f t="shared" si="81"/>
        <v>0.12</v>
      </c>
      <c r="J110" s="688">
        <v>0.06</v>
      </c>
      <c r="K110" s="572">
        <f t="shared" si="82"/>
        <v>0.1</v>
      </c>
      <c r="L110" s="703">
        <f t="shared" si="83"/>
        <v>0.12</v>
      </c>
      <c r="M110" s="637">
        <v>0.05</v>
      </c>
      <c r="N110" s="638">
        <f t="shared" si="84"/>
        <v>0.08</v>
      </c>
      <c r="O110" s="639">
        <f t="shared" si="85"/>
        <v>0.1</v>
      </c>
      <c r="P110" s="668">
        <f t="shared" si="86"/>
        <v>0.1</v>
      </c>
      <c r="Q110" s="668"/>
      <c r="R110" s="668">
        <f t="shared" si="87"/>
        <v>0.1</v>
      </c>
      <c r="S110" s="668"/>
      <c r="T110" s="668">
        <f t="shared" si="88"/>
        <v>0.2</v>
      </c>
      <c r="U110" s="668">
        <f t="shared" si="89"/>
        <v>0.2</v>
      </c>
      <c r="V110" s="322" t="str">
        <f>IFERROR(IF(VLOOKUP(D110,期货合约要素!$D:$Q,12,0)=0,"",VLOOKUP(D110,期货合约要素!$D:$Q,12,0)),IF(VLOOKUP(D110,期权合约要素!$D:$V,17,0)=0,"",VLOOKUP(D110,期权合约要素!$D:$V,17,0)))</f>
        <v/>
      </c>
      <c r="W110" s="323" t="str">
        <f>IFERROR(IF(VLOOKUP(D110,期货合约要素!$D:$Q,14,0)=0,"",VLOOKUP(D110,期货合约要素!$D:$Q,14,0)),IF(VLOOKUP(D110,期权合约要素!$D:$V,19,0)=0,"",VLOOKUP(D110,期权合约要素!$D:$V,19,0)))</f>
        <v/>
      </c>
    </row>
    <row r="111" s="547" customFormat="1" ht="30" customHeight="1" spans="2:23">
      <c r="B111" s="687"/>
      <c r="C111" s="626" t="s">
        <v>139</v>
      </c>
      <c r="D111" s="605" t="s">
        <v>140</v>
      </c>
      <c r="E111" s="606" t="s">
        <v>309</v>
      </c>
      <c r="F111" s="624">
        <v>0.09</v>
      </c>
      <c r="G111" s="688">
        <v>0.07</v>
      </c>
      <c r="H111" s="572">
        <f t="shared" si="80"/>
        <v>0.11</v>
      </c>
      <c r="I111" s="703">
        <f t="shared" si="81"/>
        <v>0.13</v>
      </c>
      <c r="J111" s="688">
        <v>0.07</v>
      </c>
      <c r="K111" s="572">
        <f t="shared" si="82"/>
        <v>0.11</v>
      </c>
      <c r="L111" s="703">
        <f t="shared" si="83"/>
        <v>0.13</v>
      </c>
      <c r="M111" s="637">
        <v>0.06</v>
      </c>
      <c r="N111" s="638">
        <f t="shared" si="84"/>
        <v>0.09</v>
      </c>
      <c r="O111" s="639">
        <f t="shared" si="85"/>
        <v>0.11</v>
      </c>
      <c r="P111" s="668">
        <f t="shared" si="86"/>
        <v>0.1</v>
      </c>
      <c r="Q111" s="668"/>
      <c r="R111" s="668">
        <f t="shared" si="87"/>
        <v>0.1</v>
      </c>
      <c r="S111" s="668"/>
      <c r="T111" s="668">
        <f t="shared" si="88"/>
        <v>0.2</v>
      </c>
      <c r="U111" s="668">
        <f t="shared" si="89"/>
        <v>0.2</v>
      </c>
      <c r="V111" s="330" t="str">
        <f>IFERROR(IF(VLOOKUP(D111,期货合约要素!$D:$Q,12,0)=0,"",VLOOKUP(D111,期货合约要素!$D:$Q,12,0)),IF(VLOOKUP(D111,期权合约要素!$D:$V,17,0)=0,"",VLOOKUP(D111,期权合约要素!$D:$V,17,0)))</f>
        <v>√</v>
      </c>
      <c r="W111" s="391" t="str">
        <f>IFERROR(IF(VLOOKUP(D111,期货合约要素!$D:$Q,14,0)=0,"",VLOOKUP(D111,期货合约要素!$D:$Q,14,0)),IF(VLOOKUP(D111,期权合约要素!$D:$V,19,0)=0,"",VLOOKUP(D111,期权合约要素!$D:$V,19,0)))</f>
        <v/>
      </c>
    </row>
    <row r="112" s="547" customFormat="1" ht="30" spans="2:23">
      <c r="B112" s="687"/>
      <c r="C112" s="626" t="s">
        <v>757</v>
      </c>
      <c r="D112" s="607"/>
      <c r="E112" s="608"/>
      <c r="F112" s="690"/>
      <c r="G112" s="688">
        <v>0.13</v>
      </c>
      <c r="H112" s="572">
        <f t="shared" si="80"/>
        <v>0.16</v>
      </c>
      <c r="I112" s="703">
        <f t="shared" si="81"/>
        <v>0.18</v>
      </c>
      <c r="J112" s="688">
        <v>0.13</v>
      </c>
      <c r="K112" s="572">
        <f t="shared" si="82"/>
        <v>0.16</v>
      </c>
      <c r="L112" s="703">
        <f t="shared" si="83"/>
        <v>0.18</v>
      </c>
      <c r="M112" s="637">
        <v>0.11</v>
      </c>
      <c r="N112" s="638">
        <f t="shared" si="84"/>
        <v>0.14</v>
      </c>
      <c r="O112" s="639">
        <f t="shared" si="85"/>
        <v>0.16</v>
      </c>
      <c r="P112" s="668">
        <f t="shared" si="86"/>
        <v>0.13</v>
      </c>
      <c r="Q112" s="668"/>
      <c r="R112" s="668">
        <f t="shared" si="87"/>
        <v>0.13</v>
      </c>
      <c r="S112" s="668"/>
      <c r="T112" s="668">
        <f t="shared" si="88"/>
        <v>0.2</v>
      </c>
      <c r="U112" s="668">
        <f t="shared" si="89"/>
        <v>0.2</v>
      </c>
      <c r="V112" s="392"/>
      <c r="W112" s="393"/>
    </row>
    <row r="113" s="547" customFormat="1" ht="30" customHeight="1" spans="2:23">
      <c r="B113" s="687"/>
      <c r="C113" s="626" t="s">
        <v>147</v>
      </c>
      <c r="D113" s="605" t="s">
        <v>148</v>
      </c>
      <c r="E113" s="606" t="s">
        <v>316</v>
      </c>
      <c r="F113" s="570">
        <v>0.09</v>
      </c>
      <c r="G113" s="688">
        <v>0.07</v>
      </c>
      <c r="H113" s="572">
        <f t="shared" si="80"/>
        <v>0.11</v>
      </c>
      <c r="I113" s="703">
        <f t="shared" si="81"/>
        <v>0.13</v>
      </c>
      <c r="J113" s="688">
        <v>0.07</v>
      </c>
      <c r="K113" s="572">
        <f t="shared" si="82"/>
        <v>0.11</v>
      </c>
      <c r="L113" s="703">
        <f t="shared" si="83"/>
        <v>0.13</v>
      </c>
      <c r="M113" s="637">
        <v>0.06</v>
      </c>
      <c r="N113" s="638">
        <f t="shared" si="84"/>
        <v>0.09</v>
      </c>
      <c r="O113" s="639">
        <f t="shared" si="85"/>
        <v>0.11</v>
      </c>
      <c r="P113" s="704">
        <f t="shared" si="86"/>
        <v>0.1</v>
      </c>
      <c r="Q113" s="713"/>
      <c r="R113" s="704">
        <f t="shared" si="87"/>
        <v>0.1</v>
      </c>
      <c r="S113" s="713"/>
      <c r="T113" s="714">
        <f t="shared" si="88"/>
        <v>0.2</v>
      </c>
      <c r="U113" s="714">
        <f t="shared" si="89"/>
        <v>0.2</v>
      </c>
      <c r="V113" s="330" t="str">
        <f>IFERROR(IF(VLOOKUP(D113,期货合约要素!$D:$Q,12,0)=0,"",VLOOKUP(D113,期货合约要素!$D:$Q,12,0)),IF(VLOOKUP(D113,期权合约要素!$D:$V,17,0)=0,"",VLOOKUP(D113,期权合约要素!$D:$V,17,0)))</f>
        <v>√</v>
      </c>
      <c r="W113" s="391" t="str">
        <f>IFERROR(IF(VLOOKUP(D113,期货合约要素!$D:$Q,14,0)=0,"",VLOOKUP(D113,期货合约要素!$D:$Q,14,0)),IF(VLOOKUP(D113,期权合约要素!$D:$V,19,0)=0,"",VLOOKUP(D113,期权合约要素!$D:$V,19,0)))</f>
        <v/>
      </c>
    </row>
    <row r="114" s="547" customFormat="1" ht="30" spans="2:23">
      <c r="B114" s="687"/>
      <c r="C114" s="626" t="s">
        <v>758</v>
      </c>
      <c r="D114" s="607"/>
      <c r="E114" s="608"/>
      <c r="F114" s="575"/>
      <c r="G114" s="688">
        <v>0.13</v>
      </c>
      <c r="H114" s="572">
        <f t="shared" si="80"/>
        <v>0.16</v>
      </c>
      <c r="I114" s="703">
        <f t="shared" si="81"/>
        <v>0.18</v>
      </c>
      <c r="J114" s="688">
        <v>0.13</v>
      </c>
      <c r="K114" s="572">
        <f t="shared" si="82"/>
        <v>0.16</v>
      </c>
      <c r="L114" s="703">
        <f t="shared" si="83"/>
        <v>0.18</v>
      </c>
      <c r="M114" s="637">
        <v>0.11</v>
      </c>
      <c r="N114" s="638">
        <f t="shared" si="84"/>
        <v>0.14</v>
      </c>
      <c r="O114" s="639">
        <f t="shared" si="85"/>
        <v>0.16</v>
      </c>
      <c r="P114" s="704">
        <f t="shared" si="86"/>
        <v>0.13</v>
      </c>
      <c r="Q114" s="713"/>
      <c r="R114" s="704">
        <f t="shared" si="87"/>
        <v>0.13</v>
      </c>
      <c r="S114" s="713"/>
      <c r="T114" s="714">
        <f t="shared" si="88"/>
        <v>0.2</v>
      </c>
      <c r="U114" s="714">
        <f t="shared" si="89"/>
        <v>0.2</v>
      </c>
      <c r="V114" s="392"/>
      <c r="W114" s="393"/>
    </row>
    <row r="115" s="547" customFormat="1" ht="30" customHeight="1" spans="2:23">
      <c r="B115" s="687"/>
      <c r="C115" s="691" t="s">
        <v>137</v>
      </c>
      <c r="D115" s="692" t="s">
        <v>138</v>
      </c>
      <c r="E115" s="458" t="s">
        <v>329</v>
      </c>
      <c r="F115" s="570">
        <v>0.09</v>
      </c>
      <c r="G115" s="693">
        <v>0.07</v>
      </c>
      <c r="H115" s="694">
        <f t="shared" si="80"/>
        <v>0.11</v>
      </c>
      <c r="I115" s="705">
        <f t="shared" si="81"/>
        <v>0.13</v>
      </c>
      <c r="J115" s="693">
        <v>0.07</v>
      </c>
      <c r="K115" s="694">
        <f t="shared" si="82"/>
        <v>0.11</v>
      </c>
      <c r="L115" s="705">
        <f t="shared" si="83"/>
        <v>0.13</v>
      </c>
      <c r="M115" s="637">
        <v>0.06</v>
      </c>
      <c r="N115" s="638">
        <f t="shared" si="84"/>
        <v>0.09</v>
      </c>
      <c r="O115" s="639">
        <f t="shared" si="85"/>
        <v>0.11</v>
      </c>
      <c r="P115" s="706">
        <f t="shared" si="86"/>
        <v>0.1</v>
      </c>
      <c r="Q115" s="715"/>
      <c r="R115" s="706">
        <f t="shared" si="87"/>
        <v>0.1</v>
      </c>
      <c r="S115" s="715"/>
      <c r="T115" s="716">
        <f t="shared" si="88"/>
        <v>0.2</v>
      </c>
      <c r="U115" s="716">
        <f t="shared" si="89"/>
        <v>0.2</v>
      </c>
      <c r="V115" s="330" t="str">
        <f>IFERROR(IF(VLOOKUP(D115,期货合约要素!$D:$Q,12,0)=0,"",VLOOKUP(D115,期货合约要素!$D:$Q,12,0)),IF(VLOOKUP(D115,期权合约要素!$D:$V,17,0)=0,"",VLOOKUP(D115,期权合约要素!$D:$V,17,0)))</f>
        <v>√</v>
      </c>
      <c r="W115" s="391" t="str">
        <f>IFERROR(IF(VLOOKUP(D115,期货合约要素!$D:$Q,14,0)=0,"",VLOOKUP(D115,期货合约要素!$D:$Q,14,0)),IF(VLOOKUP(D115,期权合约要素!$D:$V,19,0)=0,"",VLOOKUP(D115,期权合约要素!$D:$V,19,0)))</f>
        <v/>
      </c>
    </row>
    <row r="116" s="547" customFormat="1" ht="30" spans="2:23">
      <c r="B116" s="687"/>
      <c r="C116" s="691" t="s">
        <v>759</v>
      </c>
      <c r="D116" s="695"/>
      <c r="E116" s="461"/>
      <c r="F116" s="582"/>
      <c r="G116" s="693">
        <v>0.16</v>
      </c>
      <c r="H116" s="694">
        <f t="shared" si="80"/>
        <v>0.19</v>
      </c>
      <c r="I116" s="705">
        <f t="shared" si="81"/>
        <v>0.21</v>
      </c>
      <c r="J116" s="693">
        <v>0.16</v>
      </c>
      <c r="K116" s="694">
        <f t="shared" si="82"/>
        <v>0.19</v>
      </c>
      <c r="L116" s="705">
        <f t="shared" si="83"/>
        <v>0.21</v>
      </c>
      <c r="M116" s="637">
        <v>0.14</v>
      </c>
      <c r="N116" s="638">
        <f t="shared" si="84"/>
        <v>0.17</v>
      </c>
      <c r="O116" s="639">
        <f t="shared" si="85"/>
        <v>0.19</v>
      </c>
      <c r="P116" s="706">
        <f t="shared" si="86"/>
        <v>0.16</v>
      </c>
      <c r="Q116" s="715"/>
      <c r="R116" s="706">
        <f t="shared" si="87"/>
        <v>0.16</v>
      </c>
      <c r="S116" s="715"/>
      <c r="T116" s="716">
        <f t="shared" si="88"/>
        <v>0.2</v>
      </c>
      <c r="U116" s="716">
        <f t="shared" si="89"/>
        <v>0.2</v>
      </c>
      <c r="V116" s="394"/>
      <c r="W116" s="395"/>
    </row>
    <row r="117" s="547" customFormat="1" ht="30" spans="2:23">
      <c r="B117" s="687"/>
      <c r="C117" s="691" t="s">
        <v>760</v>
      </c>
      <c r="D117" s="696"/>
      <c r="E117" s="472"/>
      <c r="F117" s="575"/>
      <c r="G117" s="693">
        <v>0.11</v>
      </c>
      <c r="H117" s="694">
        <f t="shared" si="80"/>
        <v>0.14</v>
      </c>
      <c r="I117" s="705">
        <f t="shared" si="81"/>
        <v>0.16</v>
      </c>
      <c r="J117" s="693">
        <v>0.11</v>
      </c>
      <c r="K117" s="694">
        <f t="shared" si="82"/>
        <v>0.14</v>
      </c>
      <c r="L117" s="705">
        <f t="shared" si="83"/>
        <v>0.16</v>
      </c>
      <c r="M117" s="637">
        <v>0.09</v>
      </c>
      <c r="N117" s="638">
        <f t="shared" si="84"/>
        <v>0.12</v>
      </c>
      <c r="O117" s="639">
        <f t="shared" si="85"/>
        <v>0.14</v>
      </c>
      <c r="P117" s="706">
        <f t="shared" si="86"/>
        <v>0.11</v>
      </c>
      <c r="Q117" s="715"/>
      <c r="R117" s="706">
        <f t="shared" si="87"/>
        <v>0.11</v>
      </c>
      <c r="S117" s="715"/>
      <c r="T117" s="716">
        <f t="shared" si="88"/>
        <v>0.2</v>
      </c>
      <c r="U117" s="716">
        <f t="shared" si="89"/>
        <v>0.2</v>
      </c>
      <c r="V117" s="392"/>
      <c r="W117" s="393"/>
    </row>
    <row r="118" s="547" customFormat="1" ht="30" customHeight="1" spans="2:23">
      <c r="B118" s="687"/>
      <c r="C118" s="691" t="s">
        <v>145</v>
      </c>
      <c r="D118" s="530" t="s">
        <v>146</v>
      </c>
      <c r="E118" s="11" t="s">
        <v>309</v>
      </c>
      <c r="F118" s="624">
        <v>0.03</v>
      </c>
      <c r="G118" s="693">
        <v>0.06</v>
      </c>
      <c r="H118" s="694">
        <f t="shared" si="80"/>
        <v>0.1</v>
      </c>
      <c r="I118" s="705">
        <f t="shared" si="81"/>
        <v>0.12</v>
      </c>
      <c r="J118" s="693">
        <v>0.06</v>
      </c>
      <c r="K118" s="694">
        <f t="shared" si="82"/>
        <v>0.1</v>
      </c>
      <c r="L118" s="705">
        <f t="shared" si="83"/>
        <v>0.12</v>
      </c>
      <c r="M118" s="637">
        <v>0.05</v>
      </c>
      <c r="N118" s="638">
        <f t="shared" si="84"/>
        <v>0.08</v>
      </c>
      <c r="O118" s="639">
        <f t="shared" si="85"/>
        <v>0.1</v>
      </c>
      <c r="P118" s="707">
        <f t="shared" si="86"/>
        <v>0.1</v>
      </c>
      <c r="Q118" s="707"/>
      <c r="R118" s="707">
        <f t="shared" si="87"/>
        <v>0.1</v>
      </c>
      <c r="S118" s="707"/>
      <c r="T118" s="707">
        <f t="shared" si="88"/>
        <v>0.2</v>
      </c>
      <c r="U118" s="707">
        <f t="shared" si="89"/>
        <v>0.2</v>
      </c>
      <c r="V118" s="322" t="str">
        <f>IFERROR(IF(VLOOKUP(D118,期货合约要素!$D:$Q,12,0)=0,"",VLOOKUP(D118,期货合约要素!$D:$Q,12,0)),IF(VLOOKUP(D118,期权合约要素!$D:$V,17,0)=0,"",VLOOKUP(D118,期权合约要素!$D:$V,17,0)))</f>
        <v/>
      </c>
      <c r="W118" s="323" t="str">
        <f>IFERROR(IF(VLOOKUP(D118,期货合约要素!$D:$Q,14,0)=0,"",VLOOKUP(D118,期货合约要素!$D:$Q,14,0)),IF(VLOOKUP(D118,期权合约要素!$D:$V,19,0)=0,"",VLOOKUP(D118,期权合约要素!$D:$V,19,0)))</f>
        <v/>
      </c>
    </row>
    <row r="119" s="547" customFormat="1" ht="30" customHeight="1" spans="2:23">
      <c r="B119" s="687"/>
      <c r="C119" s="626" t="s">
        <v>157</v>
      </c>
      <c r="D119" s="689" t="s">
        <v>158</v>
      </c>
      <c r="E119" s="18" t="s">
        <v>372</v>
      </c>
      <c r="F119" s="624">
        <v>0.6</v>
      </c>
      <c r="G119" s="571">
        <v>0.15</v>
      </c>
      <c r="H119" s="572">
        <f t="shared" si="80"/>
        <v>0.15</v>
      </c>
      <c r="I119" s="636">
        <f t="shared" si="81"/>
        <v>0.15</v>
      </c>
      <c r="J119" s="571">
        <v>0.15</v>
      </c>
      <c r="K119" s="572">
        <f t="shared" si="82"/>
        <v>0.15</v>
      </c>
      <c r="L119" s="636">
        <f t="shared" si="83"/>
        <v>0.15</v>
      </c>
      <c r="M119" s="637">
        <v>0.05</v>
      </c>
      <c r="N119" s="638">
        <f t="shared" si="84"/>
        <v>0.08</v>
      </c>
      <c r="O119" s="639">
        <f t="shared" si="85"/>
        <v>0.1</v>
      </c>
      <c r="P119" s="669">
        <f t="shared" si="86"/>
        <v>0.15</v>
      </c>
      <c r="Q119" s="669"/>
      <c r="R119" s="669">
        <f t="shared" si="87"/>
        <v>0.15</v>
      </c>
      <c r="S119" s="669"/>
      <c r="T119" s="669">
        <f t="shared" si="88"/>
        <v>0.2</v>
      </c>
      <c r="U119" s="669">
        <f t="shared" si="89"/>
        <v>0.2</v>
      </c>
      <c r="V119" s="322" t="str">
        <f>IFERROR(IF(VLOOKUP(D119,期货合约要素!$D:$Q,12,0)=0,"",VLOOKUP(D119,期货合约要素!$D:$Q,12,0)),IF(VLOOKUP(D119,期权合约要素!$D:$V,17,0)=0,"",VLOOKUP(D119,期权合约要素!$D:$V,17,0)))</f>
        <v/>
      </c>
      <c r="W119" s="323" t="str">
        <f>IFERROR(IF(VLOOKUP(D119,期货合约要素!$D:$Q,14,0)=0,"",VLOOKUP(D119,期货合约要素!$D:$Q,14,0)),IF(VLOOKUP(D119,期权合约要素!$D:$V,19,0)=0,"",VLOOKUP(D119,期权合约要素!$D:$V,19,0)))</f>
        <v/>
      </c>
    </row>
    <row r="120" s="547" customFormat="1" ht="30" customHeight="1" spans="2:23">
      <c r="B120" s="687"/>
      <c r="C120" s="626" t="s">
        <v>159</v>
      </c>
      <c r="D120" s="689" t="s">
        <v>160</v>
      </c>
      <c r="E120" s="18" t="s">
        <v>375</v>
      </c>
      <c r="F120" s="624">
        <v>0.4</v>
      </c>
      <c r="G120" s="571">
        <v>0.1</v>
      </c>
      <c r="H120" s="572">
        <f t="shared" si="80"/>
        <v>0.1</v>
      </c>
      <c r="I120" s="636">
        <f t="shared" si="81"/>
        <v>0.12</v>
      </c>
      <c r="J120" s="571">
        <v>0.1</v>
      </c>
      <c r="K120" s="572">
        <f t="shared" si="82"/>
        <v>0.1</v>
      </c>
      <c r="L120" s="636">
        <f t="shared" si="83"/>
        <v>0.12</v>
      </c>
      <c r="M120" s="637">
        <v>0.05</v>
      </c>
      <c r="N120" s="638">
        <f t="shared" si="84"/>
        <v>0.08</v>
      </c>
      <c r="O120" s="639">
        <f t="shared" si="85"/>
        <v>0.1</v>
      </c>
      <c r="P120" s="668">
        <f t="shared" si="86"/>
        <v>0.1</v>
      </c>
      <c r="Q120" s="668"/>
      <c r="R120" s="668">
        <f t="shared" si="87"/>
        <v>0.1</v>
      </c>
      <c r="S120" s="668"/>
      <c r="T120" s="668">
        <f t="shared" si="88"/>
        <v>0.2</v>
      </c>
      <c r="U120" s="668">
        <f t="shared" si="89"/>
        <v>0.2</v>
      </c>
      <c r="V120" s="322" t="str">
        <f>IFERROR(IF(VLOOKUP(D120,期货合约要素!$D:$Q,12,0)=0,"",VLOOKUP(D120,期货合约要素!$D:$Q,12,0)),IF(VLOOKUP(D120,期权合约要素!$D:$V,17,0)=0,"",VLOOKUP(D120,期权合约要素!$D:$V,17,0)))</f>
        <v/>
      </c>
      <c r="W120" s="323" t="str">
        <f>IFERROR(IF(VLOOKUP(D120,期货合约要素!$D:$Q,14,0)=0,"",VLOOKUP(D120,期货合约要素!$D:$Q,14,0)),IF(VLOOKUP(D120,期权合约要素!$D:$V,19,0)=0,"",VLOOKUP(D120,期权合约要素!$D:$V,19,0)))</f>
        <v/>
      </c>
    </row>
    <row r="121" s="547" customFormat="1" ht="30" customHeight="1" spans="2:23">
      <c r="B121" s="687"/>
      <c r="C121" s="626" t="s">
        <v>161</v>
      </c>
      <c r="D121" s="689" t="s">
        <v>162</v>
      </c>
      <c r="E121" s="18" t="s">
        <v>377</v>
      </c>
      <c r="F121" s="624">
        <v>0.05</v>
      </c>
      <c r="G121" s="571">
        <v>0.08</v>
      </c>
      <c r="H121" s="572">
        <f t="shared" si="80"/>
        <v>0.11</v>
      </c>
      <c r="I121" s="636">
        <f t="shared" si="81"/>
        <v>0.13</v>
      </c>
      <c r="J121" s="571">
        <v>0.08</v>
      </c>
      <c r="K121" s="572">
        <f t="shared" si="82"/>
        <v>0.11</v>
      </c>
      <c r="L121" s="636">
        <f t="shared" si="83"/>
        <v>0.13</v>
      </c>
      <c r="M121" s="637">
        <v>0.06</v>
      </c>
      <c r="N121" s="638">
        <f t="shared" si="84"/>
        <v>0.09</v>
      </c>
      <c r="O121" s="639">
        <f t="shared" si="85"/>
        <v>0.11</v>
      </c>
      <c r="P121" s="668">
        <f t="shared" si="86"/>
        <v>0.1</v>
      </c>
      <c r="Q121" s="668"/>
      <c r="R121" s="668">
        <f t="shared" si="87"/>
        <v>0.1</v>
      </c>
      <c r="S121" s="668"/>
      <c r="T121" s="668">
        <f t="shared" si="88"/>
        <v>0.2</v>
      </c>
      <c r="U121" s="668">
        <f t="shared" si="89"/>
        <v>0.2</v>
      </c>
      <c r="V121" s="322" t="str">
        <f>IFERROR(IF(VLOOKUP(D121,期货合约要素!$D:$Q,12,0)=0,"",VLOOKUP(D121,期货合约要素!$D:$Q,12,0)),IF(VLOOKUP(D121,期权合约要素!$D:$V,17,0)=0,"",VLOOKUP(D121,期权合约要素!$D:$V,17,0)))</f>
        <v/>
      </c>
      <c r="W121" s="323" t="str">
        <f>IFERROR(IF(VLOOKUP(D121,期货合约要素!$D:$Q,14,0)=0,"",VLOOKUP(D121,期货合约要素!$D:$Q,14,0)),IF(VLOOKUP(D121,期权合约要素!$D:$V,19,0)=0,"",VLOOKUP(D121,期权合约要素!$D:$V,19,0)))</f>
        <v/>
      </c>
    </row>
    <row r="122" s="547" customFormat="1" ht="30" customHeight="1" spans="2:23">
      <c r="B122" s="687"/>
      <c r="C122" s="626" t="s">
        <v>151</v>
      </c>
      <c r="D122" s="605" t="s">
        <v>152</v>
      </c>
      <c r="E122" s="606" t="s">
        <v>378</v>
      </c>
      <c r="F122" s="570">
        <v>0.1</v>
      </c>
      <c r="G122" s="571">
        <v>0.07</v>
      </c>
      <c r="H122" s="572">
        <f t="shared" si="80"/>
        <v>0.11</v>
      </c>
      <c r="I122" s="636">
        <f t="shared" si="81"/>
        <v>0.13</v>
      </c>
      <c r="J122" s="571">
        <v>0.07</v>
      </c>
      <c r="K122" s="572">
        <f t="shared" si="82"/>
        <v>0.11</v>
      </c>
      <c r="L122" s="636">
        <f t="shared" si="83"/>
        <v>0.13</v>
      </c>
      <c r="M122" s="637">
        <v>0.06</v>
      </c>
      <c r="N122" s="638">
        <f t="shared" si="84"/>
        <v>0.09</v>
      </c>
      <c r="O122" s="639">
        <f t="shared" si="85"/>
        <v>0.11</v>
      </c>
      <c r="P122" s="668">
        <f t="shared" si="86"/>
        <v>0.1</v>
      </c>
      <c r="Q122" s="668"/>
      <c r="R122" s="668">
        <f t="shared" si="87"/>
        <v>0.1</v>
      </c>
      <c r="S122" s="668"/>
      <c r="T122" s="668">
        <f t="shared" si="88"/>
        <v>0.2</v>
      </c>
      <c r="U122" s="668">
        <f t="shared" si="89"/>
        <v>0.2</v>
      </c>
      <c r="V122" s="330" t="str">
        <f>IFERROR(IF(VLOOKUP(D122,期货合约要素!$D:$Q,12,0)=0,"",VLOOKUP(D122,期货合约要素!$D:$Q,12,0)),IF(VLOOKUP(D122,期权合约要素!$D:$V,17,0)=0,"",VLOOKUP(D122,期权合约要素!$D:$V,17,0)))</f>
        <v/>
      </c>
      <c r="W122" s="391" t="str">
        <f>IFERROR(IF(VLOOKUP(D122,期货合约要素!$D:$Q,14,0)=0,"",VLOOKUP(D122,期货合约要素!$D:$Q,14,0)),IF(VLOOKUP(D122,期权合约要素!$D:$V,19,0)=0,"",VLOOKUP(D122,期权合约要素!$D:$V,19,0)))</f>
        <v/>
      </c>
    </row>
    <row r="123" s="547" customFormat="1" ht="30" customHeight="1" spans="2:23">
      <c r="B123" s="687"/>
      <c r="C123" s="626" t="s">
        <v>761</v>
      </c>
      <c r="D123" s="697"/>
      <c r="E123" s="602"/>
      <c r="F123" s="582"/>
      <c r="G123" s="571">
        <v>0.14</v>
      </c>
      <c r="H123" s="572">
        <f t="shared" si="80"/>
        <v>0.17</v>
      </c>
      <c r="I123" s="636">
        <f t="shared" si="81"/>
        <v>0.19</v>
      </c>
      <c r="J123" s="571">
        <v>0.14</v>
      </c>
      <c r="K123" s="572">
        <f t="shared" si="82"/>
        <v>0.17</v>
      </c>
      <c r="L123" s="636">
        <f t="shared" si="83"/>
        <v>0.19</v>
      </c>
      <c r="M123" s="637">
        <v>0.12</v>
      </c>
      <c r="N123" s="638">
        <f t="shared" si="84"/>
        <v>0.15</v>
      </c>
      <c r="O123" s="639">
        <f t="shared" si="85"/>
        <v>0.17</v>
      </c>
      <c r="P123" s="668">
        <f t="shared" si="86"/>
        <v>0.14</v>
      </c>
      <c r="Q123" s="668"/>
      <c r="R123" s="668">
        <f t="shared" si="87"/>
        <v>0.14</v>
      </c>
      <c r="S123" s="668"/>
      <c r="T123" s="668">
        <f t="shared" si="88"/>
        <v>0.2</v>
      </c>
      <c r="U123" s="668">
        <f t="shared" si="89"/>
        <v>0.2</v>
      </c>
      <c r="V123" s="394"/>
      <c r="W123" s="395"/>
    </row>
    <row r="124" s="547" customFormat="1" ht="30" spans="2:23">
      <c r="B124" s="687"/>
      <c r="C124" s="626" t="s">
        <v>762</v>
      </c>
      <c r="D124" s="607"/>
      <c r="E124" s="608"/>
      <c r="F124" s="575"/>
      <c r="G124" s="571">
        <v>0.1</v>
      </c>
      <c r="H124" s="572">
        <f t="shared" si="80"/>
        <v>0.13</v>
      </c>
      <c r="I124" s="636">
        <f t="shared" si="81"/>
        <v>0.15</v>
      </c>
      <c r="J124" s="571">
        <v>0.1</v>
      </c>
      <c r="K124" s="572">
        <f t="shared" si="82"/>
        <v>0.13</v>
      </c>
      <c r="L124" s="636">
        <f t="shared" si="83"/>
        <v>0.15</v>
      </c>
      <c r="M124" s="637">
        <v>0.08</v>
      </c>
      <c r="N124" s="638">
        <f t="shared" si="84"/>
        <v>0.11</v>
      </c>
      <c r="O124" s="639">
        <f t="shared" si="85"/>
        <v>0.13</v>
      </c>
      <c r="P124" s="668">
        <f t="shared" si="86"/>
        <v>0.1</v>
      </c>
      <c r="Q124" s="668"/>
      <c r="R124" s="668">
        <f t="shared" si="87"/>
        <v>0.1</v>
      </c>
      <c r="S124" s="668"/>
      <c r="T124" s="668">
        <f t="shared" si="88"/>
        <v>0.2</v>
      </c>
      <c r="U124" s="668">
        <f t="shared" si="89"/>
        <v>0.2</v>
      </c>
      <c r="V124" s="392"/>
      <c r="W124" s="393"/>
    </row>
    <row r="125" s="547" customFormat="1" ht="30" customHeight="1" spans="2:23">
      <c r="B125" s="687"/>
      <c r="C125" s="626" t="s">
        <v>153</v>
      </c>
      <c r="D125" s="689" t="s">
        <v>154</v>
      </c>
      <c r="E125" s="18" t="s">
        <v>316</v>
      </c>
      <c r="F125" s="624">
        <v>0.06</v>
      </c>
      <c r="G125" s="571">
        <v>0.07</v>
      </c>
      <c r="H125" s="572">
        <f t="shared" ref="H125:H129" si="90">MAX(G125,N125+2%)</f>
        <v>0.11</v>
      </c>
      <c r="I125" s="636">
        <f t="shared" ref="I125:I129" si="91">MAX(G125,O125+2%)</f>
        <v>0.13</v>
      </c>
      <c r="J125" s="571">
        <v>0.07</v>
      </c>
      <c r="K125" s="572">
        <f t="shared" ref="K125:K129" si="92">MAX(J125,N125+2%)</f>
        <v>0.11</v>
      </c>
      <c r="L125" s="636">
        <f t="shared" ref="L125:L129" si="93">MAX(J125,O125+2%)</f>
        <v>0.13</v>
      </c>
      <c r="M125" s="637">
        <v>0.06</v>
      </c>
      <c r="N125" s="638">
        <f t="shared" ref="N125:N129" si="94">M125+3%</f>
        <v>0.09</v>
      </c>
      <c r="O125" s="639">
        <f t="shared" ref="O125:O129" si="95">N125+2%</f>
        <v>0.11</v>
      </c>
      <c r="P125" s="668">
        <f t="shared" si="86"/>
        <v>0.1</v>
      </c>
      <c r="Q125" s="668"/>
      <c r="R125" s="668">
        <f t="shared" si="87"/>
        <v>0.1</v>
      </c>
      <c r="S125" s="668"/>
      <c r="T125" s="668">
        <f t="shared" si="88"/>
        <v>0.2</v>
      </c>
      <c r="U125" s="668">
        <f t="shared" ref="U125:U133" si="96">MAX(J125,20%)</f>
        <v>0.2</v>
      </c>
      <c r="V125" s="322" t="str">
        <f>IFERROR(IF(VLOOKUP(D125,期货合约要素!$D:$Q,12,0)=0,"",VLOOKUP(D125,期货合约要素!$D:$Q,12,0)),IF(VLOOKUP(D125,期权合约要素!$D:$V,17,0)=0,"",VLOOKUP(D125,期权合约要素!$D:$V,17,0)))</f>
        <v/>
      </c>
      <c r="W125" s="323" t="str">
        <f>IFERROR(IF(VLOOKUP(D125,期货合约要素!$D:$Q,14,0)=0,"",VLOOKUP(D125,期货合约要素!$D:$Q,14,0)),IF(VLOOKUP(D125,期权合约要素!$D:$V,19,0)=0,"",VLOOKUP(D125,期权合约要素!$D:$V,19,0)))</f>
        <v/>
      </c>
    </row>
    <row r="126" s="547" customFormat="1" ht="30" customHeight="1" spans="2:23">
      <c r="B126" s="687"/>
      <c r="C126" s="626" t="s">
        <v>155</v>
      </c>
      <c r="D126" s="689" t="s">
        <v>156</v>
      </c>
      <c r="E126" s="18" t="s">
        <v>380</v>
      </c>
      <c r="F126" s="624">
        <v>0.03</v>
      </c>
      <c r="G126" s="571">
        <v>0.08</v>
      </c>
      <c r="H126" s="572">
        <f t="shared" si="90"/>
        <v>0.11</v>
      </c>
      <c r="I126" s="636">
        <f t="shared" si="91"/>
        <v>0.13</v>
      </c>
      <c r="J126" s="571">
        <v>0.08</v>
      </c>
      <c r="K126" s="572">
        <f t="shared" si="92"/>
        <v>0.11</v>
      </c>
      <c r="L126" s="636">
        <f t="shared" si="93"/>
        <v>0.13</v>
      </c>
      <c r="M126" s="637">
        <v>0.06</v>
      </c>
      <c r="N126" s="638">
        <f t="shared" si="94"/>
        <v>0.09</v>
      </c>
      <c r="O126" s="639">
        <f t="shared" si="95"/>
        <v>0.11</v>
      </c>
      <c r="P126" s="668">
        <f t="shared" si="86"/>
        <v>0.1</v>
      </c>
      <c r="Q126" s="668"/>
      <c r="R126" s="668">
        <f t="shared" si="87"/>
        <v>0.1</v>
      </c>
      <c r="S126" s="668"/>
      <c r="T126" s="668">
        <f t="shared" si="88"/>
        <v>0.2</v>
      </c>
      <c r="U126" s="668">
        <f t="shared" si="96"/>
        <v>0.2</v>
      </c>
      <c r="V126" s="322" t="str">
        <f>IFERROR(IF(VLOOKUP(D126,期货合约要素!$D:$Q,12,0)=0,"",VLOOKUP(D126,期货合约要素!$D:$Q,12,0)),IF(VLOOKUP(D126,期权合约要素!$D:$V,17,0)=0,"",VLOOKUP(D126,期权合约要素!$D:$V,17,0)))</f>
        <v/>
      </c>
      <c r="W126" s="323" t="str">
        <f>IFERROR(IF(VLOOKUP(D126,期货合约要素!$D:$Q,14,0)=0,"",VLOOKUP(D126,期货合约要素!$D:$Q,14,0)),IF(VLOOKUP(D126,期权合约要素!$D:$V,19,0)=0,"",VLOOKUP(D126,期权合约要素!$D:$V,19,0)))</f>
        <v/>
      </c>
    </row>
    <row r="127" s="547" customFormat="1" ht="33.95" customHeight="1" spans="2:23">
      <c r="B127" s="687"/>
      <c r="C127" s="691" t="s">
        <v>133</v>
      </c>
      <c r="D127" s="605" t="s">
        <v>134</v>
      </c>
      <c r="E127" s="606" t="s">
        <v>316</v>
      </c>
      <c r="F127" s="570">
        <v>0.08</v>
      </c>
      <c r="G127" s="698">
        <v>0.07</v>
      </c>
      <c r="H127" s="589">
        <f t="shared" si="90"/>
        <v>0.11</v>
      </c>
      <c r="I127" s="708">
        <f t="shared" si="91"/>
        <v>0.13</v>
      </c>
      <c r="J127" s="698">
        <v>0.07</v>
      </c>
      <c r="K127" s="589">
        <f t="shared" si="92"/>
        <v>0.11</v>
      </c>
      <c r="L127" s="708">
        <f t="shared" si="93"/>
        <v>0.13</v>
      </c>
      <c r="M127" s="645">
        <v>0.06</v>
      </c>
      <c r="N127" s="646">
        <f t="shared" si="94"/>
        <v>0.09</v>
      </c>
      <c r="O127" s="647">
        <f t="shared" si="95"/>
        <v>0.11</v>
      </c>
      <c r="P127" s="648" t="s">
        <v>722</v>
      </c>
      <c r="Q127" s="648"/>
      <c r="R127" s="648" t="s">
        <v>723</v>
      </c>
      <c r="S127" s="648"/>
      <c r="T127" s="648" t="s">
        <v>763</v>
      </c>
      <c r="U127" s="648" t="s">
        <v>764</v>
      </c>
      <c r="V127" s="330" t="str">
        <f>IFERROR(IF(VLOOKUP(D127,期货合约要素!$D:$Q,12,0)=0,"",VLOOKUP(D127,期货合约要素!$D:$Q,12,0)),IF(VLOOKUP(D127,期权合约要素!$D:$V,17,0)=0,"",VLOOKUP(D127,期权合约要素!$D:$V,17,0)))</f>
        <v>√</v>
      </c>
      <c r="W127" s="391" t="str">
        <f>IFERROR(IF(VLOOKUP(D127,期货合约要素!$D:$Q,14,0)=0,"",VLOOKUP(D127,期货合约要素!$D:$Q,14,0)),IF(VLOOKUP(D127,期权合约要素!$D:$V,19,0)=0,"",VLOOKUP(D127,期权合约要素!$D:$V,19,0)))</f>
        <v/>
      </c>
    </row>
    <row r="128" s="547" customFormat="1" ht="36.95" customHeight="1" spans="2:23">
      <c r="B128" s="687"/>
      <c r="C128" s="699"/>
      <c r="D128" s="697"/>
      <c r="E128" s="602"/>
      <c r="F128" s="582"/>
      <c r="G128" s="700"/>
      <c r="H128" s="592"/>
      <c r="I128" s="709"/>
      <c r="J128" s="700"/>
      <c r="K128" s="592"/>
      <c r="L128" s="709"/>
      <c r="M128" s="650"/>
      <c r="N128" s="651"/>
      <c r="O128" s="652"/>
      <c r="P128" s="668">
        <f>MAX(G128,20%)</f>
        <v>0.2</v>
      </c>
      <c r="Q128" s="668"/>
      <c r="R128" s="668">
        <f t="shared" ref="R128:R133" si="97">MAX(J128,15%)</f>
        <v>0.15</v>
      </c>
      <c r="S128" s="668"/>
      <c r="T128" s="668">
        <f t="shared" ref="T128:T133" si="98">MAX(G128,20%)</f>
        <v>0.2</v>
      </c>
      <c r="U128" s="668">
        <f t="shared" si="96"/>
        <v>0.2</v>
      </c>
      <c r="V128" s="394"/>
      <c r="W128" s="395"/>
    </row>
    <row r="129" s="547" customFormat="1" ht="36" customHeight="1" spans="2:23">
      <c r="B129" s="687"/>
      <c r="C129" s="691" t="s">
        <v>765</v>
      </c>
      <c r="D129" s="607"/>
      <c r="E129" s="608"/>
      <c r="F129" s="575"/>
      <c r="G129" s="688">
        <v>0.11</v>
      </c>
      <c r="H129" s="572">
        <f t="shared" si="90"/>
        <v>0.14</v>
      </c>
      <c r="I129" s="703">
        <f t="shared" si="91"/>
        <v>0.16</v>
      </c>
      <c r="J129" s="688">
        <v>0.11</v>
      </c>
      <c r="K129" s="572">
        <f t="shared" si="92"/>
        <v>0.14</v>
      </c>
      <c r="L129" s="703">
        <f t="shared" si="93"/>
        <v>0.16</v>
      </c>
      <c r="M129" s="637">
        <v>0.09</v>
      </c>
      <c r="N129" s="638">
        <f t="shared" si="94"/>
        <v>0.12</v>
      </c>
      <c r="O129" s="639">
        <f t="shared" si="95"/>
        <v>0.14</v>
      </c>
      <c r="P129" s="668">
        <f>MAX(G129,20%)</f>
        <v>0.2</v>
      </c>
      <c r="Q129" s="668"/>
      <c r="R129" s="668">
        <f t="shared" si="97"/>
        <v>0.15</v>
      </c>
      <c r="S129" s="668"/>
      <c r="T129" s="668">
        <f t="shared" si="98"/>
        <v>0.2</v>
      </c>
      <c r="U129" s="668">
        <f t="shared" si="96"/>
        <v>0.2</v>
      </c>
      <c r="V129" s="392"/>
      <c r="W129" s="393"/>
    </row>
    <row r="130" s="547" customFormat="1" ht="36" customHeight="1" spans="2:23">
      <c r="B130" s="687"/>
      <c r="C130" s="691" t="s">
        <v>125</v>
      </c>
      <c r="D130" s="605" t="s">
        <v>126</v>
      </c>
      <c r="E130" s="606" t="s">
        <v>316</v>
      </c>
      <c r="F130" s="570">
        <v>0.08</v>
      </c>
      <c r="G130" s="688">
        <v>0.07</v>
      </c>
      <c r="H130" s="572">
        <f t="shared" ref="H130:H135" si="99">MAX(G130,N130+2%)</f>
        <v>0.11</v>
      </c>
      <c r="I130" s="703">
        <f t="shared" ref="I130:I135" si="100">MAX(G130,O130+2%)</f>
        <v>0.13</v>
      </c>
      <c r="J130" s="688">
        <v>0.07</v>
      </c>
      <c r="K130" s="572">
        <f t="shared" ref="K130:K135" si="101">MAX(J130,N130+2%)</f>
        <v>0.11</v>
      </c>
      <c r="L130" s="703">
        <f t="shared" ref="L130:L135" si="102">MAX(J130,O130+2%)</f>
        <v>0.13</v>
      </c>
      <c r="M130" s="637">
        <v>0.06</v>
      </c>
      <c r="N130" s="638">
        <f t="shared" ref="N130:N135" si="103">M130+3%</f>
        <v>0.09</v>
      </c>
      <c r="O130" s="639">
        <f t="shared" ref="O130:O135" si="104">N130+2%</f>
        <v>0.11</v>
      </c>
      <c r="P130" s="668">
        <f>MAX(C128,20%)</f>
        <v>0.2</v>
      </c>
      <c r="Q130" s="668">
        <f>MAX(D128,20%)</f>
        <v>0.2</v>
      </c>
      <c r="R130" s="668">
        <f t="shared" si="97"/>
        <v>0.15</v>
      </c>
      <c r="S130" s="668"/>
      <c r="T130" s="668">
        <f t="shared" si="98"/>
        <v>0.2</v>
      </c>
      <c r="U130" s="668">
        <f t="shared" si="96"/>
        <v>0.2</v>
      </c>
      <c r="V130" s="330" t="str">
        <f>IFERROR(IF(VLOOKUP(D130,期货合约要素!$D:$Q,12,0)=0,"",VLOOKUP(D130,期货合约要素!$D:$Q,12,0)),IF(VLOOKUP(D130,期权合约要素!$D:$V,17,0)=0,"",VLOOKUP(D130,期权合约要素!$D:$V,17,0)))</f>
        <v>√</v>
      </c>
      <c r="W130" s="391" t="str">
        <f>IFERROR(IF(VLOOKUP(D130,期货合约要素!$D:$Q,14,0)=0,"",VLOOKUP(D130,期货合约要素!$D:$Q,14,0)),IF(VLOOKUP(D130,期权合约要素!$D:$V,19,0)=0,"",VLOOKUP(D130,期权合约要素!$D:$V,19,0)))</f>
        <v/>
      </c>
    </row>
    <row r="131" s="547" customFormat="1" ht="35.1" customHeight="1" spans="2:23">
      <c r="B131" s="717"/>
      <c r="C131" s="691" t="s">
        <v>766</v>
      </c>
      <c r="D131" s="607"/>
      <c r="E131" s="608"/>
      <c r="F131" s="575"/>
      <c r="G131" s="688">
        <v>0.11</v>
      </c>
      <c r="H131" s="572">
        <f t="shared" si="99"/>
        <v>0.14</v>
      </c>
      <c r="I131" s="703">
        <f t="shared" si="100"/>
        <v>0.16</v>
      </c>
      <c r="J131" s="688">
        <v>0.11</v>
      </c>
      <c r="K131" s="572">
        <f t="shared" si="101"/>
        <v>0.14</v>
      </c>
      <c r="L131" s="703">
        <f t="shared" si="102"/>
        <v>0.16</v>
      </c>
      <c r="M131" s="637">
        <v>0.09</v>
      </c>
      <c r="N131" s="638">
        <f t="shared" si="103"/>
        <v>0.12</v>
      </c>
      <c r="O131" s="639">
        <f t="shared" si="104"/>
        <v>0.14</v>
      </c>
      <c r="P131" s="668">
        <f>MAX(C129,20%)</f>
        <v>0.2</v>
      </c>
      <c r="Q131" s="668"/>
      <c r="R131" s="668">
        <f t="shared" si="97"/>
        <v>0.15</v>
      </c>
      <c r="S131" s="668"/>
      <c r="T131" s="668">
        <f t="shared" si="98"/>
        <v>0.2</v>
      </c>
      <c r="U131" s="668">
        <f t="shared" si="96"/>
        <v>0.2</v>
      </c>
      <c r="V131" s="394"/>
      <c r="W131" s="395"/>
    </row>
    <row r="132" s="547" customFormat="1" ht="35.1" customHeight="1" spans="2:23">
      <c r="B132" s="717"/>
      <c r="C132" s="718" t="s">
        <v>129</v>
      </c>
      <c r="D132" s="605" t="s">
        <v>130</v>
      </c>
      <c r="E132" s="606" t="s">
        <v>316</v>
      </c>
      <c r="F132" s="570">
        <v>0.08</v>
      </c>
      <c r="G132" s="698">
        <v>0.07</v>
      </c>
      <c r="H132" s="719">
        <f t="shared" si="99"/>
        <v>0.11</v>
      </c>
      <c r="I132" s="708">
        <f t="shared" si="100"/>
        <v>0.13</v>
      </c>
      <c r="J132" s="698">
        <v>0.07</v>
      </c>
      <c r="K132" s="719">
        <f t="shared" si="101"/>
        <v>0.11</v>
      </c>
      <c r="L132" s="708">
        <f t="shared" si="102"/>
        <v>0.13</v>
      </c>
      <c r="M132" s="645">
        <v>0.06</v>
      </c>
      <c r="N132" s="646">
        <f t="shared" si="103"/>
        <v>0.09</v>
      </c>
      <c r="O132" s="647">
        <f t="shared" si="104"/>
        <v>0.11</v>
      </c>
      <c r="P132" s="714">
        <f>MAX(C129,20%)</f>
        <v>0.2</v>
      </c>
      <c r="Q132" s="714"/>
      <c r="R132" s="714">
        <f t="shared" si="97"/>
        <v>0.15</v>
      </c>
      <c r="S132" s="714"/>
      <c r="T132" s="714">
        <f t="shared" si="98"/>
        <v>0.2</v>
      </c>
      <c r="U132" s="714">
        <f t="shared" si="96"/>
        <v>0.2</v>
      </c>
      <c r="V132" s="330" t="str">
        <f>IFERROR(IF(VLOOKUP(D132,期货合约要素!$D:$Q,12,0)=0,"",VLOOKUP(D132,期货合约要素!$D:$Q,12,0)),IF(VLOOKUP(D132,期权合约要素!$D:$V,17,0)=0,"",VLOOKUP(D132,期权合约要素!$D:$V,17,0)))</f>
        <v>√</v>
      </c>
      <c r="W132" s="391" t="str">
        <f>IFERROR(IF(VLOOKUP(D132,期货合约要素!$D:$Q,14,0)=0,"",VLOOKUP(D132,期货合约要素!$D:$Q,14,0)),IF(VLOOKUP(D132,期权合约要素!$D:$V,19,0)=0,"",VLOOKUP(D132,期权合约要素!$D:$V,19,0)))</f>
        <v/>
      </c>
    </row>
    <row r="133" s="547" customFormat="1" ht="35.1" customHeight="1" spans="2:23">
      <c r="B133" s="717"/>
      <c r="C133" s="718" t="s">
        <v>767</v>
      </c>
      <c r="D133" s="697"/>
      <c r="E133" s="602"/>
      <c r="F133" s="582"/>
      <c r="G133" s="588">
        <v>0.11</v>
      </c>
      <c r="H133" s="589">
        <f t="shared" si="99"/>
        <v>0.14</v>
      </c>
      <c r="I133" s="644">
        <f t="shared" si="100"/>
        <v>0.16</v>
      </c>
      <c r="J133" s="588">
        <v>0.11</v>
      </c>
      <c r="K133" s="589">
        <f t="shared" si="101"/>
        <v>0.14</v>
      </c>
      <c r="L133" s="644">
        <f t="shared" si="102"/>
        <v>0.16</v>
      </c>
      <c r="M133" s="645">
        <v>0.09</v>
      </c>
      <c r="N133" s="646">
        <f t="shared" si="103"/>
        <v>0.12</v>
      </c>
      <c r="O133" s="647">
        <f t="shared" si="104"/>
        <v>0.14</v>
      </c>
      <c r="P133" s="714">
        <f>MAX(C130,20%)</f>
        <v>0.2</v>
      </c>
      <c r="Q133" s="714"/>
      <c r="R133" s="714">
        <f t="shared" si="97"/>
        <v>0.15</v>
      </c>
      <c r="S133" s="714"/>
      <c r="T133" s="714">
        <f t="shared" si="98"/>
        <v>0.2</v>
      </c>
      <c r="U133" s="714">
        <f t="shared" si="96"/>
        <v>0.2</v>
      </c>
      <c r="V133" s="394"/>
      <c r="W133" s="395"/>
    </row>
    <row r="134" s="547" customFormat="1" ht="35.1" customHeight="1" spans="2:23">
      <c r="B134" s="717"/>
      <c r="C134" s="626" t="s">
        <v>768</v>
      </c>
      <c r="D134" s="426" t="s">
        <v>136</v>
      </c>
      <c r="E134" s="18" t="s">
        <v>316</v>
      </c>
      <c r="F134" s="624">
        <v>0.08</v>
      </c>
      <c r="G134" s="571">
        <v>0.07</v>
      </c>
      <c r="H134" s="572">
        <f t="shared" si="99"/>
        <v>0.11</v>
      </c>
      <c r="I134" s="636">
        <f t="shared" si="100"/>
        <v>0.13</v>
      </c>
      <c r="J134" s="571">
        <v>0.07</v>
      </c>
      <c r="K134" s="572">
        <f t="shared" si="101"/>
        <v>0.11</v>
      </c>
      <c r="L134" s="636">
        <f t="shared" si="102"/>
        <v>0.13</v>
      </c>
      <c r="M134" s="637">
        <v>0.06</v>
      </c>
      <c r="N134" s="638">
        <f t="shared" si="103"/>
        <v>0.09</v>
      </c>
      <c r="O134" s="639">
        <f t="shared" si="104"/>
        <v>0.11</v>
      </c>
      <c r="P134" s="668" t="s">
        <v>769</v>
      </c>
      <c r="Q134" s="668"/>
      <c r="R134" s="668"/>
      <c r="S134" s="668"/>
      <c r="T134" s="668"/>
      <c r="U134" s="668"/>
      <c r="V134" s="322" t="str">
        <f>IFERROR(IF(VLOOKUP(D134,期货合约要素!$D:$Q,12,0)=0,"",VLOOKUP(D134,期货合约要素!$D:$Q,12,0)),IF(VLOOKUP(D134,期权合约要素!$D:$V,17,0)=0,"",VLOOKUP(D134,期权合约要素!$D:$V,17,0)))</f>
        <v>√</v>
      </c>
      <c r="W134" s="323" t="str">
        <f>IFERROR(IF(VLOOKUP(D134,期货合约要素!$D:$Q,14,0)=0,"",VLOOKUP(D134,期货合约要素!$D:$Q,14,0)),IF(VLOOKUP(D134,期权合约要素!$D:$V,19,0)=0,"",VLOOKUP(D134,期权合约要素!$D:$V,19,0)))</f>
        <v/>
      </c>
    </row>
    <row r="135" s="547" customFormat="1" ht="35.1" customHeight="1" spans="2:23">
      <c r="B135" s="717"/>
      <c r="C135" s="626" t="s">
        <v>770</v>
      </c>
      <c r="D135" s="426"/>
      <c r="E135" s="18"/>
      <c r="F135" s="624"/>
      <c r="G135" s="571">
        <v>0.11</v>
      </c>
      <c r="H135" s="572">
        <f t="shared" si="99"/>
        <v>0.14</v>
      </c>
      <c r="I135" s="636">
        <f t="shared" si="100"/>
        <v>0.16</v>
      </c>
      <c r="J135" s="571">
        <v>0.11</v>
      </c>
      <c r="K135" s="572">
        <f t="shared" si="101"/>
        <v>0.14</v>
      </c>
      <c r="L135" s="636">
        <f t="shared" si="102"/>
        <v>0.16</v>
      </c>
      <c r="M135" s="637">
        <v>0.09</v>
      </c>
      <c r="N135" s="638">
        <f t="shared" si="103"/>
        <v>0.12</v>
      </c>
      <c r="O135" s="639">
        <f t="shared" si="104"/>
        <v>0.14</v>
      </c>
      <c r="P135" s="668"/>
      <c r="Q135" s="668"/>
      <c r="R135" s="668"/>
      <c r="S135" s="668"/>
      <c r="T135" s="668"/>
      <c r="U135" s="668"/>
      <c r="V135" s="322"/>
      <c r="W135" s="323"/>
    </row>
    <row r="136" s="547" customFormat="1" ht="35.1" customHeight="1" spans="2:23">
      <c r="B136" s="717"/>
      <c r="C136" s="626" t="s">
        <v>771</v>
      </c>
      <c r="D136" s="426" t="s">
        <v>128</v>
      </c>
      <c r="E136" s="18" t="s">
        <v>316</v>
      </c>
      <c r="F136" s="624">
        <v>0.08</v>
      </c>
      <c r="G136" s="571">
        <v>0.07</v>
      </c>
      <c r="H136" s="572">
        <f t="shared" ref="H136:H139" si="105">MAX(G136,N136+2%)</f>
        <v>0.11</v>
      </c>
      <c r="I136" s="636">
        <f t="shared" ref="I136:I139" si="106">MAX(G136,O136+2%)</f>
        <v>0.13</v>
      </c>
      <c r="J136" s="571">
        <v>0.07</v>
      </c>
      <c r="K136" s="572">
        <f t="shared" ref="K136:K139" si="107">MAX(J136,N136+2%)</f>
        <v>0.11</v>
      </c>
      <c r="L136" s="636">
        <f t="shared" ref="L136:L139" si="108">MAX(J136,O136+2%)</f>
        <v>0.13</v>
      </c>
      <c r="M136" s="637">
        <v>0.06</v>
      </c>
      <c r="N136" s="638">
        <f t="shared" ref="N136:N139" si="109">M136+3%</f>
        <v>0.09</v>
      </c>
      <c r="O136" s="639">
        <f t="shared" ref="O136:O139" si="110">N136+2%</f>
        <v>0.11</v>
      </c>
      <c r="P136" s="668"/>
      <c r="Q136" s="668"/>
      <c r="R136" s="668"/>
      <c r="S136" s="668"/>
      <c r="T136" s="668"/>
      <c r="U136" s="668"/>
      <c r="V136" s="322" t="str">
        <f>IFERROR(IF(VLOOKUP(D136,期货合约要素!$D:$Q,12,0)=0,"",VLOOKUP(D136,期货合约要素!$D:$Q,12,0)),IF(VLOOKUP(D136,期权合约要素!$D:$V,17,0)=0,"",VLOOKUP(D136,期权合约要素!$D:$V,17,0)))</f>
        <v>√</v>
      </c>
      <c r="W136" s="323" t="str">
        <f>IFERROR(IF(VLOOKUP(D136,期货合约要素!$D:$Q,14,0)=0,"",VLOOKUP(D136,期货合约要素!$D:$Q,14,0)),IF(VLOOKUP(D136,期权合约要素!$D:$V,19,0)=0,"",VLOOKUP(D136,期权合约要素!$D:$V,19,0)))</f>
        <v/>
      </c>
    </row>
    <row r="137" s="547" customFormat="1" ht="35.1" customHeight="1" spans="2:23">
      <c r="B137" s="717"/>
      <c r="C137" s="567" t="s">
        <v>772</v>
      </c>
      <c r="D137" s="426"/>
      <c r="E137" s="18"/>
      <c r="F137" s="624"/>
      <c r="G137" s="571">
        <v>0.11</v>
      </c>
      <c r="H137" s="572">
        <f t="shared" si="105"/>
        <v>0.14</v>
      </c>
      <c r="I137" s="636">
        <f t="shared" si="106"/>
        <v>0.16</v>
      </c>
      <c r="J137" s="571">
        <v>0.11</v>
      </c>
      <c r="K137" s="572">
        <f t="shared" si="107"/>
        <v>0.14</v>
      </c>
      <c r="L137" s="636">
        <f t="shared" si="108"/>
        <v>0.16</v>
      </c>
      <c r="M137" s="637">
        <v>0.09</v>
      </c>
      <c r="N137" s="638">
        <f t="shared" si="109"/>
        <v>0.12</v>
      </c>
      <c r="O137" s="639">
        <f t="shared" si="110"/>
        <v>0.14</v>
      </c>
      <c r="P137" s="668"/>
      <c r="Q137" s="668"/>
      <c r="R137" s="668"/>
      <c r="S137" s="668"/>
      <c r="T137" s="668"/>
      <c r="U137" s="668"/>
      <c r="V137" s="322"/>
      <c r="W137" s="323"/>
    </row>
    <row r="138" s="547" customFormat="1" ht="35.1" customHeight="1" spans="2:23">
      <c r="B138" s="717"/>
      <c r="C138" s="567" t="s">
        <v>773</v>
      </c>
      <c r="D138" s="426" t="s">
        <v>132</v>
      </c>
      <c r="E138" s="18" t="s">
        <v>316</v>
      </c>
      <c r="F138" s="624">
        <v>0.08</v>
      </c>
      <c r="G138" s="571">
        <v>0.07</v>
      </c>
      <c r="H138" s="572">
        <f t="shared" si="105"/>
        <v>0.11</v>
      </c>
      <c r="I138" s="636">
        <f t="shared" si="106"/>
        <v>0.13</v>
      </c>
      <c r="J138" s="571">
        <v>0.07</v>
      </c>
      <c r="K138" s="572">
        <f t="shared" si="107"/>
        <v>0.11</v>
      </c>
      <c r="L138" s="636">
        <f t="shared" si="108"/>
        <v>0.13</v>
      </c>
      <c r="M138" s="637">
        <v>0.06</v>
      </c>
      <c r="N138" s="638">
        <f t="shared" si="109"/>
        <v>0.09</v>
      </c>
      <c r="O138" s="639">
        <f t="shared" si="110"/>
        <v>0.11</v>
      </c>
      <c r="P138" s="668"/>
      <c r="Q138" s="668"/>
      <c r="R138" s="668"/>
      <c r="S138" s="668"/>
      <c r="T138" s="668"/>
      <c r="U138" s="668"/>
      <c r="V138" s="322" t="str">
        <f>IFERROR(IF(VLOOKUP(D138,期货合约要素!$D:$Q,12,0)=0,"",VLOOKUP(D138,期货合约要素!$D:$Q,12,0)),IF(VLOOKUP(D138,期权合约要素!$D:$V,17,0)=0,"",VLOOKUP(D138,期权合约要素!$D:$V,17,0)))</f>
        <v>√</v>
      </c>
      <c r="W138" s="323" t="str">
        <f>IFERROR(IF(VLOOKUP(D138,期货合约要素!$D:$Q,14,0)=0,"",VLOOKUP(D138,期货合约要素!$D:$Q,14,0)),IF(VLOOKUP(D138,期权合约要素!$D:$V,19,0)=0,"",VLOOKUP(D138,期权合约要素!$D:$V,19,0)))</f>
        <v/>
      </c>
    </row>
    <row r="139" s="547" customFormat="1" ht="35.1" customHeight="1" spans="2:23">
      <c r="B139" s="720"/>
      <c r="C139" s="594" t="s">
        <v>774</v>
      </c>
      <c r="D139" s="510"/>
      <c r="E139" s="721"/>
      <c r="F139" s="722"/>
      <c r="G139" s="597">
        <v>0.11</v>
      </c>
      <c r="H139" s="598">
        <f t="shared" si="105"/>
        <v>0.14</v>
      </c>
      <c r="I139" s="653">
        <f t="shared" si="106"/>
        <v>0.16</v>
      </c>
      <c r="J139" s="597">
        <v>0.11</v>
      </c>
      <c r="K139" s="598">
        <f t="shared" si="107"/>
        <v>0.14</v>
      </c>
      <c r="L139" s="653">
        <f t="shared" si="108"/>
        <v>0.16</v>
      </c>
      <c r="M139" s="750">
        <v>0.09</v>
      </c>
      <c r="N139" s="751">
        <f t="shared" si="109"/>
        <v>0.12</v>
      </c>
      <c r="O139" s="752">
        <f t="shared" si="110"/>
        <v>0.14</v>
      </c>
      <c r="P139" s="753"/>
      <c r="Q139" s="753"/>
      <c r="R139" s="753"/>
      <c r="S139" s="753"/>
      <c r="T139" s="753"/>
      <c r="U139" s="753"/>
      <c r="V139" s="388"/>
      <c r="W139" s="389"/>
    </row>
    <row r="140" s="547" customFormat="1" ht="30" customHeight="1" spans="2:21">
      <c r="B140" s="723"/>
      <c r="C140" s="724"/>
      <c r="D140" s="724"/>
      <c r="E140" s="725"/>
      <c r="F140" s="726"/>
      <c r="G140" s="727"/>
      <c r="H140" s="727"/>
      <c r="I140" s="727"/>
      <c r="J140" s="754"/>
      <c r="K140" s="727"/>
      <c r="L140" s="727"/>
      <c r="M140" s="754"/>
      <c r="N140" s="754"/>
      <c r="O140" s="754"/>
      <c r="P140" s="755"/>
      <c r="Q140" s="755"/>
      <c r="R140" s="755"/>
      <c r="S140" s="755"/>
      <c r="T140" s="755"/>
      <c r="U140" s="770"/>
    </row>
    <row r="141" s="547" customFormat="1" ht="24.95" customHeight="1" spans="2:23">
      <c r="B141" s="552" t="s">
        <v>35</v>
      </c>
      <c r="C141" s="553" t="s">
        <v>36</v>
      </c>
      <c r="D141" s="497" t="s">
        <v>37</v>
      </c>
      <c r="E141" s="497" t="s">
        <v>686</v>
      </c>
      <c r="F141" s="497" t="s">
        <v>687</v>
      </c>
      <c r="G141" s="540" t="s">
        <v>688</v>
      </c>
      <c r="H141" s="540"/>
      <c r="I141" s="540"/>
      <c r="J141" s="540"/>
      <c r="K141" s="540"/>
      <c r="L141" s="540"/>
      <c r="M141" s="497" t="s">
        <v>689</v>
      </c>
      <c r="N141" s="497"/>
      <c r="O141" s="497"/>
      <c r="P141" s="497" t="s">
        <v>732</v>
      </c>
      <c r="Q141" s="497"/>
      <c r="R141" s="497"/>
      <c r="S141" s="497"/>
      <c r="T141" s="497"/>
      <c r="U141" s="497"/>
      <c r="V141" s="317" t="s">
        <v>40</v>
      </c>
      <c r="W141" s="318" t="s">
        <v>41</v>
      </c>
    </row>
    <row r="142" s="547" customFormat="1" ht="35.25" customHeight="1" spans="2:23">
      <c r="B142" s="554"/>
      <c r="C142" s="487"/>
      <c r="D142" s="431"/>
      <c r="E142" s="431"/>
      <c r="F142" s="431"/>
      <c r="G142" s="555" t="s">
        <v>691</v>
      </c>
      <c r="H142" s="555"/>
      <c r="I142" s="555"/>
      <c r="J142" s="555" t="s">
        <v>692</v>
      </c>
      <c r="K142" s="555"/>
      <c r="L142" s="555"/>
      <c r="M142" s="431"/>
      <c r="N142" s="431"/>
      <c r="O142" s="431"/>
      <c r="P142" s="431" t="s">
        <v>693</v>
      </c>
      <c r="Q142" s="431"/>
      <c r="R142" s="431"/>
      <c r="S142" s="431"/>
      <c r="T142" s="431" t="s">
        <v>753</v>
      </c>
      <c r="U142" s="431"/>
      <c r="V142" s="423"/>
      <c r="W142" s="440"/>
    </row>
    <row r="143" s="547" customFormat="1" ht="66" customHeight="1" spans="2:23">
      <c r="B143" s="554"/>
      <c r="C143" s="487"/>
      <c r="D143" s="431"/>
      <c r="E143" s="431"/>
      <c r="F143" s="431"/>
      <c r="G143" s="431" t="s">
        <v>695</v>
      </c>
      <c r="H143" s="431" t="s">
        <v>696</v>
      </c>
      <c r="I143" s="431" t="s">
        <v>697</v>
      </c>
      <c r="J143" s="431" t="s">
        <v>695</v>
      </c>
      <c r="K143" s="431" t="s">
        <v>696</v>
      </c>
      <c r="L143" s="431" t="s">
        <v>697</v>
      </c>
      <c r="M143" s="431" t="s">
        <v>695</v>
      </c>
      <c r="N143" s="431" t="s">
        <v>698</v>
      </c>
      <c r="O143" s="431" t="s">
        <v>699</v>
      </c>
      <c r="P143" s="555" t="s">
        <v>754</v>
      </c>
      <c r="Q143" s="555"/>
      <c r="R143" s="555" t="s">
        <v>755</v>
      </c>
      <c r="S143" s="555"/>
      <c r="T143" s="648" t="s">
        <v>775</v>
      </c>
      <c r="U143" s="648" t="s">
        <v>776</v>
      </c>
      <c r="V143" s="423"/>
      <c r="W143" s="440"/>
    </row>
    <row r="144" s="547" customFormat="1" ht="30" customHeight="1" spans="2:23">
      <c r="B144" s="728" t="s">
        <v>777</v>
      </c>
      <c r="C144" s="729" t="s">
        <v>221</v>
      </c>
      <c r="D144" s="689" t="s">
        <v>222</v>
      </c>
      <c r="E144" s="18" t="s">
        <v>316</v>
      </c>
      <c r="F144" s="730">
        <v>0.06</v>
      </c>
      <c r="G144" s="571">
        <v>0.1</v>
      </c>
      <c r="H144" s="572">
        <f>MAX(G144,N144+2%)</f>
        <v>0.13</v>
      </c>
      <c r="I144" s="636">
        <f>MAX(G144,O144+2%)</f>
        <v>0.15</v>
      </c>
      <c r="J144" s="571">
        <v>0.09</v>
      </c>
      <c r="K144" s="572">
        <f>MAX(J144,N144+2%)</f>
        <v>0.13</v>
      </c>
      <c r="L144" s="636">
        <f>MAX(J144,O144+2%)</f>
        <v>0.15</v>
      </c>
      <c r="M144" s="665">
        <v>0.08</v>
      </c>
      <c r="N144" s="666">
        <f>M144+3%</f>
        <v>0.11</v>
      </c>
      <c r="O144" s="667">
        <f>N144+2%</f>
        <v>0.13</v>
      </c>
      <c r="P144" s="668">
        <f>MAX(G144,10%)</f>
        <v>0.1</v>
      </c>
      <c r="Q144" s="668"/>
      <c r="R144" s="668">
        <f>MAX(J144,10%)</f>
        <v>0.1</v>
      </c>
      <c r="S144" s="668"/>
      <c r="T144" s="668">
        <f>MAX(G144,20%)</f>
        <v>0.2</v>
      </c>
      <c r="U144" s="668">
        <f>MAX(J144,20%)</f>
        <v>0.2</v>
      </c>
      <c r="V144" s="322" t="str">
        <f>IFERROR(IF(VLOOKUP(D144,期货合约要素!$D:$Q,12,0)=0,"",VLOOKUP(D144,期货合约要素!$D:$Q,12,0)),IF(VLOOKUP(D144,期权合约要素!$D:$V,17,0)=0,"",VLOOKUP(D144,期权合约要素!$D:$V,17,0)))</f>
        <v>√</v>
      </c>
      <c r="W144" s="323" t="str">
        <f>IFERROR(IF(VLOOKUP(D144,期货合约要素!$D:$Q,14,0)=0,"",VLOOKUP(D144,期货合约要素!$D:$Q,14,0)),IF(VLOOKUP(D144,期权合约要素!$D:$V,19,0)=0,"",VLOOKUP(D144,期权合约要素!$D:$V,19,0)))</f>
        <v/>
      </c>
    </row>
    <row r="145" s="547" customFormat="1" ht="30" spans="2:23">
      <c r="B145" s="728"/>
      <c r="C145" s="567" t="s">
        <v>223</v>
      </c>
      <c r="D145" s="689" t="s">
        <v>224</v>
      </c>
      <c r="E145" s="18" t="s">
        <v>332</v>
      </c>
      <c r="F145" s="624">
        <v>0.11</v>
      </c>
      <c r="G145" s="571">
        <v>0.15</v>
      </c>
      <c r="H145" s="572">
        <f>MAX(G145,N145+2%)</f>
        <v>0.18</v>
      </c>
      <c r="I145" s="636">
        <f>MAX(G145,O145+2%)</f>
        <v>0.2</v>
      </c>
      <c r="J145" s="571">
        <v>0.14</v>
      </c>
      <c r="K145" s="572">
        <f>MAX(J145,N145+2%)</f>
        <v>0.18</v>
      </c>
      <c r="L145" s="636">
        <f>MAX(J145,O145+2%)</f>
        <v>0.2</v>
      </c>
      <c r="M145" s="756">
        <v>0.13</v>
      </c>
      <c r="N145" s="757">
        <f>M145+3%</f>
        <v>0.16</v>
      </c>
      <c r="O145" s="758">
        <f>N145+2%</f>
        <v>0.18</v>
      </c>
      <c r="P145" s="487" t="s">
        <v>778</v>
      </c>
      <c r="Q145" s="431"/>
      <c r="R145" s="431" t="s">
        <v>779</v>
      </c>
      <c r="S145" s="431"/>
      <c r="T145" s="648" t="s">
        <v>722</v>
      </c>
      <c r="U145" s="648" t="s">
        <v>723</v>
      </c>
      <c r="V145" s="330" t="str">
        <f>IFERROR(IF(VLOOKUP(D145,期货合约要素!$D:$Q,12,0)=0,"",VLOOKUP(D145,期货合约要素!$D:$Q,12,0)),IF(VLOOKUP(D145,期权合约要素!$D:$V,17,0)=0,"",VLOOKUP(D145,期权合约要素!$D:$V,17,0)))</f>
        <v>√</v>
      </c>
      <c r="W145" s="323" t="str">
        <f>IFERROR(IF(VLOOKUP(D145,期货合约要素!$D:$Q,14,0)=0,"",VLOOKUP(D145,期货合约要素!$D:$Q,14,0)),IF(VLOOKUP(D145,期权合约要素!$D:$V,19,0)=0,"",VLOOKUP(D145,期权合约要素!$D:$V,19,0)))</f>
        <v>√</v>
      </c>
    </row>
    <row r="146" s="547" customFormat="1" ht="30" customHeight="1" spans="2:23">
      <c r="B146" s="728"/>
      <c r="C146" s="567"/>
      <c r="D146" s="689"/>
      <c r="E146" s="18"/>
      <c r="F146" s="624"/>
      <c r="G146" s="731"/>
      <c r="H146" s="732"/>
      <c r="I146" s="759"/>
      <c r="J146" s="731"/>
      <c r="K146" s="732"/>
      <c r="L146" s="759"/>
      <c r="M146" s="760"/>
      <c r="N146" s="761"/>
      <c r="O146" s="762"/>
      <c r="P146" s="763">
        <f>MAX(G145,10%)</f>
        <v>0.15</v>
      </c>
      <c r="Q146" s="669"/>
      <c r="R146" s="669">
        <f>MAX(J145,10%)</f>
        <v>0.14</v>
      </c>
      <c r="S146" s="669"/>
      <c r="T146" s="668">
        <f>MAX(G145,20%)</f>
        <v>0.2</v>
      </c>
      <c r="U146" s="771">
        <f>MAX(J145,20%)</f>
        <v>0.2</v>
      </c>
      <c r="V146" s="392"/>
      <c r="W146" s="323"/>
    </row>
    <row r="147" s="547" customFormat="1" ht="41.1" customHeight="1" spans="2:23">
      <c r="B147" s="728"/>
      <c r="C147" s="567" t="s">
        <v>225</v>
      </c>
      <c r="D147" s="491" t="s">
        <v>226</v>
      </c>
      <c r="E147" s="492" t="s">
        <v>398</v>
      </c>
      <c r="F147" s="570">
        <v>0.07</v>
      </c>
      <c r="G147" s="571">
        <v>0.13</v>
      </c>
      <c r="H147" s="572">
        <f>MAX(G147,N147+2%)</f>
        <v>0.14</v>
      </c>
      <c r="I147" s="636">
        <f>MAX(G147,O147+2%)</f>
        <v>0.16</v>
      </c>
      <c r="J147" s="571">
        <v>0.13</v>
      </c>
      <c r="K147" s="572">
        <f>MAX(J147,N147+2%)</f>
        <v>0.14</v>
      </c>
      <c r="L147" s="636">
        <f>MAX(J147,O147+2%)</f>
        <v>0.16</v>
      </c>
      <c r="M147" s="637">
        <v>0.09</v>
      </c>
      <c r="N147" s="638">
        <f>M147+3%</f>
        <v>0.12</v>
      </c>
      <c r="O147" s="639">
        <f>N147+2%</f>
        <v>0.14</v>
      </c>
      <c r="P147" s="669">
        <f>MAX(G147,10%)</f>
        <v>0.13</v>
      </c>
      <c r="Q147" s="669"/>
      <c r="R147" s="669">
        <f>MAX(J147,10%)</f>
        <v>0.13</v>
      </c>
      <c r="S147" s="669"/>
      <c r="T147" s="669">
        <f>MAX(G147,20%)</f>
        <v>0.2</v>
      </c>
      <c r="U147" s="772">
        <f>MAX(J147,20%)</f>
        <v>0.2</v>
      </c>
      <c r="V147" s="324" t="str">
        <f>IFERROR(IF(VLOOKUP(D147,期货合约要素!$D:$Q,12,0)=0,"",VLOOKUP(D147,期货合约要素!$D:$Q,12,0)),IF(VLOOKUP(D147,期权合约要素!$D:$V,17,0)=0,"",VLOOKUP(D147,期权合约要素!$D:$V,17,0)))</f>
        <v>√</v>
      </c>
      <c r="W147" s="773"/>
    </row>
    <row r="148" s="547" customFormat="1" ht="41.1" customHeight="1" spans="2:23">
      <c r="B148" s="728"/>
      <c r="C148" s="567" t="s">
        <v>227</v>
      </c>
      <c r="D148" s="426" t="s">
        <v>228</v>
      </c>
      <c r="E148" s="12" t="s">
        <v>399</v>
      </c>
      <c r="F148" s="733">
        <v>0.11</v>
      </c>
      <c r="G148" s="571">
        <v>0.16</v>
      </c>
      <c r="H148" s="572">
        <f>MAX(G148,N148+2%)</f>
        <v>0.19</v>
      </c>
      <c r="I148" s="636">
        <f>MAX(G148,O148+2%)</f>
        <v>0.21</v>
      </c>
      <c r="J148" s="571">
        <v>0.16</v>
      </c>
      <c r="K148" s="572">
        <f>MAX(J148,N148+2%)</f>
        <v>0.19</v>
      </c>
      <c r="L148" s="636">
        <f>MAX(J148,O148+2%)</f>
        <v>0.21</v>
      </c>
      <c r="M148" s="637">
        <v>0.14</v>
      </c>
      <c r="N148" s="638">
        <f>M148+3%</f>
        <v>0.17</v>
      </c>
      <c r="O148" s="639">
        <f>N148+2%</f>
        <v>0.19</v>
      </c>
      <c r="P148" s="763">
        <f>MAX(G148,10%)</f>
        <v>0.16</v>
      </c>
      <c r="Q148" s="669"/>
      <c r="R148" s="669">
        <f>MAX(J148,10%)</f>
        <v>0.16</v>
      </c>
      <c r="S148" s="669"/>
      <c r="T148" s="669">
        <f>MAX(G148,20%)</f>
        <v>0.2</v>
      </c>
      <c r="U148" s="772">
        <f>MAX(J148,20%)</f>
        <v>0.2</v>
      </c>
      <c r="V148" s="324" t="str">
        <f>IFERROR(IF(VLOOKUP(D148,期货合约要素!$D:$Q,12,0)=0,"",VLOOKUP(D148,期货合约要素!$D:$Q,12,0)),IF(VLOOKUP(D148,期权合约要素!$D:$V,17,0)=0,"",VLOOKUP(D148,期权合约要素!$D:$V,17,0)))</f>
        <v/>
      </c>
      <c r="W148" s="773" t="str">
        <f>IFERROR(IF(VLOOKUP(D148,期货合约要素!$D:$Q,14,0)=0,"",VLOOKUP(D148,期货合约要素!$D:$Q,14,0)),IF(VLOOKUP(D148,期权合约要素!$D:$V,19,0)=0,"",VLOOKUP(D148,期权合约要素!$D:$V,19,0)))</f>
        <v/>
      </c>
    </row>
    <row r="149" s="547" customFormat="1" ht="41.1" customHeight="1" spans="2:23">
      <c r="B149" s="734"/>
      <c r="C149" s="594" t="s">
        <v>229</v>
      </c>
      <c r="D149" s="510" t="s">
        <v>230</v>
      </c>
      <c r="E149" s="450" t="s">
        <v>399</v>
      </c>
      <c r="F149" s="735">
        <v>0.11</v>
      </c>
      <c r="G149" s="597">
        <v>0.16</v>
      </c>
      <c r="H149" s="598">
        <f>MAX(G149,N149+2%)</f>
        <v>0.19</v>
      </c>
      <c r="I149" s="653">
        <f>MAX(G149,O149+2%)</f>
        <v>0.21</v>
      </c>
      <c r="J149" s="597">
        <v>0.16</v>
      </c>
      <c r="K149" s="598">
        <f>MAX(J149,N149+2%)</f>
        <v>0.19</v>
      </c>
      <c r="L149" s="653">
        <f>MAX(J149,O149+2%)</f>
        <v>0.21</v>
      </c>
      <c r="M149" s="654">
        <v>0.14</v>
      </c>
      <c r="N149" s="655">
        <f>M149+3%</f>
        <v>0.17</v>
      </c>
      <c r="O149" s="656">
        <f>N149+2%</f>
        <v>0.19</v>
      </c>
      <c r="P149" s="764">
        <f>MAX(G149,10%)</f>
        <v>0.16</v>
      </c>
      <c r="Q149" s="701"/>
      <c r="R149" s="701">
        <f>MAX(J149,10%)</f>
        <v>0.16</v>
      </c>
      <c r="S149" s="701"/>
      <c r="T149" s="701">
        <f>MAX(G149,20%)</f>
        <v>0.2</v>
      </c>
      <c r="U149" s="774">
        <f>MAX(J149,20%)</f>
        <v>0.2</v>
      </c>
      <c r="V149" s="535" t="str">
        <f>IFERROR(IF(VLOOKUP(D149,期货合约要素!$D:$Q,12,0)=0,"",VLOOKUP(D149,期货合约要素!$D:$Q,12,0)),IF(VLOOKUP(D149,期权合约要素!$D:$V,17,0)=0,"",VLOOKUP(D149,期权合约要素!$D:$V,17,0)))</f>
        <v/>
      </c>
      <c r="W149" s="775" t="str">
        <f>IFERROR(IF(VLOOKUP(D149,期货合约要素!$D:$Q,14,0)=0,"",VLOOKUP(D149,期货合约要素!$D:$Q,14,0)),IF(VLOOKUP(D149,期权合约要素!$D:$V,19,0)=0,"",VLOOKUP(D149,期权合约要素!$D:$V,19,0)))</f>
        <v/>
      </c>
    </row>
    <row r="150" s="547" customFormat="1" customHeight="1" spans="2:21">
      <c r="B150" s="736"/>
      <c r="C150" s="736"/>
      <c r="D150" s="736"/>
      <c r="E150" s="736"/>
      <c r="F150" s="737"/>
      <c r="G150" s="737"/>
      <c r="H150" s="737"/>
      <c r="I150" s="737"/>
      <c r="J150" s="737"/>
      <c r="K150" s="737"/>
      <c r="L150" s="737"/>
      <c r="M150" s="737"/>
      <c r="N150" s="737"/>
      <c r="O150" s="737"/>
      <c r="P150" s="765"/>
      <c r="Q150" s="765"/>
      <c r="R150" s="765"/>
      <c r="S150" s="765"/>
      <c r="T150" s="765"/>
      <c r="U150" s="770"/>
    </row>
    <row r="151" s="547" customFormat="1" ht="24.95" customHeight="1" spans="2:20">
      <c r="B151" s="552" t="s">
        <v>35</v>
      </c>
      <c r="C151" s="553" t="s">
        <v>36</v>
      </c>
      <c r="D151" s="497" t="s">
        <v>37</v>
      </c>
      <c r="E151" s="497" t="s">
        <v>686</v>
      </c>
      <c r="F151" s="497" t="s">
        <v>687</v>
      </c>
      <c r="G151" s="497" t="s">
        <v>780</v>
      </c>
      <c r="H151" s="497"/>
      <c r="I151" s="540" t="s">
        <v>781</v>
      </c>
      <c r="J151" s="540"/>
      <c r="K151" s="540"/>
      <c r="L151" s="540"/>
      <c r="M151" s="497" t="s">
        <v>732</v>
      </c>
      <c r="N151" s="497"/>
      <c r="O151" s="497"/>
      <c r="P151" s="497"/>
      <c r="Q151" s="497"/>
      <c r="R151" s="497"/>
      <c r="S151" s="317" t="s">
        <v>40</v>
      </c>
      <c r="T151" s="318" t="s">
        <v>41</v>
      </c>
    </row>
    <row r="152" s="547" customFormat="1" spans="2:20">
      <c r="B152" s="554"/>
      <c r="C152" s="487"/>
      <c r="D152" s="431"/>
      <c r="E152" s="431"/>
      <c r="F152" s="431"/>
      <c r="G152" s="431"/>
      <c r="H152" s="431"/>
      <c r="I152" s="431" t="s">
        <v>782</v>
      </c>
      <c r="J152" s="431"/>
      <c r="K152" s="431" t="s">
        <v>783</v>
      </c>
      <c r="L152" s="431"/>
      <c r="M152" s="431" t="s">
        <v>784</v>
      </c>
      <c r="N152" s="431"/>
      <c r="O152" s="431"/>
      <c r="P152" s="431"/>
      <c r="Q152" s="431"/>
      <c r="R152" s="431"/>
      <c r="S152" s="423"/>
      <c r="T152" s="440"/>
    </row>
    <row r="153" s="547" customFormat="1" ht="30" spans="2:20">
      <c r="B153" s="554"/>
      <c r="C153" s="487"/>
      <c r="D153" s="431"/>
      <c r="E153" s="431"/>
      <c r="F153" s="431"/>
      <c r="G153" s="431" t="s">
        <v>691</v>
      </c>
      <c r="H153" s="431" t="s">
        <v>785</v>
      </c>
      <c r="I153" s="431" t="s">
        <v>786</v>
      </c>
      <c r="J153" s="431" t="s">
        <v>785</v>
      </c>
      <c r="K153" s="431" t="s">
        <v>786</v>
      </c>
      <c r="L153" s="431" t="s">
        <v>785</v>
      </c>
      <c r="M153" s="431"/>
      <c r="N153" s="431"/>
      <c r="O153" s="431"/>
      <c r="P153" s="431"/>
      <c r="Q153" s="431"/>
      <c r="R153" s="431"/>
      <c r="S153" s="423"/>
      <c r="T153" s="440"/>
    </row>
    <row r="154" s="547" customFormat="1" ht="30" customHeight="1" spans="2:20">
      <c r="B154" s="738" t="s">
        <v>787</v>
      </c>
      <c r="C154" s="729" t="s">
        <v>242</v>
      </c>
      <c r="D154" s="689" t="s">
        <v>243</v>
      </c>
      <c r="E154" s="18">
        <v>300</v>
      </c>
      <c r="F154" s="739">
        <v>0.02</v>
      </c>
      <c r="G154" s="571">
        <v>0.12</v>
      </c>
      <c r="H154" s="740">
        <v>0.1</v>
      </c>
      <c r="I154" s="766" t="s">
        <v>788</v>
      </c>
      <c r="J154" s="766"/>
      <c r="K154" s="766"/>
      <c r="L154" s="766"/>
      <c r="M154" s="322" t="s">
        <v>789</v>
      </c>
      <c r="N154" s="322"/>
      <c r="O154" s="322"/>
      <c r="P154" s="322"/>
      <c r="Q154" s="322"/>
      <c r="R154" s="322"/>
      <c r="S154" s="322" t="str">
        <f>IFERROR(IF(VLOOKUP(D154,期货合约要素!$D:$Q,12,0)=0,"",VLOOKUP(D154,期货合约要素!$D:$Q,12,0)),IF(VLOOKUP(D154,期权合约要素!$D:$V,17,0)=0,"",VLOOKUP(D154,期权合约要素!$D:$V,17,0)))</f>
        <v>√</v>
      </c>
      <c r="T154" s="323" t="str">
        <f>IFERROR(IF(VLOOKUP(D154,期货合约要素!$D:$Q,14,0)=0,"",VLOOKUP(D154,期货合约要素!$D:$Q,14,0)),IF(VLOOKUP(D154,期权合约要素!$D:$V,19,0)=0,"",VLOOKUP(D154,期权合约要素!$D:$V,19,0)))</f>
        <v/>
      </c>
    </row>
    <row r="155" s="547" customFormat="1" ht="30" customHeight="1" spans="2:20">
      <c r="B155" s="738"/>
      <c r="C155" s="729" t="s">
        <v>245</v>
      </c>
      <c r="D155" s="689" t="s">
        <v>246</v>
      </c>
      <c r="E155" s="18">
        <v>300</v>
      </c>
      <c r="F155" s="739">
        <v>0.02</v>
      </c>
      <c r="G155" s="571">
        <v>0.12</v>
      </c>
      <c r="H155" s="740">
        <v>0.1</v>
      </c>
      <c r="I155" s="766"/>
      <c r="J155" s="766"/>
      <c r="K155" s="766"/>
      <c r="L155" s="766"/>
      <c r="M155" s="322" t="s">
        <v>789</v>
      </c>
      <c r="N155" s="322"/>
      <c r="O155" s="322"/>
      <c r="P155" s="322"/>
      <c r="Q155" s="322"/>
      <c r="R155" s="322"/>
      <c r="S155" s="322" t="str">
        <f>IFERROR(IF(VLOOKUP(D155,期货合约要素!$D:$Q,12,0)=0,"",VLOOKUP(D155,期货合约要素!$D:$Q,12,0)),IF(VLOOKUP(D155,期权合约要素!$D:$V,17,0)=0,"",VLOOKUP(D155,期权合约要素!$D:$V,17,0)))</f>
        <v>√</v>
      </c>
      <c r="T155" s="323" t="str">
        <f>IFERROR(IF(VLOOKUP(D155,期货合约要素!$D:$Q,14,0)=0,"",VLOOKUP(D155,期货合约要素!$D:$Q,14,0)),IF(VLOOKUP(D155,期权合约要素!$D:$V,19,0)=0,"",VLOOKUP(D155,期权合约要素!$D:$V,19,0)))</f>
        <v/>
      </c>
    </row>
    <row r="156" s="547" customFormat="1" ht="30" customHeight="1" spans="2:20">
      <c r="B156" s="738"/>
      <c r="C156" s="729" t="s">
        <v>247</v>
      </c>
      <c r="D156" s="689" t="s">
        <v>248</v>
      </c>
      <c r="E156" s="18">
        <v>200</v>
      </c>
      <c r="F156" s="739">
        <v>0.02</v>
      </c>
      <c r="G156" s="571">
        <v>0.12</v>
      </c>
      <c r="H156" s="740">
        <v>0.1</v>
      </c>
      <c r="I156" s="766"/>
      <c r="J156" s="766"/>
      <c r="K156" s="766"/>
      <c r="L156" s="766"/>
      <c r="M156" s="322" t="s">
        <v>789</v>
      </c>
      <c r="N156" s="322"/>
      <c r="O156" s="322"/>
      <c r="P156" s="322"/>
      <c r="Q156" s="322"/>
      <c r="R156" s="322"/>
      <c r="S156" s="322" t="str">
        <f>IFERROR(IF(VLOOKUP(D156,期货合约要素!$D:$Q,12,0)=0,"",VLOOKUP(D156,期货合约要素!$D:$Q,12,0)),IF(VLOOKUP(D156,期权合约要素!$D:$V,17,0)=0,"",VLOOKUP(D156,期权合约要素!$D:$V,17,0)))</f>
        <v>√</v>
      </c>
      <c r="T156" s="323" t="str">
        <f>IFERROR(IF(VLOOKUP(D156,期货合约要素!$D:$Q,14,0)=0,"",VLOOKUP(D156,期货合约要素!$D:$Q,14,0)),IF(VLOOKUP(D156,期权合约要素!$D:$V,19,0)=0,"",VLOOKUP(D156,期权合约要素!$D:$V,19,0)))</f>
        <v/>
      </c>
    </row>
    <row r="157" s="547" customFormat="1" ht="30" customHeight="1" spans="2:20">
      <c r="B157" s="738"/>
      <c r="C157" s="729" t="s">
        <v>249</v>
      </c>
      <c r="D157" s="689" t="s">
        <v>250</v>
      </c>
      <c r="E157" s="18">
        <v>200</v>
      </c>
      <c r="F157" s="739">
        <v>0.02</v>
      </c>
      <c r="G157" s="571">
        <v>0.12</v>
      </c>
      <c r="H157" s="740">
        <v>0.1</v>
      </c>
      <c r="I157" s="766"/>
      <c r="J157" s="766"/>
      <c r="K157" s="766"/>
      <c r="L157" s="766"/>
      <c r="M157" s="322" t="s">
        <v>789</v>
      </c>
      <c r="N157" s="322"/>
      <c r="O157" s="322"/>
      <c r="P157" s="322"/>
      <c r="Q157" s="322"/>
      <c r="R157" s="322"/>
      <c r="S157" s="322" t="str">
        <f>IFERROR(IF(VLOOKUP(D157,期货合约要素!$D:$Q,12,0)=0,"",VLOOKUP(D157,期货合约要素!$D:$Q,12,0)),IF(VLOOKUP(D157,期权合约要素!$D:$V,17,0)=0,"",VLOOKUP(D157,期权合约要素!$D:$V,17,0)))</f>
        <v>√</v>
      </c>
      <c r="T157" s="323" t="str">
        <f>IFERROR(IF(VLOOKUP(D157,期货合约要素!$D:$Q,14,0)=0,"",VLOOKUP(D157,期货合约要素!$D:$Q,14,0)),IF(VLOOKUP(D157,期权合约要素!$D:$V,19,0)=0,"",VLOOKUP(D157,期权合约要素!$D:$V,19,0)))</f>
        <v/>
      </c>
    </row>
    <row r="158" s="547" customFormat="1" ht="30" customHeight="1" spans="2:20">
      <c r="B158" s="738"/>
      <c r="C158" s="729" t="s">
        <v>232</v>
      </c>
      <c r="D158" s="689" t="s">
        <v>233</v>
      </c>
      <c r="E158" s="18">
        <v>20000</v>
      </c>
      <c r="F158" s="741">
        <v>0.003</v>
      </c>
      <c r="G158" s="742">
        <v>0.005</v>
      </c>
      <c r="H158" s="743">
        <v>0.005</v>
      </c>
      <c r="I158" s="766"/>
      <c r="J158" s="766"/>
      <c r="K158" s="766"/>
      <c r="L158" s="766"/>
      <c r="M158" s="767">
        <v>0.01</v>
      </c>
      <c r="N158" s="767"/>
      <c r="O158" s="322"/>
      <c r="P158" s="322"/>
      <c r="Q158" s="322"/>
      <c r="R158" s="322"/>
      <c r="S158" s="322" t="str">
        <f>IFERROR(IF(VLOOKUP(D158,期货合约要素!$D:$Q,12,0)=0,"",VLOOKUP(D158,期货合约要素!$D:$Q,12,0)),IF(VLOOKUP(D158,期权合约要素!$D:$V,17,0)=0,"",VLOOKUP(D158,期权合约要素!$D:$V,17,0)))</f>
        <v>√</v>
      </c>
      <c r="T158" s="323" t="str">
        <f>IFERROR(IF(VLOOKUP(D158,期货合约要素!$D:$Q,14,0)=0,"",VLOOKUP(D158,期货合约要素!$D:$Q,14,0)),IF(VLOOKUP(D158,期权合约要素!$D:$V,19,0)=0,"",VLOOKUP(D158,期权合约要素!$D:$V,19,0)))</f>
        <v/>
      </c>
    </row>
    <row r="159" s="547" customFormat="1" ht="30" customHeight="1" spans="2:20">
      <c r="B159" s="738"/>
      <c r="C159" s="729" t="s">
        <v>236</v>
      </c>
      <c r="D159" s="689" t="s">
        <v>237</v>
      </c>
      <c r="E159" s="18">
        <v>10000</v>
      </c>
      <c r="F159" s="741">
        <v>0.005</v>
      </c>
      <c r="G159" s="742">
        <v>0.012</v>
      </c>
      <c r="H159" s="743">
        <v>0.012</v>
      </c>
      <c r="I159" s="766"/>
      <c r="J159" s="766"/>
      <c r="K159" s="766"/>
      <c r="L159" s="766"/>
      <c r="M159" s="767">
        <v>0.02</v>
      </c>
      <c r="N159" s="767"/>
      <c r="O159" s="322"/>
      <c r="P159" s="322"/>
      <c r="Q159" s="322"/>
      <c r="R159" s="322"/>
      <c r="S159" s="322" t="str">
        <f>IFERROR(IF(VLOOKUP(D159,期货合约要素!$D:$Q,12,0)=0,"",VLOOKUP(D159,期货合约要素!$D:$Q,12,0)),IF(VLOOKUP(D159,期权合约要素!$D:$V,17,0)=0,"",VLOOKUP(D159,期权合约要素!$D:$V,17,0)))</f>
        <v>√</v>
      </c>
      <c r="T159" s="323" t="str">
        <f>IFERROR(IF(VLOOKUP(D159,期货合约要素!$D:$Q,14,0)=0,"",VLOOKUP(D159,期货合约要素!$D:$Q,14,0)),IF(VLOOKUP(D159,期权合约要素!$D:$V,19,0)=0,"",VLOOKUP(D159,期权合约要素!$D:$V,19,0)))</f>
        <v/>
      </c>
    </row>
    <row r="160" s="547" customFormat="1" ht="30" customHeight="1" spans="2:20">
      <c r="B160" s="738"/>
      <c r="C160" s="729" t="s">
        <v>238</v>
      </c>
      <c r="D160" s="689" t="s">
        <v>239</v>
      </c>
      <c r="E160" s="18">
        <v>10000</v>
      </c>
      <c r="F160" s="741">
        <v>0.005</v>
      </c>
      <c r="G160" s="742">
        <v>0.02</v>
      </c>
      <c r="H160" s="743">
        <v>0.02</v>
      </c>
      <c r="I160" s="766"/>
      <c r="J160" s="766"/>
      <c r="K160" s="766"/>
      <c r="L160" s="766"/>
      <c r="M160" s="767">
        <v>0.03</v>
      </c>
      <c r="N160" s="767"/>
      <c r="O160" s="322"/>
      <c r="P160" s="322"/>
      <c r="Q160" s="322"/>
      <c r="R160" s="322"/>
      <c r="S160" s="322" t="str">
        <f>IFERROR(IF(VLOOKUP(D160,期货合约要素!$D:$Q,12,0)=0,"",VLOOKUP(D160,期货合约要素!$D:$Q,12,0)),IF(VLOOKUP(D160,期权合约要素!$D:$V,17,0)=0,"",VLOOKUP(D160,期权合约要素!$D:$V,17,0)))</f>
        <v>√</v>
      </c>
      <c r="T160" s="323" t="str">
        <f>IFERROR(IF(VLOOKUP(D160,期货合约要素!$D:$Q,14,0)=0,"",VLOOKUP(D160,期货合约要素!$D:$Q,14,0)),IF(VLOOKUP(D160,期权合约要素!$D:$V,19,0)=0,"",VLOOKUP(D160,期权合约要素!$D:$V,19,0)))</f>
        <v/>
      </c>
    </row>
    <row r="161" s="547" customFormat="1" ht="30" customHeight="1" spans="2:20">
      <c r="B161" s="744"/>
      <c r="C161" s="745" t="s">
        <v>240</v>
      </c>
      <c r="D161" s="746" t="s">
        <v>241</v>
      </c>
      <c r="E161" s="721">
        <v>10000</v>
      </c>
      <c r="F161" s="747">
        <v>0.015</v>
      </c>
      <c r="G161" s="748">
        <v>0.035</v>
      </c>
      <c r="H161" s="749">
        <v>0.035</v>
      </c>
      <c r="I161" s="768"/>
      <c r="J161" s="768"/>
      <c r="K161" s="768"/>
      <c r="L161" s="768"/>
      <c r="M161" s="769">
        <v>0.05</v>
      </c>
      <c r="N161" s="769"/>
      <c r="O161" s="388"/>
      <c r="P161" s="388"/>
      <c r="Q161" s="388"/>
      <c r="R161" s="388"/>
      <c r="S161" s="388" t="str">
        <f>IFERROR(IF(VLOOKUP(D161,期货合约要素!$D:$Q,12,0)=0,"",VLOOKUP(D161,期货合约要素!$D:$Q,12,0)),IF(VLOOKUP(D161,期权合约要素!$D:$V,17,0)=0,"",VLOOKUP(D161,期权合约要素!$D:$V,17,0)))</f>
        <v>√</v>
      </c>
      <c r="T161" s="389" t="str">
        <f>IFERROR(IF(VLOOKUP(D161,期货合约要素!$D:$Q,14,0)=0,"",VLOOKUP(D161,期货合约要素!$D:$Q,14,0)),IF(VLOOKUP(D161,期权合约要素!$D:$V,19,0)=0,"",VLOOKUP(D161,期权合约要素!$D:$V,19,0)))</f>
        <v/>
      </c>
    </row>
  </sheetData>
  <mergeCells count="504">
    <mergeCell ref="A1:C1"/>
    <mergeCell ref="B2:W2"/>
    <mergeCell ref="G3:L3"/>
    <mergeCell ref="P3:U3"/>
    <mergeCell ref="G4:I4"/>
    <mergeCell ref="J4:L4"/>
    <mergeCell ref="P4:Q4"/>
    <mergeCell ref="R4:U4"/>
    <mergeCell ref="R43:S43"/>
    <mergeCell ref="T43:U43"/>
    <mergeCell ref="R44:S44"/>
    <mergeCell ref="T44:U44"/>
    <mergeCell ref="R45:S45"/>
    <mergeCell ref="T45:U45"/>
    <mergeCell ref="R46:S46"/>
    <mergeCell ref="T46:U46"/>
    <mergeCell ref="R47:S47"/>
    <mergeCell ref="T47:U47"/>
    <mergeCell ref="R48:S48"/>
    <mergeCell ref="T48:U48"/>
    <mergeCell ref="R49:S49"/>
    <mergeCell ref="T49:U49"/>
    <mergeCell ref="R50:S50"/>
    <mergeCell ref="T50:U50"/>
    <mergeCell ref="G53:L53"/>
    <mergeCell ref="P53:U53"/>
    <mergeCell ref="G54:I54"/>
    <mergeCell ref="J54:L54"/>
    <mergeCell ref="P54:S54"/>
    <mergeCell ref="T54:U54"/>
    <mergeCell ref="P55:Q55"/>
    <mergeCell ref="R55:S55"/>
    <mergeCell ref="P56:Q56"/>
    <mergeCell ref="R56:S56"/>
    <mergeCell ref="P57:Q57"/>
    <mergeCell ref="R57:S57"/>
    <mergeCell ref="P58:Q58"/>
    <mergeCell ref="R58:S58"/>
    <mergeCell ref="P59:Q59"/>
    <mergeCell ref="R59:S59"/>
    <mergeCell ref="P60:Q60"/>
    <mergeCell ref="R60:S60"/>
    <mergeCell ref="P61:Q61"/>
    <mergeCell ref="R61:S61"/>
    <mergeCell ref="P62:Q62"/>
    <mergeCell ref="R62:S62"/>
    <mergeCell ref="P63:Q63"/>
    <mergeCell ref="R63:S63"/>
    <mergeCell ref="P64:Q64"/>
    <mergeCell ref="R64:S64"/>
    <mergeCell ref="P65:Q65"/>
    <mergeCell ref="R65:S65"/>
    <mergeCell ref="P66:Q66"/>
    <mergeCell ref="R66:S66"/>
    <mergeCell ref="P67:Q67"/>
    <mergeCell ref="R67:S67"/>
    <mergeCell ref="P68:Q68"/>
    <mergeCell ref="R68:S68"/>
    <mergeCell ref="P69:Q69"/>
    <mergeCell ref="R69:S69"/>
    <mergeCell ref="P70:Q70"/>
    <mergeCell ref="R70:S70"/>
    <mergeCell ref="P71:Q71"/>
    <mergeCell ref="R71:S71"/>
    <mergeCell ref="P72:Q72"/>
    <mergeCell ref="R72:S72"/>
    <mergeCell ref="P73:Q73"/>
    <mergeCell ref="R73:S73"/>
    <mergeCell ref="P74:Q74"/>
    <mergeCell ref="R74:S74"/>
    <mergeCell ref="P75:Q75"/>
    <mergeCell ref="R75:S75"/>
    <mergeCell ref="P76:Q76"/>
    <mergeCell ref="R76:S76"/>
    <mergeCell ref="P77:Q77"/>
    <mergeCell ref="R77:S77"/>
    <mergeCell ref="P78:Q78"/>
    <mergeCell ref="R78:S78"/>
    <mergeCell ref="P79:Q79"/>
    <mergeCell ref="R79:S79"/>
    <mergeCell ref="P80:Q80"/>
    <mergeCell ref="R80:S80"/>
    <mergeCell ref="P81:Q81"/>
    <mergeCell ref="R81:S81"/>
    <mergeCell ref="P82:Q82"/>
    <mergeCell ref="R82:S82"/>
    <mergeCell ref="P83:Q83"/>
    <mergeCell ref="R83:S83"/>
    <mergeCell ref="P84:Q84"/>
    <mergeCell ref="R84:S84"/>
    <mergeCell ref="P85:Q85"/>
    <mergeCell ref="R85:S85"/>
    <mergeCell ref="P86:Q86"/>
    <mergeCell ref="R86:S86"/>
    <mergeCell ref="P87:Q87"/>
    <mergeCell ref="R87:S87"/>
    <mergeCell ref="P88:Q88"/>
    <mergeCell ref="R88:S88"/>
    <mergeCell ref="P89:Q89"/>
    <mergeCell ref="R89:S89"/>
    <mergeCell ref="P90:Q90"/>
    <mergeCell ref="R90:S90"/>
    <mergeCell ref="P91:Q91"/>
    <mergeCell ref="R91:S91"/>
    <mergeCell ref="G98:L98"/>
    <mergeCell ref="P98:U98"/>
    <mergeCell ref="G99:I99"/>
    <mergeCell ref="J99:L99"/>
    <mergeCell ref="P99:S99"/>
    <mergeCell ref="T99:U99"/>
    <mergeCell ref="P100:Q100"/>
    <mergeCell ref="R100:S100"/>
    <mergeCell ref="P101:Q101"/>
    <mergeCell ref="R101:S101"/>
    <mergeCell ref="P102:Q102"/>
    <mergeCell ref="R102:S102"/>
    <mergeCell ref="P103:Q103"/>
    <mergeCell ref="R103:S103"/>
    <mergeCell ref="P104:Q104"/>
    <mergeCell ref="R104:S104"/>
    <mergeCell ref="P105:Q105"/>
    <mergeCell ref="R105:S105"/>
    <mergeCell ref="P106:Q106"/>
    <mergeCell ref="R106:S106"/>
    <mergeCell ref="P107:Q107"/>
    <mergeCell ref="R107:S107"/>
    <mergeCell ref="P108:Q108"/>
    <mergeCell ref="R108:S108"/>
    <mergeCell ref="P109:Q109"/>
    <mergeCell ref="R109:S109"/>
    <mergeCell ref="P110:Q110"/>
    <mergeCell ref="R110:S110"/>
    <mergeCell ref="P111:Q111"/>
    <mergeCell ref="R111:S111"/>
    <mergeCell ref="P112:Q112"/>
    <mergeCell ref="R112:S112"/>
    <mergeCell ref="P113:Q113"/>
    <mergeCell ref="R113:S113"/>
    <mergeCell ref="P114:Q114"/>
    <mergeCell ref="R114:S114"/>
    <mergeCell ref="P115:Q115"/>
    <mergeCell ref="R115:S115"/>
    <mergeCell ref="P116:Q116"/>
    <mergeCell ref="R116:S116"/>
    <mergeCell ref="P117:Q117"/>
    <mergeCell ref="R117:S117"/>
    <mergeCell ref="P118:Q118"/>
    <mergeCell ref="R118:S118"/>
    <mergeCell ref="P119:Q119"/>
    <mergeCell ref="R119:S119"/>
    <mergeCell ref="P120:Q120"/>
    <mergeCell ref="R120:S120"/>
    <mergeCell ref="P121:Q121"/>
    <mergeCell ref="R121:S121"/>
    <mergeCell ref="P122:Q122"/>
    <mergeCell ref="R122:S122"/>
    <mergeCell ref="P123:Q123"/>
    <mergeCell ref="R123:S123"/>
    <mergeCell ref="P124:Q124"/>
    <mergeCell ref="R124:S124"/>
    <mergeCell ref="P125:Q125"/>
    <mergeCell ref="R125:S125"/>
    <mergeCell ref="P126:Q126"/>
    <mergeCell ref="R126:S126"/>
    <mergeCell ref="P127:Q127"/>
    <mergeCell ref="R127:S127"/>
    <mergeCell ref="P128:Q128"/>
    <mergeCell ref="R128:S128"/>
    <mergeCell ref="P129:Q129"/>
    <mergeCell ref="R129:S129"/>
    <mergeCell ref="P130:Q130"/>
    <mergeCell ref="R130:S130"/>
    <mergeCell ref="P131:Q131"/>
    <mergeCell ref="R131:S131"/>
    <mergeCell ref="P132:Q132"/>
    <mergeCell ref="R132:S132"/>
    <mergeCell ref="P133:Q133"/>
    <mergeCell ref="R133:S133"/>
    <mergeCell ref="G141:L141"/>
    <mergeCell ref="P141:U141"/>
    <mergeCell ref="G142:I142"/>
    <mergeCell ref="J142:L142"/>
    <mergeCell ref="P142:S142"/>
    <mergeCell ref="T142:U142"/>
    <mergeCell ref="P143:Q143"/>
    <mergeCell ref="R143:S143"/>
    <mergeCell ref="P144:Q144"/>
    <mergeCell ref="R144:S144"/>
    <mergeCell ref="P145:Q145"/>
    <mergeCell ref="R145:S145"/>
    <mergeCell ref="P146:Q146"/>
    <mergeCell ref="R146:S146"/>
    <mergeCell ref="P147:Q147"/>
    <mergeCell ref="R147:S147"/>
    <mergeCell ref="P148:Q148"/>
    <mergeCell ref="R148:S148"/>
    <mergeCell ref="P149:Q149"/>
    <mergeCell ref="R149:S149"/>
    <mergeCell ref="I151:L151"/>
    <mergeCell ref="M151:R151"/>
    <mergeCell ref="I152:J152"/>
    <mergeCell ref="K152:L152"/>
    <mergeCell ref="M154:R154"/>
    <mergeCell ref="M155:R155"/>
    <mergeCell ref="M156:R156"/>
    <mergeCell ref="M157:R157"/>
    <mergeCell ref="M158:R158"/>
    <mergeCell ref="M159:R159"/>
    <mergeCell ref="M160:R160"/>
    <mergeCell ref="M161:R161"/>
    <mergeCell ref="B3:B5"/>
    <mergeCell ref="B6:B38"/>
    <mergeCell ref="B39:B50"/>
    <mergeCell ref="B53:B55"/>
    <mergeCell ref="B56:B96"/>
    <mergeCell ref="B98:B100"/>
    <mergeCell ref="B101:B139"/>
    <mergeCell ref="B141:B143"/>
    <mergeCell ref="B144:B149"/>
    <mergeCell ref="B151:B153"/>
    <mergeCell ref="B154:B161"/>
    <mergeCell ref="C3:C5"/>
    <mergeCell ref="C36:C37"/>
    <mergeCell ref="C39:C40"/>
    <mergeCell ref="C43:C44"/>
    <mergeCell ref="C48:C49"/>
    <mergeCell ref="C53:C55"/>
    <mergeCell ref="C92:C93"/>
    <mergeCell ref="C98:C100"/>
    <mergeCell ref="C127:C128"/>
    <mergeCell ref="C141:C143"/>
    <mergeCell ref="C145:C146"/>
    <mergeCell ref="C151:C153"/>
    <mergeCell ref="D3:D5"/>
    <mergeCell ref="D8:D9"/>
    <mergeCell ref="D10:D11"/>
    <mergeCell ref="D12:D13"/>
    <mergeCell ref="D14:D15"/>
    <mergeCell ref="D16:D17"/>
    <mergeCell ref="D18:D19"/>
    <mergeCell ref="D21:D22"/>
    <mergeCell ref="D23:D24"/>
    <mergeCell ref="D26:D28"/>
    <mergeCell ref="D33:D34"/>
    <mergeCell ref="D36:D38"/>
    <mergeCell ref="D39:D40"/>
    <mergeCell ref="D41:D42"/>
    <mergeCell ref="D43:D45"/>
    <mergeCell ref="D46:D47"/>
    <mergeCell ref="D48:D50"/>
    <mergeCell ref="D53:D55"/>
    <mergeCell ref="D59:D61"/>
    <mergeCell ref="D62:D64"/>
    <mergeCell ref="D66:D68"/>
    <mergeCell ref="D84:D85"/>
    <mergeCell ref="D86:D88"/>
    <mergeCell ref="D89:D91"/>
    <mergeCell ref="D92:D93"/>
    <mergeCell ref="D94:D96"/>
    <mergeCell ref="D98:D100"/>
    <mergeCell ref="D111:D112"/>
    <mergeCell ref="D113:D114"/>
    <mergeCell ref="D115:D117"/>
    <mergeCell ref="D122:D124"/>
    <mergeCell ref="D127:D129"/>
    <mergeCell ref="D130:D131"/>
    <mergeCell ref="D132:D133"/>
    <mergeCell ref="D134:D135"/>
    <mergeCell ref="D136:D137"/>
    <mergeCell ref="D138:D139"/>
    <mergeCell ref="D141:D143"/>
    <mergeCell ref="D145:D146"/>
    <mergeCell ref="D151:D153"/>
    <mergeCell ref="E3:E5"/>
    <mergeCell ref="E8:E9"/>
    <mergeCell ref="E10:E11"/>
    <mergeCell ref="E12:E13"/>
    <mergeCell ref="E14:E15"/>
    <mergeCell ref="E16:E17"/>
    <mergeCell ref="E18:E19"/>
    <mergeCell ref="E21:E22"/>
    <mergeCell ref="E23:E24"/>
    <mergeCell ref="E26:E28"/>
    <mergeCell ref="E33:E34"/>
    <mergeCell ref="E36:E38"/>
    <mergeCell ref="E39:E40"/>
    <mergeCell ref="E41:E42"/>
    <mergeCell ref="E43:E45"/>
    <mergeCell ref="E46:E47"/>
    <mergeCell ref="E48:E50"/>
    <mergeCell ref="E53:E55"/>
    <mergeCell ref="E59:E61"/>
    <mergeCell ref="E62:E64"/>
    <mergeCell ref="E66:E68"/>
    <mergeCell ref="E84:E85"/>
    <mergeCell ref="E86:E88"/>
    <mergeCell ref="E89:E91"/>
    <mergeCell ref="E92:E93"/>
    <mergeCell ref="E94:E96"/>
    <mergeCell ref="E98:E100"/>
    <mergeCell ref="E111:E112"/>
    <mergeCell ref="E113:E114"/>
    <mergeCell ref="E115:E117"/>
    <mergeCell ref="E122:E124"/>
    <mergeCell ref="E127:E129"/>
    <mergeCell ref="E130:E131"/>
    <mergeCell ref="E132:E133"/>
    <mergeCell ref="E134:E135"/>
    <mergeCell ref="E136:E137"/>
    <mergeCell ref="E138:E139"/>
    <mergeCell ref="E141:E143"/>
    <mergeCell ref="E145:E146"/>
    <mergeCell ref="E151:E153"/>
    <mergeCell ref="F3:F5"/>
    <mergeCell ref="F8:F9"/>
    <mergeCell ref="F10:F11"/>
    <mergeCell ref="F12:F13"/>
    <mergeCell ref="F14:F15"/>
    <mergeCell ref="F16:F17"/>
    <mergeCell ref="F18:F19"/>
    <mergeCell ref="F21:F22"/>
    <mergeCell ref="F23:F24"/>
    <mergeCell ref="F26:F28"/>
    <mergeCell ref="F33:F34"/>
    <mergeCell ref="F36:F38"/>
    <mergeCell ref="F39:F40"/>
    <mergeCell ref="F41:F42"/>
    <mergeCell ref="F43:F45"/>
    <mergeCell ref="F46:F47"/>
    <mergeCell ref="F48:F50"/>
    <mergeCell ref="F53:F55"/>
    <mergeCell ref="F59:F61"/>
    <mergeCell ref="F62:F64"/>
    <mergeCell ref="F66:F68"/>
    <mergeCell ref="F84:F85"/>
    <mergeCell ref="F86:F88"/>
    <mergeCell ref="F89:F91"/>
    <mergeCell ref="F92:F93"/>
    <mergeCell ref="F94:F96"/>
    <mergeCell ref="F98:F100"/>
    <mergeCell ref="F111:F112"/>
    <mergeCell ref="F113:F114"/>
    <mergeCell ref="F115:F117"/>
    <mergeCell ref="F122:F124"/>
    <mergeCell ref="F127:F129"/>
    <mergeCell ref="F130:F131"/>
    <mergeCell ref="F132:F133"/>
    <mergeCell ref="F134:F135"/>
    <mergeCell ref="F136:F137"/>
    <mergeCell ref="F138:F139"/>
    <mergeCell ref="F141:F143"/>
    <mergeCell ref="F145:F146"/>
    <mergeCell ref="F151:F153"/>
    <mergeCell ref="G36:G37"/>
    <mergeCell ref="G39:G40"/>
    <mergeCell ref="G43:G44"/>
    <mergeCell ref="G48:G49"/>
    <mergeCell ref="G92:G93"/>
    <mergeCell ref="G127:G128"/>
    <mergeCell ref="G145:G146"/>
    <mergeCell ref="H36:H37"/>
    <mergeCell ref="H39:H40"/>
    <mergeCell ref="H43:H44"/>
    <mergeCell ref="H48:H49"/>
    <mergeCell ref="H92:H93"/>
    <mergeCell ref="H127:H128"/>
    <mergeCell ref="H145:H146"/>
    <mergeCell ref="I36:I37"/>
    <mergeCell ref="I39:I40"/>
    <mergeCell ref="I43:I44"/>
    <mergeCell ref="I48:I49"/>
    <mergeCell ref="I92:I93"/>
    <mergeCell ref="I127:I128"/>
    <mergeCell ref="I145:I146"/>
    <mergeCell ref="J36:J37"/>
    <mergeCell ref="J39:J40"/>
    <mergeCell ref="J43:J44"/>
    <mergeCell ref="J48:J49"/>
    <mergeCell ref="J92:J93"/>
    <mergeCell ref="J127:J128"/>
    <mergeCell ref="J145:J146"/>
    <mergeCell ref="K36:K37"/>
    <mergeCell ref="K39:K40"/>
    <mergeCell ref="K43:K44"/>
    <mergeCell ref="K48:K49"/>
    <mergeCell ref="K92:K93"/>
    <mergeCell ref="K127:K128"/>
    <mergeCell ref="K145:K146"/>
    <mergeCell ref="L36:L37"/>
    <mergeCell ref="L39:L40"/>
    <mergeCell ref="L43:L44"/>
    <mergeCell ref="L48:L49"/>
    <mergeCell ref="L92:L93"/>
    <mergeCell ref="L127:L128"/>
    <mergeCell ref="L145:L146"/>
    <mergeCell ref="M36:M37"/>
    <mergeCell ref="M39:M40"/>
    <mergeCell ref="M43:M44"/>
    <mergeCell ref="M48:M49"/>
    <mergeCell ref="M92:M93"/>
    <mergeCell ref="M127:M128"/>
    <mergeCell ref="M145:M146"/>
    <mergeCell ref="N36:N37"/>
    <mergeCell ref="N39:N40"/>
    <mergeCell ref="N43:N44"/>
    <mergeCell ref="N48:N49"/>
    <mergeCell ref="N92:N93"/>
    <mergeCell ref="N127:N128"/>
    <mergeCell ref="N145:N146"/>
    <mergeCell ref="O36:O37"/>
    <mergeCell ref="O39:O40"/>
    <mergeCell ref="O43:O44"/>
    <mergeCell ref="O48:O49"/>
    <mergeCell ref="O92:O93"/>
    <mergeCell ref="O127:O128"/>
    <mergeCell ref="O145:O146"/>
    <mergeCell ref="S151:S153"/>
    <mergeCell ref="T151:T153"/>
    <mergeCell ref="V3:V5"/>
    <mergeCell ref="V8:V9"/>
    <mergeCell ref="V10:V11"/>
    <mergeCell ref="V12:V13"/>
    <mergeCell ref="V14:V15"/>
    <mergeCell ref="V16:V17"/>
    <mergeCell ref="V18:V19"/>
    <mergeCell ref="V21:V22"/>
    <mergeCell ref="V23:V24"/>
    <mergeCell ref="V26:V28"/>
    <mergeCell ref="V33:V34"/>
    <mergeCell ref="V36:V38"/>
    <mergeCell ref="V39:V40"/>
    <mergeCell ref="V41:V42"/>
    <mergeCell ref="V43:V45"/>
    <mergeCell ref="V46:V47"/>
    <mergeCell ref="V48:V50"/>
    <mergeCell ref="V53:V55"/>
    <mergeCell ref="V59:V61"/>
    <mergeCell ref="V62:V64"/>
    <mergeCell ref="V66:V68"/>
    <mergeCell ref="V84:V85"/>
    <mergeCell ref="V86:V88"/>
    <mergeCell ref="V89:V91"/>
    <mergeCell ref="V92:V93"/>
    <mergeCell ref="V94:V96"/>
    <mergeCell ref="V98:V100"/>
    <mergeCell ref="V111:V112"/>
    <mergeCell ref="V113:V114"/>
    <mergeCell ref="V115:V117"/>
    <mergeCell ref="V122:V124"/>
    <mergeCell ref="V127:V129"/>
    <mergeCell ref="V130:V131"/>
    <mergeCell ref="V132:V133"/>
    <mergeCell ref="V134:V135"/>
    <mergeCell ref="V136:V137"/>
    <mergeCell ref="V138:V139"/>
    <mergeCell ref="V141:V143"/>
    <mergeCell ref="V145:V146"/>
    <mergeCell ref="W3:W5"/>
    <mergeCell ref="W8:W9"/>
    <mergeCell ref="W10:W11"/>
    <mergeCell ref="W12:W13"/>
    <mergeCell ref="W14:W15"/>
    <mergeCell ref="W16:W17"/>
    <mergeCell ref="W18:W19"/>
    <mergeCell ref="W21:W22"/>
    <mergeCell ref="W23:W24"/>
    <mergeCell ref="W26:W28"/>
    <mergeCell ref="W33:W34"/>
    <mergeCell ref="W36:W38"/>
    <mergeCell ref="W39:W40"/>
    <mergeCell ref="W41:W42"/>
    <mergeCell ref="W43:W45"/>
    <mergeCell ref="W46:W47"/>
    <mergeCell ref="W48:W50"/>
    <mergeCell ref="W53:W55"/>
    <mergeCell ref="W59:W61"/>
    <mergeCell ref="W62:W64"/>
    <mergeCell ref="W66:W68"/>
    <mergeCell ref="W84:W85"/>
    <mergeCell ref="W86:W88"/>
    <mergeCell ref="W89:W91"/>
    <mergeCell ref="W92:W93"/>
    <mergeCell ref="W94:W96"/>
    <mergeCell ref="W98:W100"/>
    <mergeCell ref="W111:W112"/>
    <mergeCell ref="W113:W114"/>
    <mergeCell ref="W115:W117"/>
    <mergeCell ref="W122:W124"/>
    <mergeCell ref="W127:W129"/>
    <mergeCell ref="W130:W131"/>
    <mergeCell ref="W132:W133"/>
    <mergeCell ref="W134:W135"/>
    <mergeCell ref="W136:W137"/>
    <mergeCell ref="W138:W139"/>
    <mergeCell ref="W141:W143"/>
    <mergeCell ref="W145:W146"/>
    <mergeCell ref="M3:O4"/>
    <mergeCell ref="M53:O54"/>
    <mergeCell ref="M98:O99"/>
    <mergeCell ref="P134:U139"/>
    <mergeCell ref="M141:O142"/>
    <mergeCell ref="G151:H152"/>
    <mergeCell ref="I154:L161"/>
    <mergeCell ref="M152:R153"/>
  </mergeCells>
  <hyperlinks>
    <hyperlink ref="A1" location="'目录'!A1" display="点此返回目录"/>
  </hyperlinks>
  <pageMargins left="0.75" right="0.75" top="1" bottom="1" header="0.5" footer="0.5"/>
  <pageSetup paperSize="9" orientation="portrait" horizontalDpi="300" vertic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C243"/>
  <sheetViews>
    <sheetView workbookViewId="0">
      <selection activeCell="A1" sqref="A1:C1"/>
    </sheetView>
  </sheetViews>
  <sheetFormatPr defaultColWidth="9" defaultRowHeight="14.25"/>
  <cols>
    <col min="1" max="1" width="3.5" customWidth="1"/>
    <col min="2" max="2" width="11.6333333333333" customWidth="1"/>
    <col min="3" max="3" width="23.25" customWidth="1"/>
    <col min="4" max="4" width="15.6333333333333" customWidth="1"/>
    <col min="5" max="5" width="24.5" customWidth="1"/>
    <col min="6" max="6" width="23.6333333333333" customWidth="1"/>
    <col min="7" max="7" width="33.25" customWidth="1"/>
    <col min="8" max="8" width="33.3833333333333" customWidth="1"/>
    <col min="9" max="9" width="42.75" customWidth="1"/>
    <col min="10" max="10" width="16.5" customWidth="1"/>
    <col min="11" max="11" width="18.25" customWidth="1"/>
    <col min="12" max="12" width="25.25" customWidth="1"/>
    <col min="13" max="13" width="37.8833333333333" customWidth="1"/>
    <col min="14" max="14" width="25.8833333333333" customWidth="1"/>
    <col min="15" max="15" width="23.25" customWidth="1"/>
    <col min="16" max="16" width="24.6333333333333" customWidth="1"/>
    <col min="17" max="17" width="18.25" customWidth="1"/>
  </cols>
  <sheetData>
    <row r="1" ht="25.5" customHeight="1" spans="1:29">
      <c r="A1" s="21" t="s">
        <v>33</v>
      </c>
      <c r="B1" s="21"/>
      <c r="C1" s="21"/>
      <c r="D1" s="21"/>
      <c r="E1" s="336"/>
      <c r="F1" s="336"/>
      <c r="G1" s="336"/>
      <c r="H1" s="336"/>
      <c r="I1" s="336"/>
      <c r="J1" s="336"/>
      <c r="K1" s="336"/>
      <c r="L1" s="336"/>
      <c r="M1" s="336"/>
      <c r="N1" s="336"/>
      <c r="O1" s="336"/>
      <c r="P1" s="336"/>
      <c r="Q1" s="336"/>
      <c r="R1" s="336"/>
      <c r="S1" s="336"/>
      <c r="T1" s="336"/>
      <c r="U1" s="336"/>
      <c r="V1" s="336"/>
      <c r="W1" s="336"/>
      <c r="X1" s="336"/>
      <c r="Y1" s="336"/>
      <c r="Z1" s="336"/>
      <c r="AA1" s="336"/>
      <c r="AB1" s="336"/>
      <c r="AC1" s="336"/>
    </row>
    <row r="2" ht="50.1" customHeight="1" spans="1:29">
      <c r="A2" s="336"/>
      <c r="B2" s="420" t="s">
        <v>790</v>
      </c>
      <c r="C2" s="421"/>
      <c r="D2" s="421"/>
      <c r="E2" s="421"/>
      <c r="F2" s="421"/>
      <c r="G2" s="421"/>
      <c r="H2" s="421"/>
      <c r="I2" s="421"/>
      <c r="J2" s="421"/>
      <c r="K2" s="437"/>
      <c r="L2" s="336"/>
      <c r="M2" s="438" t="s">
        <v>791</v>
      </c>
      <c r="N2" s="439"/>
      <c r="O2" s="439"/>
      <c r="P2" s="439"/>
      <c r="Q2" s="473"/>
      <c r="R2" s="336"/>
      <c r="S2" s="336"/>
      <c r="T2" s="336"/>
      <c r="U2" s="336"/>
      <c r="V2" s="336"/>
      <c r="W2" s="336"/>
      <c r="X2" s="336"/>
      <c r="Y2" s="336"/>
      <c r="Z2" s="336"/>
      <c r="AA2" s="336"/>
      <c r="AB2" s="336"/>
      <c r="AC2" s="336"/>
    </row>
    <row r="3" ht="42.95" customHeight="1" spans="1:29">
      <c r="A3" s="336"/>
      <c r="B3" s="422" t="s">
        <v>35</v>
      </c>
      <c r="C3" s="423" t="s">
        <v>36</v>
      </c>
      <c r="D3" s="423" t="s">
        <v>37</v>
      </c>
      <c r="E3" s="423" t="s">
        <v>792</v>
      </c>
      <c r="F3" s="424"/>
      <c r="G3" s="423" t="s">
        <v>793</v>
      </c>
      <c r="H3" s="423" t="s">
        <v>694</v>
      </c>
      <c r="I3" s="423" t="s">
        <v>794</v>
      </c>
      <c r="J3" s="423" t="s">
        <v>40</v>
      </c>
      <c r="K3" s="440" t="s">
        <v>41</v>
      </c>
      <c r="L3" s="336"/>
      <c r="M3" s="441" t="s">
        <v>795</v>
      </c>
      <c r="N3" s="442" t="s">
        <v>796</v>
      </c>
      <c r="O3" s="442" t="s">
        <v>797</v>
      </c>
      <c r="P3" s="442" t="s">
        <v>798</v>
      </c>
      <c r="Q3" s="474" t="s">
        <v>794</v>
      </c>
      <c r="R3" s="336"/>
      <c r="S3" s="336"/>
      <c r="T3" s="336"/>
      <c r="U3" s="336"/>
      <c r="V3" s="336"/>
      <c r="W3" s="336"/>
      <c r="X3" s="336"/>
      <c r="Y3" s="336"/>
      <c r="Z3" s="336"/>
      <c r="AA3" s="336"/>
      <c r="AB3" s="336"/>
      <c r="AC3" s="336"/>
    </row>
    <row r="4" ht="20.1" customHeight="1" spans="1:29">
      <c r="A4" s="336"/>
      <c r="B4" s="425" t="s">
        <v>46</v>
      </c>
      <c r="C4" s="426" t="s">
        <v>72</v>
      </c>
      <c r="D4" s="12" t="s">
        <v>73</v>
      </c>
      <c r="E4" s="12" t="s">
        <v>799</v>
      </c>
      <c r="F4" s="427"/>
      <c r="G4" s="324">
        <v>3000</v>
      </c>
      <c r="H4" s="324">
        <v>1000</v>
      </c>
      <c r="I4" s="324" t="s">
        <v>800</v>
      </c>
      <c r="J4" s="12" t="str">
        <f>IFERROR(IF(VLOOKUP(D4,期货合约要素!$D:$Q,12,0)=0,"",VLOOKUP(D4,期货合约要素!$D:$Q,12,0)),IF(VLOOKUP(D4,期权合约要素!$D:$V,17,0)=0,"",VLOOKUP(D4,期权合约要素!$D:$V,17,0)))</f>
        <v>√</v>
      </c>
      <c r="K4" s="443" t="str">
        <f>IFERROR(IF(VLOOKUP(D4,期货合约要素!$D:$Q,14,0)=0,"",VLOOKUP(D4,期货合约要素!$D:$Q,14,0)),IF(VLOOKUP(D4,期权合约要素!$D:$V,19,0)=0,"",VLOOKUP(D4,期权合约要素!$D:$V,19,0)))</f>
        <v/>
      </c>
      <c r="L4" s="336"/>
      <c r="M4" s="444" t="s">
        <v>801</v>
      </c>
      <c r="N4" s="445">
        <v>100</v>
      </c>
      <c r="O4" s="445">
        <v>200</v>
      </c>
      <c r="P4" s="445">
        <v>400</v>
      </c>
      <c r="Q4" s="475" t="s">
        <v>802</v>
      </c>
      <c r="R4" s="336"/>
      <c r="S4" s="336"/>
      <c r="T4" s="336"/>
      <c r="U4" s="336"/>
      <c r="V4" s="336"/>
      <c r="W4" s="336"/>
      <c r="X4" s="336"/>
      <c r="Y4" s="336"/>
      <c r="Z4" s="336"/>
      <c r="AA4" s="336"/>
      <c r="AB4" s="336"/>
      <c r="AC4" s="336"/>
    </row>
    <row r="5" ht="20.1" customHeight="1" spans="1:29">
      <c r="A5" s="336"/>
      <c r="B5" s="428"/>
      <c r="C5" s="429"/>
      <c r="D5" s="429"/>
      <c r="E5" s="12" t="s">
        <v>803</v>
      </c>
      <c r="F5" s="322"/>
      <c r="G5" s="427"/>
      <c r="H5" s="427"/>
      <c r="I5" s="324"/>
      <c r="J5" s="429" t="e">
        <f>IFERROR(IF(VLOOKUP(D5,期货合约要素!$D:$Q,12,0)=0,"",VLOOKUP(D5,期货合约要素!$D:$Q,12,0)),IF(VLOOKUP(D5,期权合约要素!$D:$V,17,0)=0,"",VLOOKUP(D5,期权合约要素!$D:$V,17,0)))</f>
        <v>#N/A</v>
      </c>
      <c r="K5" s="446" t="e">
        <f>IFERROR(IF(VLOOKUP(D5,期货合约要素!$D:$Q,14,0)=0,"",VLOOKUP(D5,期货合约要素!$D:$Q,14,0)),IF(VLOOKUP(D5,期权合约要素!$D:$V,19,0)=0,"",VLOOKUP(D5,期权合约要素!$D:$V,19,0)))</f>
        <v>#N/A</v>
      </c>
      <c r="L5" s="336"/>
      <c r="M5" s="447"/>
      <c r="N5" s="12"/>
      <c r="O5" s="12"/>
      <c r="P5" s="12"/>
      <c r="Q5" s="476"/>
      <c r="R5" s="336"/>
      <c r="S5" s="336"/>
      <c r="T5" s="336"/>
      <c r="U5" s="336"/>
      <c r="V5" s="336"/>
      <c r="W5" s="336"/>
      <c r="X5" s="336"/>
      <c r="Y5" s="336"/>
      <c r="Z5" s="336"/>
      <c r="AA5" s="336"/>
      <c r="AB5" s="336"/>
      <c r="AC5" s="336"/>
    </row>
    <row r="6" ht="20.1" customHeight="1" spans="1:29">
      <c r="A6" s="336"/>
      <c r="B6" s="428"/>
      <c r="C6" s="426" t="s">
        <v>75</v>
      </c>
      <c r="D6" s="12" t="s">
        <v>76</v>
      </c>
      <c r="E6" s="12" t="s">
        <v>804</v>
      </c>
      <c r="F6" s="427"/>
      <c r="G6" s="324">
        <v>3000</v>
      </c>
      <c r="H6" s="324">
        <v>1000</v>
      </c>
      <c r="I6" s="324"/>
      <c r="J6" s="12" t="str">
        <f>IFERROR(IF(VLOOKUP(D6,期货合约要素!$D:$Q,12,0)=0,"",VLOOKUP(D6,期货合约要素!$D:$Q,12,0)),IF(VLOOKUP(D6,期权合约要素!$D:$V,17,0)=0,"",VLOOKUP(D6,期权合约要素!$D:$V,17,0)))</f>
        <v>√</v>
      </c>
      <c r="K6" s="443" t="str">
        <f>IFERROR(IF(VLOOKUP(D6,期货合约要素!$D:$Q,14,0)=0,"",VLOOKUP(D6,期货合约要素!$D:$Q,14,0)),IF(VLOOKUP(D6,期权合约要素!$D:$V,19,0)=0,"",VLOOKUP(D6,期权合约要素!$D:$V,19,0)))</f>
        <v/>
      </c>
      <c r="L6" s="336"/>
      <c r="M6" s="448" t="s">
        <v>805</v>
      </c>
      <c r="N6" s="12">
        <v>1000</v>
      </c>
      <c r="O6" s="12">
        <v>2000</v>
      </c>
      <c r="P6" s="12">
        <v>4000</v>
      </c>
      <c r="Q6" s="476"/>
      <c r="R6" s="336"/>
      <c r="S6" s="336"/>
      <c r="T6" s="336"/>
      <c r="U6" s="336"/>
      <c r="V6" s="336"/>
      <c r="W6" s="336"/>
      <c r="X6" s="336"/>
      <c r="Y6" s="336"/>
      <c r="Z6" s="336"/>
      <c r="AA6" s="336"/>
      <c r="AB6" s="336"/>
      <c r="AC6" s="336"/>
    </row>
    <row r="7" ht="20.1" customHeight="1" spans="1:29">
      <c r="A7" s="336"/>
      <c r="B7" s="428"/>
      <c r="C7" s="429"/>
      <c r="D7" s="429"/>
      <c r="E7" s="18" t="s">
        <v>806</v>
      </c>
      <c r="F7" s="322"/>
      <c r="G7" s="427"/>
      <c r="H7" s="427"/>
      <c r="I7" s="324"/>
      <c r="J7" s="429" t="e">
        <f>IFERROR(IF(VLOOKUP(D7,期货合约要素!$D:$Q,12,0)=0,"",VLOOKUP(D7,期货合约要素!$D:$Q,12,0)),IF(VLOOKUP(D7,期权合约要素!$D:$V,17,0)=0,"",VLOOKUP(D7,期权合约要素!$D:$V,17,0)))</f>
        <v>#N/A</v>
      </c>
      <c r="K7" s="446" t="e">
        <f>IFERROR(IF(VLOOKUP(D7,期货合约要素!$D:$Q,14,0)=0,"",VLOOKUP(D7,期货合约要素!$D:$Q,14,0)),IF(VLOOKUP(D7,期权合约要素!$D:$V,19,0)=0,"",VLOOKUP(D7,期权合约要素!$D:$V,19,0)))</f>
        <v>#N/A</v>
      </c>
      <c r="L7" s="336"/>
      <c r="M7" s="448"/>
      <c r="N7" s="12"/>
      <c r="O7" s="12"/>
      <c r="P7" s="12"/>
      <c r="Q7" s="476"/>
      <c r="R7" s="336"/>
      <c r="S7" s="336"/>
      <c r="T7" s="336"/>
      <c r="U7" s="336"/>
      <c r="V7" s="336"/>
      <c r="W7" s="336"/>
      <c r="X7" s="336"/>
      <c r="Y7" s="336"/>
      <c r="Z7" s="336"/>
      <c r="AA7" s="336"/>
      <c r="AB7" s="336"/>
      <c r="AC7" s="336"/>
    </row>
    <row r="8" ht="20.1" customHeight="1" spans="1:29">
      <c r="A8" s="336"/>
      <c r="B8" s="428"/>
      <c r="C8" s="426" t="s">
        <v>79</v>
      </c>
      <c r="D8" s="12" t="s">
        <v>80</v>
      </c>
      <c r="E8" s="12" t="s">
        <v>807</v>
      </c>
      <c r="F8" s="427"/>
      <c r="G8" s="324">
        <v>2400</v>
      </c>
      <c r="H8" s="324">
        <v>800</v>
      </c>
      <c r="I8" s="324"/>
      <c r="J8" s="12" t="str">
        <f>IFERROR(IF(VLOOKUP(D8,期货合约要素!$D:$Q,12,0)=0,"",VLOOKUP(D8,期货合约要素!$D:$Q,12,0)),IF(VLOOKUP(D8,期权合约要素!$D:$V,17,0)=0,"",VLOOKUP(D8,期权合约要素!$D:$V,17,0)))</f>
        <v>√</v>
      </c>
      <c r="K8" s="443" t="str">
        <f>IFERROR(IF(VLOOKUP(D8,期货合约要素!$D:$Q,14,0)=0,"",VLOOKUP(D8,期货合约要素!$D:$Q,14,0)),IF(VLOOKUP(D8,期权合约要素!$D:$V,19,0)=0,"",VLOOKUP(D8,期权合约要素!$D:$V,19,0)))</f>
        <v/>
      </c>
      <c r="L8" s="336"/>
      <c r="M8" s="448"/>
      <c r="N8" s="12"/>
      <c r="O8" s="12"/>
      <c r="P8" s="12"/>
      <c r="Q8" s="476"/>
      <c r="R8" s="336"/>
      <c r="S8" s="336"/>
      <c r="T8" s="336"/>
      <c r="U8" s="336"/>
      <c r="V8" s="336"/>
      <c r="W8" s="336"/>
      <c r="X8" s="336"/>
      <c r="Y8" s="336"/>
      <c r="Z8" s="336"/>
      <c r="AA8" s="336"/>
      <c r="AB8" s="336"/>
      <c r="AC8" s="336"/>
    </row>
    <row r="9" ht="20.1" customHeight="1" spans="1:29">
      <c r="A9" s="336"/>
      <c r="B9" s="428"/>
      <c r="C9" s="429"/>
      <c r="D9" s="429"/>
      <c r="E9" s="12" t="s">
        <v>808</v>
      </c>
      <c r="F9" s="322"/>
      <c r="G9" s="427"/>
      <c r="H9" s="427"/>
      <c r="I9" s="324"/>
      <c r="J9" s="429" t="e">
        <f>IFERROR(IF(VLOOKUP(D9,期货合约要素!$D:$Q,12,0)=0,"",VLOOKUP(D9,期货合约要素!$D:$Q,12,0)),IF(VLOOKUP(D9,期权合约要素!$D:$V,17,0)=0,"",VLOOKUP(D9,期权合约要素!$D:$V,17,0)))</f>
        <v>#N/A</v>
      </c>
      <c r="K9" s="446" t="e">
        <f>IFERROR(IF(VLOOKUP(D9,期货合约要素!$D:$Q,14,0)=0,"",VLOOKUP(D9,期货合约要素!$D:$Q,14,0)),IF(VLOOKUP(D9,期权合约要素!$D:$V,19,0)=0,"",VLOOKUP(D9,期权合约要素!$D:$V,19,0)))</f>
        <v>#N/A</v>
      </c>
      <c r="L9" s="336"/>
      <c r="M9" s="448" t="s">
        <v>809</v>
      </c>
      <c r="N9" s="12">
        <v>2000</v>
      </c>
      <c r="O9" s="12">
        <v>4000</v>
      </c>
      <c r="P9" s="12">
        <v>8000</v>
      </c>
      <c r="Q9" s="476"/>
      <c r="R9" s="336"/>
      <c r="S9" s="336"/>
      <c r="T9" s="336"/>
      <c r="U9" s="336"/>
      <c r="V9" s="336"/>
      <c r="W9" s="336"/>
      <c r="X9" s="336"/>
      <c r="Y9" s="336"/>
      <c r="Z9" s="336"/>
      <c r="AA9" s="336"/>
      <c r="AB9" s="336"/>
      <c r="AC9" s="336"/>
    </row>
    <row r="10" ht="20.1" customHeight="1" spans="1:29">
      <c r="A10" s="336"/>
      <c r="B10" s="428"/>
      <c r="C10" s="426" t="s">
        <v>81</v>
      </c>
      <c r="D10" s="12" t="s">
        <v>82</v>
      </c>
      <c r="E10" s="12" t="s">
        <v>810</v>
      </c>
      <c r="F10" s="427"/>
      <c r="G10" s="324">
        <v>1800</v>
      </c>
      <c r="H10" s="324">
        <v>600</v>
      </c>
      <c r="I10" s="324"/>
      <c r="J10" s="12" t="str">
        <f>IFERROR(IF(VLOOKUP(D10,期货合约要素!$D:$Q,12,0)=0,"",VLOOKUP(D10,期货合约要素!$D:$Q,12,0)),IF(VLOOKUP(D10,期权合约要素!$D:$V,17,0)=0,"",VLOOKUP(D10,期权合约要素!$D:$V,17,0)))</f>
        <v>√</v>
      </c>
      <c r="K10" s="443" t="str">
        <f>IFERROR(IF(VLOOKUP(D10,期货合约要素!$D:$Q,14,0)=0,"",VLOOKUP(D10,期货合约要素!$D:$Q,14,0)),IF(VLOOKUP(D10,期权合约要素!$D:$V,19,0)=0,"",VLOOKUP(D10,期权合约要素!$D:$V,19,0)))</f>
        <v/>
      </c>
      <c r="L10" s="336"/>
      <c r="M10" s="448"/>
      <c r="N10" s="12"/>
      <c r="O10" s="12"/>
      <c r="P10" s="12"/>
      <c r="Q10" s="476"/>
      <c r="R10" s="336"/>
      <c r="S10" s="336"/>
      <c r="T10" s="336"/>
      <c r="U10" s="336"/>
      <c r="V10" s="336"/>
      <c r="W10" s="336"/>
      <c r="X10" s="336"/>
      <c r="Y10" s="336"/>
      <c r="Z10" s="336"/>
      <c r="AA10" s="336"/>
      <c r="AB10" s="336"/>
      <c r="AC10" s="336"/>
    </row>
    <row r="11" ht="20.1" customHeight="1" spans="1:29">
      <c r="A11" s="336"/>
      <c r="B11" s="428"/>
      <c r="C11" s="429"/>
      <c r="D11" s="429"/>
      <c r="E11" s="18" t="s">
        <v>811</v>
      </c>
      <c r="F11" s="322"/>
      <c r="G11" s="427"/>
      <c r="H11" s="427"/>
      <c r="I11" s="324"/>
      <c r="J11" s="429" t="e">
        <f>IFERROR(IF(VLOOKUP(D11,期货合约要素!$D:$Q,12,0)=0,"",VLOOKUP(D11,期货合约要素!$D:$Q,12,0)),IF(VLOOKUP(D11,期权合约要素!$D:$V,17,0)=0,"",VLOOKUP(D11,期权合约要素!$D:$V,17,0)))</f>
        <v>#N/A</v>
      </c>
      <c r="K11" s="446" t="e">
        <f>IFERROR(IF(VLOOKUP(D11,期货合约要素!$D:$Q,14,0)=0,"",VLOOKUP(D11,期货合约要素!$D:$Q,14,0)),IF(VLOOKUP(D11,期权合约要素!$D:$V,19,0)=0,"",VLOOKUP(D11,期权合约要素!$D:$V,19,0)))</f>
        <v>#N/A</v>
      </c>
      <c r="L11" s="336"/>
      <c r="M11" s="448"/>
      <c r="N11" s="12"/>
      <c r="O11" s="12"/>
      <c r="P11" s="12"/>
      <c r="Q11" s="476"/>
      <c r="R11" s="336"/>
      <c r="S11" s="336"/>
      <c r="T11" s="336"/>
      <c r="U11" s="336"/>
      <c r="V11" s="336"/>
      <c r="W11" s="336"/>
      <c r="X11" s="336"/>
      <c r="Y11" s="336"/>
      <c r="Z11" s="336"/>
      <c r="AA11" s="336"/>
      <c r="AB11" s="336"/>
      <c r="AC11" s="336"/>
    </row>
    <row r="12" ht="20.1" customHeight="1" spans="1:29">
      <c r="A12" s="336"/>
      <c r="B12" s="428"/>
      <c r="C12" s="426" t="s">
        <v>52</v>
      </c>
      <c r="D12" s="12" t="s">
        <v>53</v>
      </c>
      <c r="E12" s="18" t="s">
        <v>812</v>
      </c>
      <c r="F12" s="427"/>
      <c r="G12" s="324">
        <v>4500</v>
      </c>
      <c r="H12" s="324">
        <v>900</v>
      </c>
      <c r="I12" s="324" t="s">
        <v>813</v>
      </c>
      <c r="J12" s="12" t="str">
        <f>IFERROR(IF(VLOOKUP(D12,期货合约要素!$D:$Q,12,0)=0,"",VLOOKUP(D12,期货合约要素!$D:$Q,12,0)),IF(VLOOKUP(D12,期权合约要素!$D:$V,17,0)=0,"",VLOOKUP(D12,期权合约要素!$D:$V,17,0)))</f>
        <v>√</v>
      </c>
      <c r="K12" s="443" t="str">
        <f>IFERROR(IF(VLOOKUP(D12,期货合约要素!$D:$Q,14,0)=0,"",VLOOKUP(D12,期货合约要素!$D:$Q,14,0)),IF(VLOOKUP(D12,期权合约要素!$D:$V,19,0)=0,"",VLOOKUP(D12,期权合约要素!$D:$V,19,0)))</f>
        <v/>
      </c>
      <c r="L12" s="336"/>
      <c r="M12" s="448"/>
      <c r="N12" s="12"/>
      <c r="O12" s="12"/>
      <c r="P12" s="12"/>
      <c r="Q12" s="476"/>
      <c r="R12" s="336"/>
      <c r="S12" s="336"/>
      <c r="T12" s="336"/>
      <c r="U12" s="336"/>
      <c r="V12" s="336"/>
      <c r="W12" s="336"/>
      <c r="X12" s="336"/>
      <c r="Y12" s="336"/>
      <c r="Z12" s="336"/>
      <c r="AA12" s="336"/>
      <c r="AB12" s="336"/>
      <c r="AC12" s="336"/>
    </row>
    <row r="13" ht="20.1" customHeight="1" spans="1:29">
      <c r="A13" s="336"/>
      <c r="B13" s="428"/>
      <c r="C13" s="429"/>
      <c r="D13" s="429"/>
      <c r="E13" s="18" t="s">
        <v>814</v>
      </c>
      <c r="F13" s="322"/>
      <c r="G13" s="427"/>
      <c r="H13" s="427"/>
      <c r="I13" s="324"/>
      <c r="J13" s="429" t="e">
        <f>IFERROR(IF(VLOOKUP(D13,期货合约要素!$D:$Q,12,0)=0,"",VLOOKUP(D13,期货合约要素!$D:$Q,12,0)),IF(VLOOKUP(D13,期权合约要素!$D:$V,17,0)=0,"",VLOOKUP(D13,期权合约要素!$D:$V,17,0)))</f>
        <v>#N/A</v>
      </c>
      <c r="K13" s="446" t="e">
        <f>IFERROR(IF(VLOOKUP(D13,期货合约要素!$D:$Q,14,0)=0,"",VLOOKUP(D13,期货合约要素!$D:$Q,14,0)),IF(VLOOKUP(D13,期权合约要素!$D:$V,19,0)=0,"",VLOOKUP(D13,期权合约要素!$D:$V,19,0)))</f>
        <v>#N/A</v>
      </c>
      <c r="L13" s="336"/>
      <c r="M13" s="448" t="s">
        <v>815</v>
      </c>
      <c r="N13" s="12">
        <v>5000</v>
      </c>
      <c r="O13" s="12">
        <v>10000</v>
      </c>
      <c r="P13" s="12">
        <v>10000</v>
      </c>
      <c r="Q13" s="476"/>
      <c r="R13" s="336"/>
      <c r="S13" s="336"/>
      <c r="T13" s="336"/>
      <c r="U13" s="336"/>
      <c r="V13" s="336"/>
      <c r="W13" s="336"/>
      <c r="X13" s="336"/>
      <c r="Y13" s="336"/>
      <c r="Z13" s="336"/>
      <c r="AA13" s="336"/>
      <c r="AB13" s="336"/>
      <c r="AC13" s="336"/>
    </row>
    <row r="14" ht="20.1" customHeight="1" spans="1:29">
      <c r="A14" s="336"/>
      <c r="B14" s="428"/>
      <c r="C14" s="426" t="s">
        <v>47</v>
      </c>
      <c r="D14" s="12" t="s">
        <v>48</v>
      </c>
      <c r="E14" s="18" t="s">
        <v>816</v>
      </c>
      <c r="F14" s="427"/>
      <c r="G14" s="324">
        <v>1800</v>
      </c>
      <c r="H14" s="324">
        <v>360</v>
      </c>
      <c r="I14" s="324"/>
      <c r="J14" s="12" t="str">
        <f>IFERROR(IF(VLOOKUP(D14,期货合约要素!$D:$Q,12,0)=0,"",VLOOKUP(D14,期货合约要素!$D:$Q,12,0)),IF(VLOOKUP(D14,期权合约要素!$D:$V,17,0)=0,"",VLOOKUP(D14,期权合约要素!$D:$V,17,0)))</f>
        <v/>
      </c>
      <c r="K14" s="443" t="str">
        <f>IFERROR(IF(VLOOKUP(D14,期货合约要素!$D:$Q,14,0)=0,"",VLOOKUP(D14,期货合约要素!$D:$Q,14,0)),IF(VLOOKUP(D14,期权合约要素!$D:$V,19,0)=0,"",VLOOKUP(D14,期权合约要素!$D:$V,19,0)))</f>
        <v/>
      </c>
      <c r="L14" s="336"/>
      <c r="M14" s="448"/>
      <c r="N14" s="12"/>
      <c r="O14" s="12"/>
      <c r="P14" s="12"/>
      <c r="Q14" s="476"/>
      <c r="R14" s="336"/>
      <c r="S14" s="336"/>
      <c r="T14" s="336"/>
      <c r="U14" s="336"/>
      <c r="V14" s="336"/>
      <c r="W14" s="336"/>
      <c r="X14" s="336"/>
      <c r="Y14" s="336"/>
      <c r="Z14" s="336"/>
      <c r="AA14" s="336"/>
      <c r="AB14" s="336"/>
      <c r="AC14" s="336"/>
    </row>
    <row r="15" ht="20.1" customHeight="1" spans="1:29">
      <c r="A15" s="336"/>
      <c r="B15" s="428"/>
      <c r="C15" s="429"/>
      <c r="D15" s="429"/>
      <c r="E15" s="18" t="s">
        <v>817</v>
      </c>
      <c r="F15" s="322"/>
      <c r="G15" s="427"/>
      <c r="H15" s="427"/>
      <c r="I15" s="324"/>
      <c r="J15" s="429" t="e">
        <f>IFERROR(IF(VLOOKUP(D15,期货合约要素!$D:$Q,12,0)=0,"",VLOOKUP(D15,期货合约要素!$D:$Q,12,0)),IF(VLOOKUP(D15,期权合约要素!$D:$V,17,0)=0,"",VLOOKUP(D15,期权合约要素!$D:$V,17,0)))</f>
        <v>#N/A</v>
      </c>
      <c r="K15" s="446" t="e">
        <f>IFERROR(IF(VLOOKUP(D15,期货合约要素!$D:$Q,14,0)=0,"",VLOOKUP(D15,期货合约要素!$D:$Q,14,0)),IF(VLOOKUP(D15,期权合约要素!$D:$V,19,0)=0,"",VLOOKUP(D15,期权合约要素!$D:$V,19,0)))</f>
        <v>#N/A</v>
      </c>
      <c r="L15" s="336"/>
      <c r="M15" s="448"/>
      <c r="N15" s="12"/>
      <c r="O15" s="12"/>
      <c r="P15" s="12"/>
      <c r="Q15" s="476"/>
      <c r="R15" s="336"/>
      <c r="S15" s="336"/>
      <c r="T15" s="336"/>
      <c r="U15" s="336"/>
      <c r="V15" s="336"/>
      <c r="W15" s="336"/>
      <c r="X15" s="336"/>
      <c r="Y15" s="336"/>
      <c r="Z15" s="336"/>
      <c r="AA15" s="336"/>
      <c r="AB15" s="336"/>
      <c r="AC15" s="336"/>
    </row>
    <row r="16" ht="20.1" customHeight="1" spans="1:29">
      <c r="A16" s="336"/>
      <c r="B16" s="428"/>
      <c r="C16" s="426" t="s">
        <v>818</v>
      </c>
      <c r="D16" s="12" t="s">
        <v>59</v>
      </c>
      <c r="E16" s="12" t="s">
        <v>819</v>
      </c>
      <c r="F16" s="427"/>
      <c r="G16" s="324">
        <v>9000</v>
      </c>
      <c r="H16" s="324">
        <v>1800</v>
      </c>
      <c r="I16" s="324"/>
      <c r="J16" s="12" t="str">
        <f>IFERROR(IF(VLOOKUP(D16,期货合约要素!$D:$Q,12,0)=0,"",VLOOKUP(D16,期货合约要素!$D:$Q,12,0)),IF(VLOOKUP(D16,期权合约要素!$D:$V,17,0)=0,"",VLOOKUP(D16,期权合约要素!$D:$V,17,0)))</f>
        <v>√</v>
      </c>
      <c r="K16" s="443" t="str">
        <f>IFERROR(IF(VLOOKUP(D16,期货合约要素!$D:$Q,14,0)=0,"",VLOOKUP(D16,期货合约要素!$D:$Q,14,0)),IF(VLOOKUP(D16,期权合约要素!$D:$V,19,0)=0,"",VLOOKUP(D16,期权合约要素!$D:$V,19,0)))</f>
        <v/>
      </c>
      <c r="L16" s="336"/>
      <c r="M16" s="448"/>
      <c r="N16" s="12"/>
      <c r="O16" s="12"/>
      <c r="P16" s="12"/>
      <c r="Q16" s="476"/>
      <c r="R16" s="336"/>
      <c r="S16" s="336"/>
      <c r="T16" s="336"/>
      <c r="U16" s="336"/>
      <c r="V16" s="336"/>
      <c r="W16" s="336"/>
      <c r="X16" s="336"/>
      <c r="Y16" s="336"/>
      <c r="Z16" s="336"/>
      <c r="AA16" s="336"/>
      <c r="AB16" s="336"/>
      <c r="AC16" s="336"/>
    </row>
    <row r="17" ht="20.1" customHeight="1" spans="1:29">
      <c r="A17" s="336"/>
      <c r="B17" s="428"/>
      <c r="C17" s="429"/>
      <c r="D17" s="429"/>
      <c r="E17" s="18" t="s">
        <v>820</v>
      </c>
      <c r="F17" s="322"/>
      <c r="G17" s="427"/>
      <c r="H17" s="427"/>
      <c r="I17" s="324"/>
      <c r="J17" s="429" t="e">
        <f>IFERROR(IF(VLOOKUP(D17,期货合约要素!$D:$Q,12,0)=0,"",VLOOKUP(D17,期货合约要素!$D:$Q,12,0)),IF(VLOOKUP(D17,期权合约要素!$D:$V,17,0)=0,"",VLOOKUP(D17,期权合约要素!$D:$V,17,0)))</f>
        <v>#N/A</v>
      </c>
      <c r="K17" s="446" t="e">
        <f>IFERROR(IF(VLOOKUP(D17,期货合约要素!$D:$Q,14,0)=0,"",VLOOKUP(D17,期货合约要素!$D:$Q,14,0)),IF(VLOOKUP(D17,期权合约要素!$D:$V,19,0)=0,"",VLOOKUP(D17,期权合约要素!$D:$V,19,0)))</f>
        <v>#N/A</v>
      </c>
      <c r="L17" s="336"/>
      <c r="M17" s="449"/>
      <c r="N17" s="450"/>
      <c r="O17" s="450"/>
      <c r="P17" s="450"/>
      <c r="Q17" s="477"/>
      <c r="R17" s="336"/>
      <c r="S17" s="336"/>
      <c r="T17" s="336"/>
      <c r="U17" s="336"/>
      <c r="V17" s="336"/>
      <c r="W17" s="336"/>
      <c r="X17" s="336"/>
      <c r="Y17" s="336"/>
      <c r="Z17" s="336"/>
      <c r="AA17" s="336"/>
      <c r="AB17" s="336"/>
      <c r="AC17" s="336"/>
    </row>
    <row r="18" ht="42.95" customHeight="1" spans="1:29">
      <c r="A18" s="336"/>
      <c r="B18" s="428"/>
      <c r="C18" s="426" t="s">
        <v>87</v>
      </c>
      <c r="D18" s="12" t="s">
        <v>88</v>
      </c>
      <c r="E18" s="12">
        <v>8000</v>
      </c>
      <c r="F18" s="429"/>
      <c r="G18" s="324">
        <v>900</v>
      </c>
      <c r="H18" s="324">
        <v>300</v>
      </c>
      <c r="I18" s="451" t="s">
        <v>821</v>
      </c>
      <c r="J18" s="12" t="str">
        <f>IFERROR(IF(VLOOKUP(D18,期货合约要素!$D:$Q,12,0)=0,"",VLOOKUP(D18,期货合约要素!$D:$Q,12,0)),IF(VLOOKUP(D18,期权合约要素!$D:$V,17,0)=0,"",VLOOKUP(D18,期权合约要素!$D:$V,17,0)))</f>
        <v/>
      </c>
      <c r="K18" s="443" t="str">
        <f>IFERROR(IF(VLOOKUP(D18,期货合约要素!$D:$Q,14,0)=0,"",VLOOKUP(D18,期货合约要素!$D:$Q,14,0)),IF(VLOOKUP(D18,期权合约要素!$D:$V,19,0)=0,"",VLOOKUP(D18,期权合约要素!$D:$V,19,0)))</f>
        <v/>
      </c>
      <c r="L18" s="336"/>
      <c r="M18" s="336"/>
      <c r="N18" s="336"/>
      <c r="O18" s="336"/>
      <c r="P18" s="336"/>
      <c r="Q18" s="336"/>
      <c r="R18" s="336"/>
      <c r="S18" s="336"/>
      <c r="T18" s="336"/>
      <c r="U18" s="336"/>
      <c r="V18" s="336"/>
      <c r="W18" s="336"/>
      <c r="X18" s="336"/>
      <c r="Y18" s="336"/>
      <c r="Z18" s="336"/>
      <c r="AA18" s="336"/>
      <c r="AB18" s="336"/>
      <c r="AC18" s="336"/>
    </row>
    <row r="19" ht="20.1" customHeight="1" spans="1:29">
      <c r="A19" s="336"/>
      <c r="B19" s="428"/>
      <c r="C19" s="426" t="s">
        <v>77</v>
      </c>
      <c r="D19" s="12" t="s">
        <v>78</v>
      </c>
      <c r="E19" s="12" t="s">
        <v>822</v>
      </c>
      <c r="F19" s="427"/>
      <c r="G19" s="324">
        <v>1800</v>
      </c>
      <c r="H19" s="324">
        <v>360</v>
      </c>
      <c r="I19" s="324" t="s">
        <v>823</v>
      </c>
      <c r="J19" s="12" t="str">
        <f>IFERROR(IF(VLOOKUP(D19,期货合约要素!$D:$Q,12,0)=0,"",VLOOKUP(D19,期货合约要素!$D:$Q,12,0)),IF(VLOOKUP(D19,期权合约要素!$D:$V,17,0)=0,"",VLOOKUP(D19,期权合约要素!$D:$V,17,0)))</f>
        <v>√</v>
      </c>
      <c r="K19" s="443" t="str">
        <f>IFERROR(IF(VLOOKUP(D19,期货合约要素!$D:$Q,14,0)=0,"",VLOOKUP(D19,期货合约要素!$D:$Q,14,0)),IF(VLOOKUP(D19,期权合约要素!$D:$V,19,0)=0,"",VLOOKUP(D19,期权合约要素!$D:$V,19,0)))</f>
        <v/>
      </c>
      <c r="L19" s="336"/>
      <c r="M19" s="452"/>
      <c r="N19" s="452"/>
      <c r="O19" s="452"/>
      <c r="P19" s="452"/>
      <c r="Q19" s="452"/>
      <c r="R19" s="336"/>
      <c r="S19" s="336"/>
      <c r="T19" s="336"/>
      <c r="U19" s="336"/>
      <c r="V19" s="336"/>
      <c r="W19" s="336"/>
      <c r="X19" s="336"/>
      <c r="Y19" s="336"/>
      <c r="Z19" s="336"/>
      <c r="AA19" s="336"/>
      <c r="AB19" s="336"/>
      <c r="AC19" s="336"/>
    </row>
    <row r="20" s="418" customFormat="1" ht="39.95" customHeight="1" spans="1:29">
      <c r="A20" s="430"/>
      <c r="B20" s="428"/>
      <c r="C20" s="429"/>
      <c r="D20" s="429"/>
      <c r="E20" s="12" t="s">
        <v>824</v>
      </c>
      <c r="F20" s="322"/>
      <c r="G20" s="427"/>
      <c r="H20" s="427"/>
      <c r="I20" s="427"/>
      <c r="J20" s="429" t="e">
        <f>IFERROR(IF(VLOOKUP(D20,期货合约要素!$D:$Q,12,0)=0,"",VLOOKUP(D20,期货合约要素!$D:$Q,12,0)),IF(VLOOKUP(D20,期权合约要素!$D:$V,17,0)=0,"",VLOOKUP(D20,期权合约要素!$D:$V,17,0)))</f>
        <v>#N/A</v>
      </c>
      <c r="K20" s="446" t="e">
        <f>IFERROR(IF(VLOOKUP(D20,期货合约要素!$D:$Q,14,0)=0,"",VLOOKUP(D20,期货合约要素!$D:$Q,14,0)),IF(VLOOKUP(D20,期权合约要素!$D:$V,19,0)=0,"",VLOOKUP(D20,期权合约要素!$D:$V,19,0)))</f>
        <v>#N/A</v>
      </c>
      <c r="L20" s="430"/>
      <c r="M20" s="430"/>
      <c r="N20" s="430"/>
      <c r="O20" s="430"/>
      <c r="P20" s="430"/>
      <c r="Q20" s="430"/>
      <c r="R20" s="430"/>
      <c r="S20" s="430"/>
      <c r="T20" s="430"/>
      <c r="U20" s="430"/>
      <c r="V20" s="430"/>
      <c r="W20" s="430"/>
      <c r="X20" s="430"/>
      <c r="Y20" s="430"/>
      <c r="Z20" s="430"/>
      <c r="AA20" s="430"/>
      <c r="AB20" s="430"/>
      <c r="AC20" s="430"/>
    </row>
    <row r="21" ht="20.1" customHeight="1" spans="1:29">
      <c r="A21" s="336"/>
      <c r="B21" s="428"/>
      <c r="C21" s="426" t="s">
        <v>83</v>
      </c>
      <c r="D21" s="12" t="s">
        <v>84</v>
      </c>
      <c r="E21" s="12" t="s">
        <v>807</v>
      </c>
      <c r="F21" s="427"/>
      <c r="G21" s="324">
        <v>1800</v>
      </c>
      <c r="H21" s="324">
        <v>600</v>
      </c>
      <c r="I21" s="324" t="s">
        <v>825</v>
      </c>
      <c r="J21" s="12" t="str">
        <f>IFERROR(IF(VLOOKUP(D21,期货合约要素!$D:$Q,12,0)=0,"",VLOOKUP(D21,期货合约要素!$D:$Q,12,0)),IF(VLOOKUP(D21,期权合约要素!$D:$V,17,0)=0,"",VLOOKUP(D21,期权合约要素!$D:$V,17,0)))</f>
        <v>√</v>
      </c>
      <c r="K21" s="443" t="str">
        <f>IFERROR(IF(VLOOKUP(D21,期货合约要素!$D:$Q,14,0)=0,"",VLOOKUP(D21,期货合约要素!$D:$Q,14,0)),IF(VLOOKUP(D21,期权合约要素!$D:$V,19,0)=0,"",VLOOKUP(D21,期权合约要素!$D:$V,19,0)))</f>
        <v>√</v>
      </c>
      <c r="L21" s="336"/>
      <c r="M21" s="453" t="s">
        <v>826</v>
      </c>
      <c r="N21" s="454"/>
      <c r="O21" s="454"/>
      <c r="P21" s="454"/>
      <c r="Q21" s="478"/>
      <c r="R21" s="336"/>
      <c r="S21" s="336"/>
      <c r="T21" s="336"/>
      <c r="U21" s="336"/>
      <c r="V21" s="336"/>
      <c r="W21" s="336"/>
      <c r="X21" s="336"/>
      <c r="Y21" s="336"/>
      <c r="Z21" s="336"/>
      <c r="AA21" s="336"/>
      <c r="AB21" s="336"/>
      <c r="AC21" s="336"/>
    </row>
    <row r="22" ht="20.1" customHeight="1" spans="1:29">
      <c r="A22" s="336"/>
      <c r="B22" s="428"/>
      <c r="C22" s="429"/>
      <c r="D22" s="429"/>
      <c r="E22" s="18" t="s">
        <v>827</v>
      </c>
      <c r="F22" s="322"/>
      <c r="G22" s="427"/>
      <c r="H22" s="427"/>
      <c r="I22" s="427"/>
      <c r="J22" s="429" t="e">
        <f>IFERROR(IF(VLOOKUP(D22,期货合约要素!$D:$Q,12,0)=0,"",VLOOKUP(D22,期货合约要素!$D:$Q,12,0)),IF(VLOOKUP(D22,期权合约要素!$D:$V,17,0)=0,"",VLOOKUP(D22,期权合约要素!$D:$V,17,0)))</f>
        <v>#N/A</v>
      </c>
      <c r="K22" s="446" t="e">
        <f>IFERROR(IF(VLOOKUP(D22,期货合约要素!$D:$Q,14,0)=0,"",VLOOKUP(D22,期货合约要素!$D:$Q,14,0)),IF(VLOOKUP(D22,期权合约要素!$D:$V,19,0)=0,"",VLOOKUP(D22,期权合约要素!$D:$V,19,0)))</f>
        <v>#N/A</v>
      </c>
      <c r="L22" s="336"/>
      <c r="M22" s="455" t="s">
        <v>795</v>
      </c>
      <c r="N22" s="317" t="s">
        <v>796</v>
      </c>
      <c r="O22" s="317" t="s">
        <v>797</v>
      </c>
      <c r="P22" s="317" t="s">
        <v>798</v>
      </c>
      <c r="Q22" s="318" t="s">
        <v>794</v>
      </c>
      <c r="R22" s="336"/>
      <c r="S22" s="336"/>
      <c r="T22" s="336"/>
      <c r="U22" s="336"/>
      <c r="V22" s="336"/>
      <c r="W22" s="336"/>
      <c r="X22" s="336"/>
      <c r="Y22" s="336"/>
      <c r="Z22" s="336"/>
      <c r="AA22" s="336"/>
      <c r="AB22" s="336"/>
      <c r="AC22" s="336"/>
    </row>
    <row r="23" ht="20.1" customHeight="1" spans="1:29">
      <c r="A23" s="336"/>
      <c r="B23" s="428"/>
      <c r="C23" s="426" t="s">
        <v>85</v>
      </c>
      <c r="D23" s="12" t="s">
        <v>86</v>
      </c>
      <c r="E23" s="12" t="s">
        <v>828</v>
      </c>
      <c r="F23" s="427"/>
      <c r="G23" s="324">
        <v>600</v>
      </c>
      <c r="H23" s="324">
        <v>200</v>
      </c>
      <c r="I23" s="324" t="s">
        <v>829</v>
      </c>
      <c r="J23" s="12" t="str">
        <f>IFERROR(IF(VLOOKUP(D23,期货合约要素!$D:$Q,12,0)=0,"",VLOOKUP(D23,期货合约要素!$D:$Q,12,0)),IF(VLOOKUP(D23,期权合约要素!$D:$V,17,0)=0,"",VLOOKUP(D23,期权合约要素!$D:$V,17,0)))</f>
        <v>√</v>
      </c>
      <c r="K23" s="443" t="str">
        <f>IFERROR(IF(VLOOKUP(D23,期货合约要素!$D:$Q,14,0)=0,"",VLOOKUP(D23,期货合约要素!$D:$Q,14,0)),IF(VLOOKUP(D23,期权合约要素!$D:$V,19,0)=0,"",VLOOKUP(D23,期权合约要素!$D:$V,19,0)))</f>
        <v/>
      </c>
      <c r="L23" s="336"/>
      <c r="M23" s="422"/>
      <c r="N23" s="423"/>
      <c r="O23" s="423"/>
      <c r="P23" s="423"/>
      <c r="Q23" s="440"/>
      <c r="R23" s="336"/>
      <c r="S23" s="336"/>
      <c r="T23" s="336"/>
      <c r="U23" s="336"/>
      <c r="V23" s="336"/>
      <c r="W23" s="336"/>
      <c r="X23" s="336"/>
      <c r="Y23" s="336"/>
      <c r="Z23" s="336"/>
      <c r="AA23" s="336"/>
      <c r="AB23" s="336"/>
      <c r="AC23" s="336"/>
    </row>
    <row r="24" ht="20.1" customHeight="1" spans="1:29">
      <c r="A24" s="336"/>
      <c r="B24" s="428"/>
      <c r="C24" s="429"/>
      <c r="D24" s="429"/>
      <c r="E24" s="18" t="s">
        <v>830</v>
      </c>
      <c r="F24" s="322"/>
      <c r="G24" s="427"/>
      <c r="H24" s="427"/>
      <c r="I24" s="324"/>
      <c r="J24" s="429" t="e">
        <f>IFERROR(IF(VLOOKUP(D24,期货合约要素!$D:$Q,12,0)=0,"",VLOOKUP(D24,期货合约要素!$D:$Q,12,0)),IF(VLOOKUP(D24,期权合约要素!$D:$V,17,0)=0,"",VLOOKUP(D24,期权合约要素!$D:$V,17,0)))</f>
        <v>#N/A</v>
      </c>
      <c r="K24" s="446" t="e">
        <f>IFERROR(IF(VLOOKUP(D24,期货合约要素!$D:$Q,14,0)=0,"",VLOOKUP(D24,期货合约要素!$D:$Q,14,0)),IF(VLOOKUP(D24,期权合约要素!$D:$V,19,0)=0,"",VLOOKUP(D24,期权合约要素!$D:$V,19,0)))</f>
        <v>#N/A</v>
      </c>
      <c r="L24" s="336"/>
      <c r="M24" s="447" t="s">
        <v>801</v>
      </c>
      <c r="N24" s="12">
        <v>100</v>
      </c>
      <c r="O24" s="12">
        <v>200</v>
      </c>
      <c r="P24" s="12">
        <v>400</v>
      </c>
      <c r="Q24" s="479" t="s">
        <v>831</v>
      </c>
      <c r="R24" s="336"/>
      <c r="S24" s="336"/>
      <c r="T24" s="336"/>
      <c r="U24" s="336"/>
      <c r="V24" s="336"/>
      <c r="W24" s="336"/>
      <c r="X24" s="336"/>
      <c r="Y24" s="336"/>
      <c r="Z24" s="336"/>
      <c r="AA24" s="336"/>
      <c r="AB24" s="336"/>
      <c r="AC24" s="336"/>
    </row>
    <row r="25" ht="20.1" customHeight="1" spans="1:29">
      <c r="A25" s="336"/>
      <c r="B25" s="428"/>
      <c r="C25" s="426" t="s">
        <v>66</v>
      </c>
      <c r="D25" s="12" t="s">
        <v>67</v>
      </c>
      <c r="E25" s="12" t="s">
        <v>832</v>
      </c>
      <c r="F25" s="429"/>
      <c r="G25" s="324">
        <v>300</v>
      </c>
      <c r="H25" s="324">
        <v>60</v>
      </c>
      <c r="I25" s="324"/>
      <c r="J25" s="12" t="str">
        <f>IFERROR(IF(VLOOKUP(D25,期货合约要素!$D:$Q,12,0)=0,"",VLOOKUP(D25,期货合约要素!$D:$Q,12,0)),IF(VLOOKUP(D25,期权合约要素!$D:$V,17,0)=0,"",VLOOKUP(D25,期权合约要素!$D:$V,17,0)))</f>
        <v/>
      </c>
      <c r="K25" s="443" t="str">
        <f>IFERROR(IF(VLOOKUP(D25,期货合约要素!$D:$Q,14,0)=0,"",VLOOKUP(D25,期货合约要素!$D:$Q,14,0)),IF(VLOOKUP(D25,期权合约要素!$D:$V,19,0)=0,"",VLOOKUP(D25,期权合约要素!$D:$V,19,0)))</f>
        <v/>
      </c>
      <c r="L25" s="336"/>
      <c r="M25" s="447"/>
      <c r="N25" s="12"/>
      <c r="O25" s="12"/>
      <c r="P25" s="12"/>
      <c r="Q25" s="479"/>
      <c r="R25" s="336"/>
      <c r="S25" s="336"/>
      <c r="T25" s="336"/>
      <c r="U25" s="336"/>
      <c r="V25" s="336"/>
      <c r="W25" s="336"/>
      <c r="X25" s="336"/>
      <c r="Y25" s="336"/>
      <c r="Z25" s="336"/>
      <c r="AA25" s="336"/>
      <c r="AB25" s="336"/>
      <c r="AC25" s="336"/>
    </row>
    <row r="26" ht="20.1" customHeight="1" spans="1:29">
      <c r="A26" s="336"/>
      <c r="B26" s="428"/>
      <c r="C26" s="429"/>
      <c r="D26" s="429"/>
      <c r="E26" s="12" t="s">
        <v>833</v>
      </c>
      <c r="F26" s="324"/>
      <c r="G26" s="429"/>
      <c r="H26" s="429"/>
      <c r="I26" s="324"/>
      <c r="J26" s="429" t="e">
        <f>IFERROR(IF(VLOOKUP(D26,期货合约要素!$D:$Q,12,0)=0,"",VLOOKUP(D26,期货合约要素!$D:$Q,12,0)),IF(VLOOKUP(D26,期权合约要素!$D:$V,17,0)=0,"",VLOOKUP(D26,期权合约要素!$D:$V,17,0)))</f>
        <v>#N/A</v>
      </c>
      <c r="K26" s="446" t="e">
        <f>IFERROR(IF(VLOOKUP(D26,期货合约要素!$D:$Q,14,0)=0,"",VLOOKUP(D26,期货合约要素!$D:$Q,14,0)),IF(VLOOKUP(D26,期权合约要素!$D:$V,19,0)=0,"",VLOOKUP(D26,期权合约要素!$D:$V,19,0)))</f>
        <v>#N/A</v>
      </c>
      <c r="L26" s="336"/>
      <c r="M26" s="448" t="s">
        <v>805</v>
      </c>
      <c r="N26" s="12">
        <v>1000</v>
      </c>
      <c r="O26" s="12">
        <v>2000</v>
      </c>
      <c r="P26" s="12">
        <v>4000</v>
      </c>
      <c r="Q26" s="479"/>
      <c r="R26" s="336"/>
      <c r="S26" s="336"/>
      <c r="T26" s="336"/>
      <c r="U26" s="336"/>
      <c r="V26" s="336"/>
      <c r="W26" s="336"/>
      <c r="X26" s="336"/>
      <c r="Y26" s="336"/>
      <c r="Z26" s="336"/>
      <c r="AA26" s="336"/>
      <c r="AB26" s="336"/>
      <c r="AC26" s="336"/>
    </row>
    <row r="27" ht="20.1" customHeight="1" spans="1:29">
      <c r="A27" s="336"/>
      <c r="B27" s="428"/>
      <c r="C27" s="426" t="s">
        <v>94</v>
      </c>
      <c r="D27" s="12" t="s">
        <v>95</v>
      </c>
      <c r="E27" s="12">
        <v>9000</v>
      </c>
      <c r="F27" s="427"/>
      <c r="G27" s="324">
        <v>2700</v>
      </c>
      <c r="H27" s="324">
        <v>900</v>
      </c>
      <c r="I27" s="324"/>
      <c r="J27" s="322" t="str">
        <f>IFERROR(IF(VLOOKUP(D27,期货合约要素!$D:$Q,12,0)=0,"",VLOOKUP(D27,期货合约要素!$D:$Q,12,0)),IF(VLOOKUP(D27,期权合约要素!$D:$V,17,0)=0,"",VLOOKUP(D27,期权合约要素!$D:$V,17,0)))</f>
        <v>√</v>
      </c>
      <c r="K27" s="323" t="str">
        <f>IFERROR(IF(VLOOKUP(D27,期货合约要素!$D:$Q,14,0)=0,"",VLOOKUP(D27,期货合约要素!$D:$Q,14,0)),IF(VLOOKUP(D27,期权合约要素!$D:$V,19,0)=0,"",VLOOKUP(D27,期权合约要素!$D:$V,19,0)))</f>
        <v/>
      </c>
      <c r="L27" s="336"/>
      <c r="M27" s="448"/>
      <c r="N27" s="12"/>
      <c r="O27" s="12"/>
      <c r="P27" s="12"/>
      <c r="Q27" s="479"/>
      <c r="R27" s="336"/>
      <c r="S27" s="336"/>
      <c r="T27" s="336"/>
      <c r="U27" s="336"/>
      <c r="V27" s="336"/>
      <c r="W27" s="336"/>
      <c r="X27" s="336"/>
      <c r="Y27" s="336"/>
      <c r="Z27" s="336"/>
      <c r="AA27" s="336"/>
      <c r="AB27" s="336"/>
      <c r="AC27" s="336"/>
    </row>
    <row r="28" ht="20.1" customHeight="1" spans="1:29">
      <c r="A28" s="336"/>
      <c r="B28" s="428"/>
      <c r="C28" s="426" t="s">
        <v>346</v>
      </c>
      <c r="D28" s="12" t="s">
        <v>69</v>
      </c>
      <c r="E28" s="12">
        <v>4500</v>
      </c>
      <c r="F28" s="427"/>
      <c r="G28" s="324">
        <v>900</v>
      </c>
      <c r="H28" s="324">
        <v>300</v>
      </c>
      <c r="I28" s="324"/>
      <c r="J28" s="322" t="str">
        <f>IFERROR(IF(VLOOKUP(D28,期货合约要素!$D:$Q,12,0)=0,"",VLOOKUP(D28,期货合约要素!$D:$Q,12,0)),IF(VLOOKUP(D28,期权合约要素!$D:$V,17,0)=0,"",VLOOKUP(D28,期权合约要素!$D:$V,17,0)))</f>
        <v>√</v>
      </c>
      <c r="K28" s="323" t="str">
        <f>IFERROR(IF(VLOOKUP(D28,期货合约要素!$D:$Q,14,0)=0,"",VLOOKUP(D28,期货合约要素!$D:$Q,14,0)),IF(VLOOKUP(D28,期权合约要素!$D:$V,19,0)=0,"",VLOOKUP(D28,期权合约要素!$D:$V,19,0)))</f>
        <v/>
      </c>
      <c r="L28" s="336"/>
      <c r="M28" s="448"/>
      <c r="N28" s="12"/>
      <c r="O28" s="12"/>
      <c r="P28" s="12"/>
      <c r="Q28" s="479"/>
      <c r="R28" s="336"/>
      <c r="S28" s="336"/>
      <c r="T28" s="336"/>
      <c r="U28" s="336"/>
      <c r="V28" s="336"/>
      <c r="W28" s="336"/>
      <c r="X28" s="336"/>
      <c r="Y28" s="336"/>
      <c r="Z28" s="336"/>
      <c r="AA28" s="336"/>
      <c r="AB28" s="336"/>
      <c r="AC28" s="336"/>
    </row>
    <row r="29" ht="30" customHeight="1" spans="1:29">
      <c r="A29" s="336"/>
      <c r="B29" s="428"/>
      <c r="C29" s="426" t="s">
        <v>91</v>
      </c>
      <c r="D29" s="12" t="s">
        <v>92</v>
      </c>
      <c r="E29" s="12">
        <v>9000</v>
      </c>
      <c r="F29" s="427"/>
      <c r="G29" s="324">
        <v>2700</v>
      </c>
      <c r="H29" s="324">
        <v>900</v>
      </c>
      <c r="I29" s="324" t="s">
        <v>834</v>
      </c>
      <c r="J29" s="322" t="str">
        <f>IFERROR(IF(VLOOKUP(D29,期货合约要素!$D:$Q,12,0)=0,"",VLOOKUP(D29,期货合约要素!$D:$Q,12,0)),IF(VLOOKUP(D29,期权合约要素!$D:$V,17,0)=0,"",VLOOKUP(D29,期权合约要素!$D:$V,17,0)))</f>
        <v>√</v>
      </c>
      <c r="K29" s="323" t="str">
        <f>IFERROR(IF(VLOOKUP(D29,期货合约要素!$D:$Q,14,0)=0,"",VLOOKUP(D29,期货合约要素!$D:$Q,14,0)),IF(VLOOKUP(D29,期权合约要素!$D:$V,19,0)=0,"",VLOOKUP(D29,期权合约要素!$D:$V,19,0)))</f>
        <v/>
      </c>
      <c r="L29" s="336"/>
      <c r="M29" s="448" t="s">
        <v>809</v>
      </c>
      <c r="N29" s="12">
        <v>2000</v>
      </c>
      <c r="O29" s="12">
        <v>4000</v>
      </c>
      <c r="P29" s="12">
        <v>8000</v>
      </c>
      <c r="Q29" s="479"/>
      <c r="R29" s="336"/>
      <c r="S29" s="336"/>
      <c r="T29" s="336"/>
      <c r="U29" s="336"/>
      <c r="V29" s="336"/>
      <c r="W29" s="336"/>
      <c r="X29" s="336"/>
      <c r="Y29" s="336"/>
      <c r="Z29" s="336"/>
      <c r="AA29" s="336"/>
      <c r="AB29" s="336"/>
      <c r="AC29" s="336"/>
    </row>
    <row r="30" ht="30" customHeight="1" spans="1:29">
      <c r="A30" s="336"/>
      <c r="B30" s="428"/>
      <c r="C30" s="426" t="s">
        <v>89</v>
      </c>
      <c r="D30" s="12" t="s">
        <v>90</v>
      </c>
      <c r="E30" s="12" t="s">
        <v>835</v>
      </c>
      <c r="F30" s="427"/>
      <c r="G30" s="324">
        <v>300</v>
      </c>
      <c r="H30" s="324">
        <v>90</v>
      </c>
      <c r="I30" s="324"/>
      <c r="J30" s="12" t="str">
        <f>IFERROR(IF(VLOOKUP(D30,期货合约要素!$D:$Q,12,0)=0,"",VLOOKUP(D30,期货合约要素!$D:$Q,12,0)),IF(VLOOKUP(D30,期权合约要素!$D:$V,17,0)=0,"",VLOOKUP(D30,期权合约要素!$D:$V,17,0)))</f>
        <v/>
      </c>
      <c r="K30" s="443" t="str">
        <f>IFERROR(IF(VLOOKUP(D30,期货合约要素!$D:$Q,14,0)=0,"",VLOOKUP(D30,期货合约要素!$D:$Q,14,0)),IF(VLOOKUP(D30,期权合约要素!$D:$V,19,0)=0,"",VLOOKUP(D30,期权合约要素!$D:$V,19,0)))</f>
        <v/>
      </c>
      <c r="L30" s="336"/>
      <c r="M30" s="448"/>
      <c r="N30" s="12"/>
      <c r="O30" s="12"/>
      <c r="P30" s="12"/>
      <c r="Q30" s="479"/>
      <c r="R30" s="336"/>
      <c r="S30" s="336"/>
      <c r="T30" s="336"/>
      <c r="U30" s="336"/>
      <c r="V30" s="336"/>
      <c r="W30" s="336"/>
      <c r="X30" s="336"/>
      <c r="Y30" s="336"/>
      <c r="Z30" s="336"/>
      <c r="AA30" s="336"/>
      <c r="AB30" s="336"/>
      <c r="AC30" s="336"/>
    </row>
    <row r="31" ht="30" customHeight="1" spans="1:29">
      <c r="A31" s="336"/>
      <c r="B31" s="428"/>
      <c r="C31" s="426"/>
      <c r="D31" s="12"/>
      <c r="E31" s="18" t="s">
        <v>836</v>
      </c>
      <c r="F31" s="322"/>
      <c r="G31" s="324"/>
      <c r="H31" s="324"/>
      <c r="I31" s="324"/>
      <c r="J31" s="429" t="e">
        <f>IFERROR(IF(VLOOKUP(D31,期货合约要素!$D:$Q,12,0)=0,"",VLOOKUP(D31,期货合约要素!$D:$Q,12,0)),IF(VLOOKUP(D31,期权合约要素!$D:$V,17,0)=0,"",VLOOKUP(D31,期权合约要素!$D:$V,17,0)))</f>
        <v>#N/A</v>
      </c>
      <c r="K31" s="446" t="e">
        <f>IFERROR(IF(VLOOKUP(D31,期货合约要素!$D:$Q,14,0)=0,"",VLOOKUP(D31,期货合约要素!$D:$Q,14,0)),IF(VLOOKUP(D31,期权合约要素!$D:$V,19,0)=0,"",VLOOKUP(D31,期权合约要素!$D:$V,19,0)))</f>
        <v>#N/A</v>
      </c>
      <c r="L31" s="336"/>
      <c r="M31" s="448"/>
      <c r="N31" s="12"/>
      <c r="O31" s="12"/>
      <c r="P31" s="12"/>
      <c r="Q31" s="479"/>
      <c r="R31" s="336"/>
      <c r="S31" s="336"/>
      <c r="T31" s="336"/>
      <c r="U31" s="336"/>
      <c r="V31" s="336"/>
      <c r="W31" s="336"/>
      <c r="X31" s="336"/>
      <c r="Y31" s="336"/>
      <c r="Z31" s="336"/>
      <c r="AA31" s="336"/>
      <c r="AB31" s="336"/>
      <c r="AC31" s="336"/>
    </row>
    <row r="32" ht="42.95" customHeight="1" spans="1:29">
      <c r="A32" s="336"/>
      <c r="B32" s="428"/>
      <c r="C32" s="426" t="s">
        <v>837</v>
      </c>
      <c r="D32" s="12" t="s">
        <v>63</v>
      </c>
      <c r="E32" s="12">
        <v>8000</v>
      </c>
      <c r="F32" s="427"/>
      <c r="G32" s="324">
        <v>1500</v>
      </c>
      <c r="H32" s="324">
        <v>500</v>
      </c>
      <c r="I32" s="324"/>
      <c r="J32" s="322" t="str">
        <f>IFERROR(IF(VLOOKUP(D32,期货合约要素!$D:$Q,12,0)=0,"",VLOOKUP(D32,期货合约要素!$D:$Q,12,0)),IF(VLOOKUP(D32,期权合约要素!$D:$V,17,0)=0,"",VLOOKUP(D32,期权合约要素!$D:$V,17,0)))</f>
        <v>√</v>
      </c>
      <c r="K32" s="323" t="str">
        <f>IFERROR(IF(VLOOKUP(D32,期货合约要素!$D:$Q,14,0)=0,"",VLOOKUP(D32,期货合约要素!$D:$Q,14,0)),IF(VLOOKUP(D32,期权合约要素!$D:$V,19,0)=0,"",VLOOKUP(D32,期权合约要素!$D:$V,19,0)))</f>
        <v/>
      </c>
      <c r="L32" s="336"/>
      <c r="M32" s="448"/>
      <c r="N32" s="12"/>
      <c r="O32" s="12"/>
      <c r="P32" s="12"/>
      <c r="Q32" s="479"/>
      <c r="R32" s="336"/>
      <c r="S32" s="336"/>
      <c r="T32" s="336"/>
      <c r="U32" s="336"/>
      <c r="V32" s="336"/>
      <c r="W32" s="336"/>
      <c r="X32" s="336"/>
      <c r="Y32" s="336"/>
      <c r="Z32" s="336"/>
      <c r="AA32" s="336"/>
      <c r="AB32" s="336"/>
      <c r="AC32" s="336"/>
    </row>
    <row r="33" ht="45.95" customHeight="1" spans="1:29">
      <c r="A33" s="336"/>
      <c r="B33" s="428"/>
      <c r="C33" s="426" t="s">
        <v>838</v>
      </c>
      <c r="D33" s="12" t="s">
        <v>65</v>
      </c>
      <c r="E33" s="12">
        <v>1000</v>
      </c>
      <c r="F33" s="429"/>
      <c r="G33" s="324">
        <v>300</v>
      </c>
      <c r="H33" s="324">
        <v>50</v>
      </c>
      <c r="I33" s="324"/>
      <c r="J33" s="322" t="str">
        <f>IFERROR(IF(VLOOKUP(D33,期货合约要素!$D:$Q,12,0)=0,"",VLOOKUP(D33,期货合约要素!$D:$Q,12,0)),IF(VLOOKUP(D33,期权合约要素!$D:$V,17,0)=0,"",VLOOKUP(D33,期权合约要素!$D:$V,17,0)))</f>
        <v>√</v>
      </c>
      <c r="K33" s="323" t="str">
        <f>IFERROR(IF(VLOOKUP(D33,期货合约要素!$D:$Q,14,0)=0,"",VLOOKUP(D33,期货合约要素!$D:$Q,14,0)),IF(VLOOKUP(D33,期权合约要素!$D:$V,19,0)=0,"",VLOOKUP(D33,期权合约要素!$D:$V,19,0)))</f>
        <v/>
      </c>
      <c r="L33" s="336"/>
      <c r="M33" s="448"/>
      <c r="N33" s="12"/>
      <c r="O33" s="12"/>
      <c r="P33" s="12"/>
      <c r="Q33" s="479"/>
      <c r="R33" s="336"/>
      <c r="S33" s="336"/>
      <c r="T33" s="336"/>
      <c r="U33" s="336"/>
      <c r="V33" s="336"/>
      <c r="W33" s="336"/>
      <c r="X33" s="336"/>
      <c r="Y33" s="336"/>
      <c r="Z33" s="336"/>
      <c r="AA33" s="336"/>
      <c r="AB33" s="336"/>
      <c r="AC33" s="336"/>
    </row>
    <row r="34" ht="30" customHeight="1" spans="1:29">
      <c r="A34" s="336"/>
      <c r="B34" s="428"/>
      <c r="C34" s="426" t="s">
        <v>70</v>
      </c>
      <c r="D34" s="12" t="s">
        <v>71</v>
      </c>
      <c r="E34" s="12" t="s">
        <v>839</v>
      </c>
      <c r="F34" s="429"/>
      <c r="G34" s="324">
        <v>500</v>
      </c>
      <c r="H34" s="324">
        <v>100</v>
      </c>
      <c r="I34" s="324"/>
      <c r="J34" s="12" t="str">
        <f>IFERROR(IF(VLOOKUP(D34,期货合约要素!$D:$Q,12,0)=0,"",VLOOKUP(D34,期货合约要素!$D:$Q,12,0)),IF(VLOOKUP(D34,期权合约要素!$D:$V,17,0)=0,"",VLOOKUP(D34,期权合约要素!$D:$V,17,0)))</f>
        <v/>
      </c>
      <c r="K34" s="443" t="str">
        <f>IFERROR(IF(VLOOKUP(D34,期货合约要素!$D:$Q,14,0)=0,"",VLOOKUP(D34,期货合约要素!$D:$Q,14,0)),IF(VLOOKUP(D34,期权合约要素!$D:$V,19,0)=0,"",VLOOKUP(D34,期权合约要素!$D:$V,19,0)))</f>
        <v/>
      </c>
      <c r="L34" s="336"/>
      <c r="M34" s="448" t="s">
        <v>840</v>
      </c>
      <c r="N34" s="12">
        <v>5000</v>
      </c>
      <c r="O34" s="12">
        <v>10000</v>
      </c>
      <c r="P34" s="12">
        <v>10000</v>
      </c>
      <c r="Q34" s="479"/>
      <c r="R34" s="336"/>
      <c r="S34" s="336"/>
      <c r="T34" s="336"/>
      <c r="U34" s="336"/>
      <c r="V34" s="336"/>
      <c r="W34" s="336"/>
      <c r="X34" s="336"/>
      <c r="Y34" s="336"/>
      <c r="Z34" s="336"/>
      <c r="AA34" s="336"/>
      <c r="AB34" s="336"/>
      <c r="AC34" s="336"/>
    </row>
    <row r="35" ht="32.25" customHeight="1" spans="1:29">
      <c r="A35" s="336"/>
      <c r="B35" s="428"/>
      <c r="C35" s="429" t="s">
        <v>70</v>
      </c>
      <c r="D35" s="429" t="s">
        <v>71</v>
      </c>
      <c r="E35" s="12" t="s">
        <v>841</v>
      </c>
      <c r="F35" s="324"/>
      <c r="G35" s="429">
        <v>150</v>
      </c>
      <c r="H35" s="429">
        <v>50</v>
      </c>
      <c r="I35" s="429"/>
      <c r="J35" s="429" t="str">
        <f>IFERROR(IF(VLOOKUP(D35,期货合约要素!$D:$Q,12,0)=0,"",VLOOKUP(D35,期货合约要素!$D:$Q,12,0)),IF(VLOOKUP(D35,期权合约要素!$D:$V,17,0)=0,"",VLOOKUP(D35,期权合约要素!$D:$V,17,0)))</f>
        <v/>
      </c>
      <c r="K35" s="446" t="str">
        <f>IFERROR(IF(VLOOKUP(D35,期货合约要素!$D:$Q,14,0)=0,"",VLOOKUP(D35,期货合约要素!$D:$Q,14,0)),IF(VLOOKUP(D35,期权合约要素!$D:$V,19,0)=0,"",VLOOKUP(D35,期权合约要素!$D:$V,19,0)))</f>
        <v/>
      </c>
      <c r="L35" s="336"/>
      <c r="M35" s="448"/>
      <c r="N35" s="12"/>
      <c r="O35" s="12"/>
      <c r="P35" s="12"/>
      <c r="Q35" s="479"/>
      <c r="R35" s="336"/>
      <c r="S35" s="336"/>
      <c r="T35" s="336"/>
      <c r="U35" s="336"/>
      <c r="V35" s="336"/>
      <c r="W35" s="336"/>
      <c r="X35" s="336"/>
      <c r="Y35" s="336"/>
      <c r="Z35" s="336"/>
      <c r="AA35" s="336"/>
      <c r="AB35" s="336"/>
      <c r="AC35" s="336"/>
    </row>
    <row r="36" ht="36" customHeight="1" spans="1:29">
      <c r="A36" s="336"/>
      <c r="B36" s="428"/>
      <c r="C36" s="423" t="s">
        <v>36</v>
      </c>
      <c r="D36" s="423" t="s">
        <v>37</v>
      </c>
      <c r="E36" s="431" t="s">
        <v>842</v>
      </c>
      <c r="F36" s="431"/>
      <c r="G36" s="431" t="s">
        <v>843</v>
      </c>
      <c r="H36" s="431" t="s">
        <v>793</v>
      </c>
      <c r="I36" s="431" t="s">
        <v>794</v>
      </c>
      <c r="J36" s="431" t="s">
        <v>40</v>
      </c>
      <c r="K36" s="456" t="s">
        <v>41</v>
      </c>
      <c r="L36" s="336"/>
      <c r="M36" s="448"/>
      <c r="N36" s="12"/>
      <c r="O36" s="12"/>
      <c r="P36" s="12"/>
      <c r="Q36" s="479"/>
      <c r="R36" s="336"/>
      <c r="S36" s="336"/>
      <c r="T36" s="336"/>
      <c r="U36" s="336"/>
      <c r="V36" s="336"/>
      <c r="W36" s="336"/>
      <c r="X36" s="336"/>
      <c r="Y36" s="336"/>
      <c r="Z36" s="336"/>
      <c r="AA36" s="336"/>
      <c r="AB36" s="336"/>
      <c r="AC36" s="336"/>
    </row>
    <row r="37" ht="20.1" customHeight="1" spans="1:29">
      <c r="A37" s="336"/>
      <c r="B37" s="428"/>
      <c r="C37" s="426" t="s">
        <v>348</v>
      </c>
      <c r="D37" s="12" t="s">
        <v>61</v>
      </c>
      <c r="E37" s="12">
        <v>7500</v>
      </c>
      <c r="F37" s="427"/>
      <c r="G37" s="324">
        <v>1500</v>
      </c>
      <c r="H37" s="324">
        <v>500</v>
      </c>
      <c r="I37" s="322"/>
      <c r="J37" s="322" t="str">
        <f>IFERROR(IF(VLOOKUP(D37,期货合约要素!$D:$Q,12,0)=0,"",VLOOKUP(D37,期货合约要素!$D:$Q,12,0)),IF(VLOOKUP(D37,期权合约要素!$D:$V,17,0)=0,"",VLOOKUP(D37,期权合约要素!$D:$V,17,0)))</f>
        <v>√</v>
      </c>
      <c r="K37" s="323" t="str">
        <f>IFERROR(IF(VLOOKUP(D37,期货合约要素!$D:$Q,14,0)=0,"",VLOOKUP(D37,期货合约要素!$D:$Q,14,0)),IF(VLOOKUP(D37,期权合约要素!$D:$V,19,0)=0,"",VLOOKUP(D37,期权合约要素!$D:$V,19,0)))</f>
        <v/>
      </c>
      <c r="L37" s="336"/>
      <c r="M37" s="449"/>
      <c r="N37" s="450"/>
      <c r="O37" s="450"/>
      <c r="P37" s="450"/>
      <c r="Q37" s="480"/>
      <c r="R37" s="336"/>
      <c r="S37" s="336"/>
      <c r="T37" s="336"/>
      <c r="U37" s="336"/>
      <c r="V37" s="336"/>
      <c r="W37" s="336"/>
      <c r="X37" s="336"/>
      <c r="Y37" s="336"/>
      <c r="Z37" s="336"/>
      <c r="AA37" s="336"/>
      <c r="AB37" s="336"/>
      <c r="AC37" s="336"/>
    </row>
    <row r="38" ht="39" customHeight="1" spans="1:29">
      <c r="A38" s="336"/>
      <c r="B38" s="428"/>
      <c r="C38" s="423" t="s">
        <v>36</v>
      </c>
      <c r="D38" s="423" t="s">
        <v>37</v>
      </c>
      <c r="E38" s="431" t="s">
        <v>844</v>
      </c>
      <c r="F38" s="431"/>
      <c r="G38" s="431" t="s">
        <v>845</v>
      </c>
      <c r="H38" s="431"/>
      <c r="I38" s="431" t="s">
        <v>794</v>
      </c>
      <c r="J38" s="431" t="s">
        <v>40</v>
      </c>
      <c r="K38" s="456" t="s">
        <v>41</v>
      </c>
      <c r="L38" s="336"/>
      <c r="M38" s="457"/>
      <c r="N38" s="457"/>
      <c r="O38" s="457"/>
      <c r="P38" s="457"/>
      <c r="Q38" s="336"/>
      <c r="R38" s="336"/>
      <c r="S38" s="336"/>
      <c r="T38" s="336"/>
      <c r="U38" s="336"/>
      <c r="V38" s="336"/>
      <c r="W38" s="336"/>
      <c r="X38" s="336"/>
      <c r="Y38" s="336"/>
      <c r="Z38" s="336"/>
      <c r="AA38" s="336"/>
      <c r="AB38" s="336"/>
      <c r="AC38" s="336"/>
    </row>
    <row r="39" ht="36" customHeight="1" spans="1:29">
      <c r="A39" s="336"/>
      <c r="B39" s="428"/>
      <c r="C39" s="426" t="s">
        <v>452</v>
      </c>
      <c r="D39" s="12" t="s">
        <v>453</v>
      </c>
      <c r="E39" s="12">
        <v>8000</v>
      </c>
      <c r="F39" s="427"/>
      <c r="G39" s="12">
        <v>3000</v>
      </c>
      <c r="H39" s="427"/>
      <c r="I39" s="458" t="s">
        <v>846</v>
      </c>
      <c r="J39" s="322" t="str">
        <f>IFERROR(IF(VLOOKUP(D39,期货合约要素!$D:$Q,12,0)=0,"",VLOOKUP(D39,期货合约要素!$D:$Q,12,0)),IF(VLOOKUP(D39,期权合约要素!$D:$V,17,0)=0,"",VLOOKUP(D39,期权合约要素!$D:$V,17,0)))</f>
        <v>√</v>
      </c>
      <c r="K39" s="323" t="str">
        <f>IFERROR(IF(VLOOKUP(D39,期货合约要素!$D:$Q,14,0)=0,"",VLOOKUP(D39,期货合约要素!$D:$Q,14,0)),IF(VLOOKUP(D39,期权合约要素!$D:$V,19,0)=0,"",VLOOKUP(D39,期权合约要素!$D:$V,19,0)))</f>
        <v/>
      </c>
      <c r="L39" s="336"/>
      <c r="M39" s="459" t="s">
        <v>847</v>
      </c>
      <c r="N39" s="460"/>
      <c r="O39" s="460"/>
      <c r="P39" s="460"/>
      <c r="Q39" s="481"/>
      <c r="R39" s="336"/>
      <c r="S39" s="336"/>
      <c r="T39" s="336"/>
      <c r="U39" s="336"/>
      <c r="V39" s="336"/>
      <c r="W39" s="336"/>
      <c r="X39" s="336"/>
      <c r="Y39" s="336"/>
      <c r="Z39" s="336"/>
      <c r="AA39" s="336"/>
      <c r="AB39" s="336"/>
      <c r="AC39" s="336"/>
    </row>
    <row r="40" ht="30" customHeight="1" spans="1:29">
      <c r="A40" s="336"/>
      <c r="B40" s="428"/>
      <c r="C40" s="426" t="s">
        <v>848</v>
      </c>
      <c r="D40" s="12" t="s">
        <v>458</v>
      </c>
      <c r="E40" s="12">
        <v>1000</v>
      </c>
      <c r="F40" s="429"/>
      <c r="G40" s="12">
        <v>300</v>
      </c>
      <c r="H40" s="429"/>
      <c r="I40" s="461"/>
      <c r="J40" s="322" t="str">
        <f>IFERROR(IF(VLOOKUP(D40,期货合约要素!$D:$Q,12,0)=0,"",VLOOKUP(D40,期货合约要素!$D:$Q,12,0)),IF(VLOOKUP(D40,期权合约要素!$D:$V,17,0)=0,"",VLOOKUP(D40,期权合约要素!$D:$V,17,0)))</f>
        <v>√</v>
      </c>
      <c r="K40" s="323" t="str">
        <f>IFERROR(IF(VLOOKUP(D40,期货合约要素!$D:$Q,14,0)=0,"",VLOOKUP(D40,期货合约要素!$D:$Q,14,0)),IF(VLOOKUP(D40,期权合约要素!$D:$V,19,0)=0,"",VLOOKUP(D40,期权合约要素!$D:$V,19,0)))</f>
        <v/>
      </c>
      <c r="L40" s="336"/>
      <c r="M40" s="462" t="s">
        <v>795</v>
      </c>
      <c r="N40" s="463" t="s">
        <v>849</v>
      </c>
      <c r="O40" s="463"/>
      <c r="P40" s="463" t="s">
        <v>794</v>
      </c>
      <c r="Q40" s="482"/>
      <c r="R40" s="336"/>
      <c r="S40" s="336"/>
      <c r="T40" s="336"/>
      <c r="U40" s="336"/>
      <c r="V40" s="336"/>
      <c r="W40" s="336"/>
      <c r="X40" s="336"/>
      <c r="Y40" s="336"/>
      <c r="Z40" s="336"/>
      <c r="AA40" s="336"/>
      <c r="AB40" s="336"/>
      <c r="AC40" s="336"/>
    </row>
    <row r="41" ht="30" customHeight="1" spans="1:29">
      <c r="A41" s="336"/>
      <c r="B41" s="428"/>
      <c r="C41" s="426" t="s">
        <v>461</v>
      </c>
      <c r="D41" s="12" t="s">
        <v>462</v>
      </c>
      <c r="E41" s="12">
        <v>9000</v>
      </c>
      <c r="F41" s="427"/>
      <c r="G41" s="12">
        <v>2700</v>
      </c>
      <c r="H41" s="427"/>
      <c r="I41" s="461"/>
      <c r="J41" s="322" t="str">
        <f>IFERROR(IF(VLOOKUP(D41,期货合约要素!$D:$Q,12,0)=0,"",VLOOKUP(D41,期货合约要素!$D:$Q,12,0)),IF(VLOOKUP(D41,期权合约要素!$D:$V,17,0)=0,"",VLOOKUP(D41,期权合约要素!$D:$V,17,0)))</f>
        <v>√</v>
      </c>
      <c r="K41" s="323" t="str">
        <f>IFERROR(IF(VLOOKUP(D41,期货合约要素!$D:$Q,14,0)=0,"",VLOOKUP(D41,期货合约要素!$D:$Q,14,0)),IF(VLOOKUP(D41,期权合约要素!$D:$V,19,0)=0,"",VLOOKUP(D41,期权合约要素!$D:$V,19,0)))</f>
        <v/>
      </c>
      <c r="L41" s="336"/>
      <c r="M41" s="422"/>
      <c r="N41" s="423"/>
      <c r="O41" s="423"/>
      <c r="P41" s="423"/>
      <c r="Q41" s="440"/>
      <c r="R41" s="336"/>
      <c r="S41" s="336"/>
      <c r="T41" s="336"/>
      <c r="U41" s="336"/>
      <c r="V41" s="336"/>
      <c r="W41" s="336"/>
      <c r="X41" s="336"/>
      <c r="Y41" s="336"/>
      <c r="Z41" s="336"/>
      <c r="AA41" s="336"/>
      <c r="AB41" s="336"/>
      <c r="AC41" s="336"/>
    </row>
    <row r="42" ht="30" customHeight="1" spans="1:29">
      <c r="A42" s="336"/>
      <c r="B42" s="428"/>
      <c r="C42" s="426" t="s">
        <v>464</v>
      </c>
      <c r="D42" s="12" t="s">
        <v>465</v>
      </c>
      <c r="E42" s="12">
        <v>10000</v>
      </c>
      <c r="F42" s="427"/>
      <c r="G42" s="12">
        <v>3000</v>
      </c>
      <c r="H42" s="427"/>
      <c r="I42" s="461"/>
      <c r="J42" s="322" t="str">
        <f>IFERROR(IF(VLOOKUP(D42,期货合约要素!$D:$Q,12,0)=0,"",VLOOKUP(D42,期货合约要素!$D:$Q,12,0)),IF(VLOOKUP(D42,期权合约要素!$D:$V,17,0)=0,"",VLOOKUP(D42,期权合约要素!$D:$V,17,0)))</f>
        <v>√</v>
      </c>
      <c r="K42" s="323" t="str">
        <f>IFERROR(IF(VLOOKUP(D42,期货合约要素!$D:$Q,14,0)=0,"",VLOOKUP(D42,期货合约要素!$D:$Q,14,0)),IF(VLOOKUP(D42,期权合约要素!$D:$V,19,0)=0,"",VLOOKUP(D42,期权合约要素!$D:$V,19,0)))</f>
        <v/>
      </c>
      <c r="L42" s="336"/>
      <c r="M42" s="464" t="s">
        <v>801</v>
      </c>
      <c r="N42" s="465" t="s">
        <v>850</v>
      </c>
      <c r="O42" s="465"/>
      <c r="P42" s="466" t="s">
        <v>851</v>
      </c>
      <c r="Q42" s="483"/>
      <c r="R42" s="336"/>
      <c r="S42" s="336"/>
      <c r="T42" s="336"/>
      <c r="U42" s="336"/>
      <c r="V42" s="336"/>
      <c r="W42" s="336"/>
      <c r="X42" s="336"/>
      <c r="Y42" s="336"/>
      <c r="Z42" s="336"/>
      <c r="AA42" s="336"/>
      <c r="AB42" s="336"/>
      <c r="AC42" s="336"/>
    </row>
    <row r="43" ht="31.5" customHeight="1" spans="1:29">
      <c r="A43" s="336"/>
      <c r="B43" s="428"/>
      <c r="C43" s="426" t="s">
        <v>468</v>
      </c>
      <c r="D43" s="12" t="s">
        <v>469</v>
      </c>
      <c r="E43" s="12">
        <v>6000</v>
      </c>
      <c r="F43" s="427"/>
      <c r="G43" s="12">
        <v>2400</v>
      </c>
      <c r="H43" s="427"/>
      <c r="I43" s="461"/>
      <c r="J43" s="322" t="str">
        <f>IFERROR(IF(VLOOKUP(D43,期货合约要素!$D:$Q,12,0)=0,"",VLOOKUP(D43,期货合约要素!$D:$Q,12,0)),IF(VLOOKUP(D43,期权合约要素!$D:$V,17,0)=0,"",VLOOKUP(D43,期权合约要素!$D:$V,17,0)))</f>
        <v>√</v>
      </c>
      <c r="K43" s="323" t="str">
        <f>IFERROR(IF(VLOOKUP(D43,期货合约要素!$D:$Q,14,0)=0,"",VLOOKUP(D43,期货合约要素!$D:$Q,14,0)),IF(VLOOKUP(D43,期权合约要素!$D:$V,19,0)=0,"",VLOOKUP(D43,期权合约要素!$D:$V,19,0)))</f>
        <v/>
      </c>
      <c r="L43" s="336"/>
      <c r="M43" s="464"/>
      <c r="N43" s="465"/>
      <c r="O43" s="465"/>
      <c r="P43" s="466"/>
      <c r="Q43" s="483"/>
      <c r="R43" s="336"/>
      <c r="S43" s="336"/>
      <c r="T43" s="336"/>
      <c r="U43" s="336"/>
      <c r="V43" s="336"/>
      <c r="W43" s="336"/>
      <c r="X43" s="336"/>
      <c r="Y43" s="336"/>
      <c r="Z43" s="336"/>
      <c r="AA43" s="336"/>
      <c r="AB43" s="336"/>
      <c r="AC43" s="336"/>
    </row>
    <row r="44" ht="16.5" spans="1:29">
      <c r="A44" s="336"/>
      <c r="B44" s="428"/>
      <c r="C44" s="426" t="s">
        <v>472</v>
      </c>
      <c r="D44" s="12" t="s">
        <v>473</v>
      </c>
      <c r="E44" s="12">
        <v>90000</v>
      </c>
      <c r="F44" s="427"/>
      <c r="G44" s="12">
        <v>4500</v>
      </c>
      <c r="H44" s="427"/>
      <c r="I44" s="461"/>
      <c r="J44" s="322" t="str">
        <f>IFERROR(IF(VLOOKUP(D44,期货合约要素!$D:$Q,12,0)=0,"",VLOOKUP(D44,期货合约要素!$D:$Q,12,0)),IF(VLOOKUP(D44,期权合约要素!$D:$V,17,0)=0,"",VLOOKUP(D44,期权合约要素!$D:$V,17,0)))</f>
        <v>√</v>
      </c>
      <c r="K44" s="323" t="str">
        <f>IFERROR(IF(VLOOKUP(D44,期货合约要素!$D:$Q,14,0)=0,"",VLOOKUP(D44,期货合约要素!$D:$Q,14,0)),IF(VLOOKUP(D44,期权合约要素!$D:$V,19,0)=0,"",VLOOKUP(D44,期权合约要素!$D:$V,19,0)))</f>
        <v/>
      </c>
      <c r="L44" s="336"/>
      <c r="M44" s="464"/>
      <c r="N44" s="465"/>
      <c r="O44" s="465"/>
      <c r="P44" s="466"/>
      <c r="Q44" s="483"/>
      <c r="R44" s="336"/>
      <c r="S44" s="336"/>
      <c r="T44" s="336"/>
      <c r="U44" s="336"/>
      <c r="V44" s="336"/>
      <c r="W44" s="336"/>
      <c r="X44" s="336"/>
      <c r="Y44" s="336"/>
      <c r="Z44" s="336"/>
      <c r="AA44" s="336"/>
      <c r="AB44" s="336"/>
      <c r="AC44" s="336"/>
    </row>
    <row r="45" ht="30" customHeight="1" spans="1:29">
      <c r="A45" s="336"/>
      <c r="B45" s="428"/>
      <c r="C45" s="426" t="s">
        <v>477</v>
      </c>
      <c r="D45" s="12" t="s">
        <v>478</v>
      </c>
      <c r="E45" s="12">
        <v>9000</v>
      </c>
      <c r="F45" s="427"/>
      <c r="G45" s="12">
        <v>2700</v>
      </c>
      <c r="H45" s="427"/>
      <c r="I45" s="461"/>
      <c r="J45" s="322" t="str">
        <f>IFERROR(IF(VLOOKUP(D45,期货合约要素!$D:$Q,12,0)=0,"",VLOOKUP(D45,期货合约要素!$D:$Q,12,0)),IF(VLOOKUP(D45,期权合约要素!$D:$V,17,0)=0,"",VLOOKUP(D45,期权合约要素!$D:$V,17,0)))</f>
        <v>√</v>
      </c>
      <c r="K45" s="323" t="str">
        <f>IFERROR(IF(VLOOKUP(D45,期货合约要素!$D:$Q,14,0)=0,"",VLOOKUP(D45,期货合约要素!$D:$Q,14,0)),IF(VLOOKUP(D45,期权合约要素!$D:$V,19,0)=0,"",VLOOKUP(D45,期权合约要素!$D:$V,19,0)))</f>
        <v/>
      </c>
      <c r="L45" s="336"/>
      <c r="M45" s="464" t="s">
        <v>852</v>
      </c>
      <c r="N45" s="465" t="s">
        <v>853</v>
      </c>
      <c r="O45" s="465"/>
      <c r="P45" s="466"/>
      <c r="Q45" s="483"/>
      <c r="R45" s="336"/>
      <c r="S45" s="336"/>
      <c r="T45" s="336"/>
      <c r="U45" s="336"/>
      <c r="V45" s="336"/>
      <c r="W45" s="336"/>
      <c r="X45" s="336"/>
      <c r="Y45" s="336"/>
      <c r="Z45" s="336"/>
      <c r="AA45" s="336"/>
      <c r="AB45" s="336"/>
      <c r="AC45" s="336"/>
    </row>
    <row r="46" ht="30" customHeight="1" spans="1:29">
      <c r="A46" s="336"/>
      <c r="B46" s="428"/>
      <c r="C46" s="426" t="s">
        <v>854</v>
      </c>
      <c r="D46" s="12" t="s">
        <v>483</v>
      </c>
      <c r="E46" s="12">
        <v>1000</v>
      </c>
      <c r="F46" s="427"/>
      <c r="G46" s="12">
        <v>300</v>
      </c>
      <c r="H46" s="427"/>
      <c r="I46" s="461"/>
      <c r="J46" s="322" t="str">
        <f>IFERROR(IF(VLOOKUP(D46,期货合约要素!$D:$Q,12,0)=0,"",VLOOKUP(D46,期货合约要素!$D:$Q,12,0)),IF(VLOOKUP(D46,期权合约要素!$D:$V,17,0)=0,"",VLOOKUP(D46,期权合约要素!$D:$V,17,0)))</f>
        <v/>
      </c>
      <c r="K46" s="323" t="str">
        <f>IFERROR(IF(VLOOKUP(D46,期货合约要素!$D:$Q,14,0)=0,"",VLOOKUP(D46,期货合约要素!$D:$Q,14,0)),IF(VLOOKUP(D46,期权合约要素!$D:$V,19,0)=0,"",VLOOKUP(D46,期权合约要素!$D:$V,19,0)))</f>
        <v/>
      </c>
      <c r="L46" s="336"/>
      <c r="M46" s="464"/>
      <c r="N46" s="465"/>
      <c r="O46" s="465"/>
      <c r="P46" s="466"/>
      <c r="Q46" s="483"/>
      <c r="R46" s="336"/>
      <c r="S46" s="336"/>
      <c r="T46" s="336"/>
      <c r="U46" s="336"/>
      <c r="V46" s="336"/>
      <c r="W46" s="336"/>
      <c r="X46" s="336"/>
      <c r="Y46" s="336"/>
      <c r="Z46" s="336"/>
      <c r="AA46" s="336"/>
      <c r="AB46" s="336"/>
      <c r="AC46" s="336"/>
    </row>
    <row r="47" ht="30" customHeight="1" spans="1:29">
      <c r="A47" s="336"/>
      <c r="B47" s="428"/>
      <c r="C47" s="426" t="s">
        <v>485</v>
      </c>
      <c r="D47" s="12" t="s">
        <v>486</v>
      </c>
      <c r="E47" s="12">
        <v>5000</v>
      </c>
      <c r="F47" s="429"/>
      <c r="G47" s="12">
        <v>1800</v>
      </c>
      <c r="H47" s="429"/>
      <c r="I47" s="461"/>
      <c r="J47" s="322" t="str">
        <f>IFERROR(IF(VLOOKUP(D47,期货合约要素!$D:$Q,12,0)=0,"",VLOOKUP(D47,期货合约要素!$D:$Q,12,0)),IF(VLOOKUP(D47,期权合约要素!$D:$V,17,0)=0,"",VLOOKUP(D47,期权合约要素!$D:$V,17,0)))</f>
        <v>√</v>
      </c>
      <c r="K47" s="323" t="str">
        <f>IFERROR(IF(VLOOKUP(D47,期货合约要素!$D:$Q,14,0)=0,"",VLOOKUP(D47,期货合约要素!$D:$Q,14,0)),IF(VLOOKUP(D47,期权合约要素!$D:$V,19,0)=0,"",VLOOKUP(D47,期权合约要素!$D:$V,19,0)))</f>
        <v/>
      </c>
      <c r="L47" s="336"/>
      <c r="M47" s="464" t="s">
        <v>855</v>
      </c>
      <c r="N47" s="465" t="s">
        <v>856</v>
      </c>
      <c r="O47" s="465"/>
      <c r="P47" s="466"/>
      <c r="Q47" s="483"/>
      <c r="R47" s="336"/>
      <c r="S47" s="336"/>
      <c r="T47" s="336"/>
      <c r="U47" s="336"/>
      <c r="V47" s="336"/>
      <c r="W47" s="336"/>
      <c r="X47" s="336"/>
      <c r="Y47" s="336"/>
      <c r="Z47" s="336"/>
      <c r="AA47" s="336"/>
      <c r="AB47" s="336"/>
      <c r="AC47" s="336"/>
    </row>
    <row r="48" ht="30" customHeight="1" spans="1:29">
      <c r="A48" s="336"/>
      <c r="B48" s="428"/>
      <c r="C48" s="426" t="s">
        <v>489</v>
      </c>
      <c r="D48" s="12" t="s">
        <v>490</v>
      </c>
      <c r="E48" s="12">
        <v>6000</v>
      </c>
      <c r="F48" s="429"/>
      <c r="G48" s="12">
        <v>1800</v>
      </c>
      <c r="H48" s="429"/>
      <c r="I48" s="461"/>
      <c r="J48" s="322" t="str">
        <f>IFERROR(IF(VLOOKUP(D48,期货合约要素!$D:$Q,12,0)=0,"",VLOOKUP(D48,期货合约要素!$D:$Q,12,0)),IF(VLOOKUP(D48,期权合约要素!$D:$V,17,0)=0,"",VLOOKUP(D48,期权合约要素!$D:$V,17,0)))</f>
        <v>√</v>
      </c>
      <c r="K48" s="323" t="str">
        <f>IFERROR(IF(VLOOKUP(D48,期货合约要素!$D:$Q,14,0)=0,"",VLOOKUP(D48,期货合约要素!$D:$Q,14,0)),IF(VLOOKUP(D48,期权合约要素!$D:$V,19,0)=0,"",VLOOKUP(D48,期权合约要素!$D:$V,19,0)))</f>
        <v>√</v>
      </c>
      <c r="L48" s="336"/>
      <c r="M48" s="467"/>
      <c r="N48" s="468"/>
      <c r="O48" s="468"/>
      <c r="P48" s="469"/>
      <c r="Q48" s="484"/>
      <c r="R48" s="336"/>
      <c r="S48" s="336"/>
      <c r="T48" s="336"/>
      <c r="U48" s="336"/>
      <c r="V48" s="336"/>
      <c r="W48" s="336"/>
      <c r="X48" s="336"/>
      <c r="Y48" s="336"/>
      <c r="Z48" s="336"/>
      <c r="AA48" s="336"/>
      <c r="AB48" s="336"/>
      <c r="AC48" s="336"/>
    </row>
    <row r="49" ht="30" customHeight="1" spans="1:29">
      <c r="A49" s="336"/>
      <c r="B49" s="428"/>
      <c r="C49" s="426" t="s">
        <v>492</v>
      </c>
      <c r="D49" s="12" t="s">
        <v>493</v>
      </c>
      <c r="E49" s="12">
        <v>1500</v>
      </c>
      <c r="F49" s="429"/>
      <c r="G49" s="12">
        <v>600</v>
      </c>
      <c r="H49" s="429"/>
      <c r="I49" s="461"/>
      <c r="J49" s="322" t="str">
        <f>IFERROR(IF(VLOOKUP(D49,期货合约要素!$D:$Q,12,0)=0,"",VLOOKUP(D49,期货合约要素!$D:$Q,12,0)),IF(VLOOKUP(D49,期权合约要素!$D:$V,17,0)=0,"",VLOOKUP(D49,期权合约要素!$D:$V,17,0)))</f>
        <v>√</v>
      </c>
      <c r="K49" s="323" t="str">
        <f>IFERROR(IF(VLOOKUP(D49,期货合约要素!$D:$Q,14,0)=0,"",VLOOKUP(D49,期货合约要素!$D:$Q,14,0)),IF(VLOOKUP(D49,期权合约要素!$D:$V,19,0)=0,"",VLOOKUP(D49,期权合约要素!$D:$V,19,0)))</f>
        <v/>
      </c>
      <c r="L49" s="336"/>
      <c r="M49" s="470"/>
      <c r="N49" s="470"/>
      <c r="O49" s="470"/>
      <c r="P49" s="471"/>
      <c r="Q49" s="471"/>
      <c r="R49" s="336"/>
      <c r="S49" s="336"/>
      <c r="T49" s="336"/>
      <c r="U49" s="336"/>
      <c r="V49" s="336"/>
      <c r="W49" s="336"/>
      <c r="X49" s="336"/>
      <c r="Y49" s="336"/>
      <c r="Z49" s="336"/>
      <c r="AA49" s="336"/>
      <c r="AB49" s="336"/>
      <c r="AC49" s="336"/>
    </row>
    <row r="50" ht="30" customHeight="1" spans="1:29">
      <c r="A50" s="336"/>
      <c r="B50" s="428"/>
      <c r="C50" s="426" t="s">
        <v>495</v>
      </c>
      <c r="D50" s="12" t="s">
        <v>496</v>
      </c>
      <c r="E50" s="12">
        <v>8000</v>
      </c>
      <c r="F50" s="429"/>
      <c r="G50" s="12">
        <v>900</v>
      </c>
      <c r="H50" s="429"/>
      <c r="I50" s="461"/>
      <c r="J50" s="322" t="str">
        <f>IFERROR(IF(VLOOKUP(D50,期货合约要素!$D:$Q,12,0)=0,"",VLOOKUP(D50,期货合约要素!$D:$Q,12,0)),IF(VLOOKUP(D50,期权合约要素!$D:$V,17,0)=0,"",VLOOKUP(D50,期权合约要素!$D:$V,17,0)))</f>
        <v/>
      </c>
      <c r="K50" s="323" t="str">
        <f>IFERROR(IF(VLOOKUP(D50,期货合约要素!$D:$Q,14,0)=0,"",VLOOKUP(D50,期货合约要素!$D:$Q,14,0)),IF(VLOOKUP(D50,期权合约要素!$D:$V,19,0)=0,"",VLOOKUP(D50,期权合约要素!$D:$V,19,0)))</f>
        <v/>
      </c>
      <c r="L50" s="336"/>
      <c r="M50" s="470"/>
      <c r="N50" s="470"/>
      <c r="O50" s="470"/>
      <c r="P50" s="471"/>
      <c r="Q50" s="471"/>
      <c r="R50" s="336"/>
      <c r="S50" s="336"/>
      <c r="T50" s="336"/>
      <c r="U50" s="336"/>
      <c r="V50" s="336"/>
      <c r="W50" s="336"/>
      <c r="X50" s="336"/>
      <c r="Y50" s="336"/>
      <c r="Z50" s="336"/>
      <c r="AA50" s="336"/>
      <c r="AB50" s="336"/>
      <c r="AC50" s="336"/>
    </row>
    <row r="51" ht="30" customHeight="1" spans="1:29">
      <c r="A51" s="336"/>
      <c r="B51" s="428"/>
      <c r="C51" s="426" t="s">
        <v>498</v>
      </c>
      <c r="D51" s="12" t="s">
        <v>499</v>
      </c>
      <c r="E51" s="12">
        <v>900</v>
      </c>
      <c r="F51" s="429"/>
      <c r="G51" s="12">
        <v>300</v>
      </c>
      <c r="H51" s="429"/>
      <c r="I51" s="461"/>
      <c r="J51" s="322" t="str">
        <f>IFERROR(IF(VLOOKUP(D51,期货合约要素!$D:$Q,12,0)=0,"",VLOOKUP(D51,期货合约要素!$D:$Q,12,0)),IF(VLOOKUP(D51,期权合约要素!$D:$V,17,0)=0,"",VLOOKUP(D51,期权合约要素!$D:$V,17,0)))</f>
        <v/>
      </c>
      <c r="K51" s="323" t="str">
        <f>IFERROR(IF(VLOOKUP(D51,期货合约要素!$D:$Q,14,0)=0,"",VLOOKUP(D51,期货合约要素!$D:$Q,14,0)),IF(VLOOKUP(D51,期权合约要素!$D:$V,19,0)=0,"",VLOOKUP(D51,期权合约要素!$D:$V,19,0)))</f>
        <v/>
      </c>
      <c r="L51" s="336"/>
      <c r="M51" s="470"/>
      <c r="N51" s="470"/>
      <c r="O51" s="470"/>
      <c r="P51" s="471"/>
      <c r="Q51" s="471"/>
      <c r="R51" s="336"/>
      <c r="S51" s="336"/>
      <c r="T51" s="336"/>
      <c r="U51" s="336"/>
      <c r="V51" s="336"/>
      <c r="W51" s="336"/>
      <c r="X51" s="336"/>
      <c r="Y51" s="336"/>
      <c r="Z51" s="336"/>
      <c r="AA51" s="336"/>
      <c r="AB51" s="336"/>
      <c r="AC51" s="336"/>
    </row>
    <row r="52" ht="30" customHeight="1" spans="1:29">
      <c r="A52" s="336"/>
      <c r="B52" s="428"/>
      <c r="C52" s="426" t="s">
        <v>501</v>
      </c>
      <c r="D52" s="12" t="s">
        <v>502</v>
      </c>
      <c r="E52" s="12">
        <v>8000</v>
      </c>
      <c r="F52" s="429"/>
      <c r="G52" s="12">
        <v>1500</v>
      </c>
      <c r="H52" s="429"/>
      <c r="I52" s="461"/>
      <c r="J52" s="322" t="str">
        <f>IFERROR(IF(VLOOKUP(D52,期货合约要素!$D:$Q,12,0)=0,"",VLOOKUP(D52,期货合约要素!$D:$Q,12,0)),IF(VLOOKUP(D52,期权合约要素!$D:$V,17,0)=0,"",VLOOKUP(D52,期权合约要素!$D:$V,17,0)))</f>
        <v>√</v>
      </c>
      <c r="K52" s="323" t="str">
        <f>IFERROR(IF(VLOOKUP(D52,期货合约要素!$D:$Q,14,0)=0,"",VLOOKUP(D52,期货合约要素!$D:$Q,14,0)),IF(VLOOKUP(D52,期权合约要素!$D:$V,19,0)=0,"",VLOOKUP(D52,期权合约要素!$D:$V,19,0)))</f>
        <v/>
      </c>
      <c r="L52" s="336"/>
      <c r="M52" s="470"/>
      <c r="N52" s="470"/>
      <c r="O52" s="470"/>
      <c r="P52" s="471"/>
      <c r="Q52" s="471"/>
      <c r="R52" s="336"/>
      <c r="S52" s="336"/>
      <c r="T52" s="336"/>
      <c r="U52" s="336"/>
      <c r="V52" s="336"/>
      <c r="W52" s="336"/>
      <c r="X52" s="336"/>
      <c r="Y52" s="336"/>
      <c r="Z52" s="336"/>
      <c r="AA52" s="336"/>
      <c r="AB52" s="336"/>
      <c r="AC52" s="336"/>
    </row>
    <row r="53" ht="30" customHeight="1" spans="1:29">
      <c r="A53" s="336"/>
      <c r="B53" s="428"/>
      <c r="C53" s="426" t="s">
        <v>505</v>
      </c>
      <c r="D53" s="12" t="s">
        <v>506</v>
      </c>
      <c r="E53" s="12">
        <v>4500</v>
      </c>
      <c r="F53" s="429"/>
      <c r="G53" s="12">
        <v>900</v>
      </c>
      <c r="H53" s="429"/>
      <c r="I53" s="461"/>
      <c r="J53" s="322" t="str">
        <f>IFERROR(IF(VLOOKUP(D53,期货合约要素!$D:$Q,12,0)=0,"",VLOOKUP(D53,期货合约要素!$D:$Q,12,0)),IF(VLOOKUP(D53,期权合约要素!$D:$V,17,0)=0,"",VLOOKUP(D53,期权合约要素!$D:$V,17,0)))</f>
        <v>√</v>
      </c>
      <c r="K53" s="323" t="str">
        <f>IFERROR(IF(VLOOKUP(D53,期货合约要素!$D:$Q,14,0)=0,"",VLOOKUP(D53,期货合约要素!$D:$Q,14,0)),IF(VLOOKUP(D53,期权合约要素!$D:$V,19,0)=0,"",VLOOKUP(D53,期权合约要素!$D:$V,19,0)))</f>
        <v/>
      </c>
      <c r="L53" s="336"/>
      <c r="M53" s="470"/>
      <c r="N53" s="470"/>
      <c r="O53" s="470"/>
      <c r="P53" s="471"/>
      <c r="Q53" s="471"/>
      <c r="R53" s="336"/>
      <c r="S53" s="336"/>
      <c r="T53" s="336"/>
      <c r="U53" s="336"/>
      <c r="V53" s="336"/>
      <c r="W53" s="336"/>
      <c r="X53" s="336"/>
      <c r="Y53" s="336"/>
      <c r="Z53" s="336"/>
      <c r="AA53" s="336"/>
      <c r="AB53" s="336"/>
      <c r="AC53" s="336"/>
    </row>
    <row r="54" ht="33" customHeight="1" spans="1:29">
      <c r="A54" s="336"/>
      <c r="B54" s="428"/>
      <c r="C54" s="426" t="s">
        <v>509</v>
      </c>
      <c r="D54" s="12" t="s">
        <v>510</v>
      </c>
      <c r="E54" s="12">
        <v>2500</v>
      </c>
      <c r="F54" s="429"/>
      <c r="G54" s="12">
        <v>500</v>
      </c>
      <c r="H54" s="429"/>
      <c r="I54" s="461"/>
      <c r="J54" s="322" t="str">
        <f>IFERROR(IF(VLOOKUP(D54,期货合约要素!$D:$Q,12,0)=0,"",VLOOKUP(D54,期货合约要素!$D:$Q,12,0)),IF(VLOOKUP(D54,期权合约要素!$D:$V,17,0)=0,"",VLOOKUP(D54,期权合约要素!$D:$V,17,0)))</f>
        <v/>
      </c>
      <c r="K54" s="323" t="str">
        <f>IFERROR(IF(VLOOKUP(D54,期货合约要素!$D:$Q,14,0)=0,"",VLOOKUP(D54,期货合约要素!$D:$Q,14,0)),IF(VLOOKUP(D54,期权合约要素!$D:$V,19,0)=0,"",VLOOKUP(D54,期权合约要素!$D:$V,19,0)))</f>
        <v/>
      </c>
      <c r="L54" s="336"/>
      <c r="M54" s="470"/>
      <c r="N54" s="470"/>
      <c r="O54" s="470"/>
      <c r="P54" s="471"/>
      <c r="Q54" s="471"/>
      <c r="R54" s="336"/>
      <c r="S54" s="336"/>
      <c r="T54" s="336"/>
      <c r="U54" s="336"/>
      <c r="V54" s="336"/>
      <c r="W54" s="336"/>
      <c r="X54" s="336"/>
      <c r="Y54" s="336"/>
      <c r="Z54" s="336"/>
      <c r="AA54" s="336"/>
      <c r="AB54" s="336"/>
      <c r="AC54" s="336"/>
    </row>
    <row r="55" ht="19.5" spans="1:29">
      <c r="A55" s="336"/>
      <c r="B55" s="428"/>
      <c r="C55" s="423" t="s">
        <v>36</v>
      </c>
      <c r="D55" s="423" t="s">
        <v>37</v>
      </c>
      <c r="E55" s="431" t="s">
        <v>842</v>
      </c>
      <c r="F55" s="431"/>
      <c r="G55" s="431" t="s">
        <v>843</v>
      </c>
      <c r="H55" s="431" t="s">
        <v>793</v>
      </c>
      <c r="I55" s="461"/>
      <c r="J55" s="431" t="s">
        <v>40</v>
      </c>
      <c r="K55" s="456" t="s">
        <v>41</v>
      </c>
      <c r="L55" s="336"/>
      <c r="M55" s="470"/>
      <c r="N55" s="470"/>
      <c r="O55" s="470"/>
      <c r="P55" s="471"/>
      <c r="Q55" s="471"/>
      <c r="R55" s="336"/>
      <c r="S55" s="336"/>
      <c r="T55" s="336"/>
      <c r="U55" s="336"/>
      <c r="V55" s="336"/>
      <c r="W55" s="336"/>
      <c r="X55" s="336"/>
      <c r="Y55" s="336"/>
      <c r="Z55" s="336"/>
      <c r="AA55" s="336"/>
      <c r="AB55" s="336"/>
      <c r="AC55" s="336"/>
    </row>
    <row r="56" ht="30" customHeight="1" spans="1:29">
      <c r="A56" s="336"/>
      <c r="B56" s="432"/>
      <c r="C56" s="426" t="s">
        <v>513</v>
      </c>
      <c r="D56" s="12" t="s">
        <v>514</v>
      </c>
      <c r="E56" s="12">
        <v>7500</v>
      </c>
      <c r="F56" s="429"/>
      <c r="G56" s="12">
        <v>1500</v>
      </c>
      <c r="H56" s="12">
        <v>500</v>
      </c>
      <c r="I56" s="472"/>
      <c r="J56" s="322" t="str">
        <f>IFERROR(IF(VLOOKUP(D56,期货合约要素!$D:$Q,12,0)=0,"",VLOOKUP(D56,期货合约要素!$D:$Q,12,0)),IF(VLOOKUP(D56,期权合约要素!$D:$V,17,0)=0,"",VLOOKUP(D56,期权合约要素!$D:$V,17,0)))</f>
        <v>√</v>
      </c>
      <c r="K56" s="323" t="str">
        <f>IFERROR(IF(VLOOKUP(D56,期货合约要素!$D:$Q,14,0)=0,"",VLOOKUP(D56,期货合约要素!$D:$Q,14,0)),IF(VLOOKUP(D56,期权合约要素!$D:$V,19,0)=0,"",VLOOKUP(D56,期权合约要素!$D:$V,19,0)))</f>
        <v/>
      </c>
      <c r="L56" s="336"/>
      <c r="M56" s="470"/>
      <c r="N56" s="470"/>
      <c r="O56" s="470"/>
      <c r="P56" s="471"/>
      <c r="Q56" s="471"/>
      <c r="R56" s="336"/>
      <c r="S56" s="336"/>
      <c r="T56" s="336"/>
      <c r="U56" s="336"/>
      <c r="V56" s="336"/>
      <c r="W56" s="336"/>
      <c r="X56" s="336"/>
      <c r="Y56" s="336"/>
      <c r="Z56" s="336"/>
      <c r="AA56" s="336"/>
      <c r="AB56" s="336"/>
      <c r="AC56" s="336"/>
    </row>
    <row r="57" ht="30" customHeight="1" spans="1:29">
      <c r="A57" s="336"/>
      <c r="B57" s="433" t="s">
        <v>96</v>
      </c>
      <c r="C57" s="423" t="s">
        <v>36</v>
      </c>
      <c r="D57" s="423" t="s">
        <v>37</v>
      </c>
      <c r="E57" s="431" t="s">
        <v>842</v>
      </c>
      <c r="F57" s="434"/>
      <c r="G57" s="431" t="s">
        <v>857</v>
      </c>
      <c r="H57" s="431" t="s">
        <v>858</v>
      </c>
      <c r="I57" s="431" t="s">
        <v>794</v>
      </c>
      <c r="J57" s="431" t="s">
        <v>40</v>
      </c>
      <c r="K57" s="456" t="s">
        <v>41</v>
      </c>
      <c r="L57" s="336"/>
      <c r="M57" s="470"/>
      <c r="N57" s="470"/>
      <c r="O57" s="470"/>
      <c r="P57" s="471"/>
      <c r="Q57" s="471"/>
      <c r="R57" s="336"/>
      <c r="S57" s="336"/>
      <c r="T57" s="336"/>
      <c r="U57" s="336"/>
      <c r="V57" s="336"/>
      <c r="W57" s="336"/>
      <c r="X57" s="336"/>
      <c r="Y57" s="336"/>
      <c r="Z57" s="336"/>
      <c r="AA57" s="336"/>
      <c r="AB57" s="336"/>
      <c r="AC57" s="336"/>
    </row>
    <row r="58" ht="30" customHeight="1" spans="1:29">
      <c r="A58" s="336"/>
      <c r="B58" s="435"/>
      <c r="C58" s="426" t="s">
        <v>97</v>
      </c>
      <c r="D58" s="12" t="s">
        <v>98</v>
      </c>
      <c r="E58" s="12">
        <v>3000</v>
      </c>
      <c r="F58" s="427"/>
      <c r="G58" s="324">
        <v>1500</v>
      </c>
      <c r="H58" s="324">
        <v>500</v>
      </c>
      <c r="I58" s="322"/>
      <c r="J58" s="322" t="str">
        <f>IFERROR(IF(VLOOKUP(D58,期货合约要素!$D:$Q,12,0)=0,"",VLOOKUP(D58,期货合约要素!$D:$Q,12,0)),IF(VLOOKUP(D58,期权合约要素!$D:$V,17,0)=0,"",VLOOKUP(D58,期权合约要素!$D:$V,17,0)))</f>
        <v>√</v>
      </c>
      <c r="K58" s="323" t="str">
        <f>IFERROR(IF(VLOOKUP(D58,期货合约要素!$D:$Q,14,0)=0,"",VLOOKUP(D58,期货合约要素!$D:$Q,14,0)),IF(VLOOKUP(D58,期权合约要素!$D:$V,19,0)=0,"",VLOOKUP(D58,期权合约要素!$D:$V,19,0)))</f>
        <v>√</v>
      </c>
      <c r="L58" s="336"/>
      <c r="M58" s="470"/>
      <c r="N58" s="470"/>
      <c r="O58" s="470"/>
      <c r="P58" s="471"/>
      <c r="Q58" s="471"/>
      <c r="R58" s="336"/>
      <c r="S58" s="336"/>
      <c r="T58" s="336"/>
      <c r="U58" s="336"/>
      <c r="V58" s="336"/>
      <c r="W58" s="336"/>
      <c r="X58" s="336"/>
      <c r="Y58" s="336"/>
      <c r="Z58" s="336"/>
      <c r="AA58" s="336"/>
      <c r="AB58" s="336"/>
      <c r="AC58" s="336"/>
    </row>
    <row r="59" ht="36" customHeight="1" spans="1:29">
      <c r="A59" s="336"/>
      <c r="B59" s="435"/>
      <c r="C59" s="426" t="s">
        <v>99</v>
      </c>
      <c r="D59" s="12" t="s">
        <v>100</v>
      </c>
      <c r="E59" s="12" t="s">
        <v>799</v>
      </c>
      <c r="F59" s="427"/>
      <c r="G59" s="324">
        <v>1500</v>
      </c>
      <c r="H59" s="324">
        <v>500</v>
      </c>
      <c r="I59" s="322"/>
      <c r="J59" s="322" t="str">
        <f>IFERROR(IF(VLOOKUP(D59,期货合约要素!$D:$Q,12,0)=0,"",VLOOKUP(D59,期货合约要素!$D:$Q,12,0)),IF(VLOOKUP(D59,期权合约要素!$D:$V,17,0)=0,"",VLOOKUP(D59,期权合约要素!$D:$V,17,0)))</f>
        <v>√</v>
      </c>
      <c r="K59" s="323" t="str">
        <f>IFERROR(IF(VLOOKUP(D59,期货合约要素!$D:$Q,14,0)=0,"",VLOOKUP(D59,期货合约要素!$D:$Q,14,0)),IF(VLOOKUP(D59,期权合约要素!$D:$V,19,0)=0,"",VLOOKUP(D59,期权合约要素!$D:$V,19,0)))</f>
        <v>√</v>
      </c>
      <c r="L59" s="336"/>
      <c r="M59" s="336"/>
      <c r="N59" s="336"/>
      <c r="O59" s="336"/>
      <c r="P59" s="336"/>
      <c r="Q59" s="336"/>
      <c r="R59" s="336"/>
      <c r="S59" s="336"/>
      <c r="T59" s="336"/>
      <c r="U59" s="336"/>
      <c r="V59" s="336"/>
      <c r="W59" s="336"/>
      <c r="X59" s="336"/>
      <c r="Y59" s="336"/>
      <c r="Z59" s="336"/>
      <c r="AA59" s="336"/>
      <c r="AB59" s="336"/>
      <c r="AC59" s="336"/>
    </row>
    <row r="60" ht="30" customHeight="1" spans="1:29">
      <c r="A60" s="336"/>
      <c r="B60" s="435"/>
      <c r="C60" s="436"/>
      <c r="D60" s="429"/>
      <c r="E60" s="12" t="s">
        <v>803</v>
      </c>
      <c r="F60" s="322"/>
      <c r="G60" s="427"/>
      <c r="H60" s="427"/>
      <c r="I60" s="322"/>
      <c r="J60" s="322"/>
      <c r="K60" s="323"/>
      <c r="L60" s="336"/>
      <c r="M60" s="336"/>
      <c r="N60" s="336"/>
      <c r="O60" s="336"/>
      <c r="P60" s="336"/>
      <c r="Q60" s="336"/>
      <c r="R60" s="336"/>
      <c r="S60" s="336"/>
      <c r="T60" s="336"/>
      <c r="U60" s="336"/>
      <c r="V60" s="336"/>
      <c r="W60" s="336"/>
      <c r="X60" s="336"/>
      <c r="Y60" s="336"/>
      <c r="Z60" s="336"/>
      <c r="AA60" s="336"/>
      <c r="AB60" s="336"/>
      <c r="AC60" s="336"/>
    </row>
    <row r="61" ht="36" customHeight="1" spans="1:29">
      <c r="A61" s="336"/>
      <c r="B61" s="435"/>
      <c r="C61" s="423" t="s">
        <v>36</v>
      </c>
      <c r="D61" s="423" t="s">
        <v>37</v>
      </c>
      <c r="E61" s="431" t="s">
        <v>792</v>
      </c>
      <c r="F61" s="434"/>
      <c r="G61" s="134" t="s">
        <v>858</v>
      </c>
      <c r="H61" s="134" t="s">
        <v>694</v>
      </c>
      <c r="I61" s="431" t="s">
        <v>794</v>
      </c>
      <c r="J61" s="431" t="s">
        <v>40</v>
      </c>
      <c r="K61" s="456" t="s">
        <v>41</v>
      </c>
      <c r="L61" s="336"/>
      <c r="M61" s="336"/>
      <c r="N61" s="336"/>
      <c r="O61" s="336"/>
      <c r="P61" s="336"/>
      <c r="Q61" s="336"/>
      <c r="R61" s="336"/>
      <c r="S61" s="336"/>
      <c r="T61" s="336"/>
      <c r="U61" s="336"/>
      <c r="V61" s="336"/>
      <c r="W61" s="336"/>
      <c r="X61" s="336"/>
      <c r="Y61" s="336"/>
      <c r="Z61" s="336"/>
      <c r="AA61" s="336"/>
      <c r="AB61" s="336"/>
      <c r="AC61" s="336"/>
    </row>
    <row r="62" ht="20.1" customHeight="1" spans="1:29">
      <c r="A62" s="336"/>
      <c r="B62" s="435"/>
      <c r="C62" s="426" t="s">
        <v>101</v>
      </c>
      <c r="D62" s="12" t="s">
        <v>102</v>
      </c>
      <c r="E62" s="12">
        <v>2000</v>
      </c>
      <c r="F62" s="427"/>
      <c r="G62" s="324">
        <v>600</v>
      </c>
      <c r="H62" s="324">
        <v>200</v>
      </c>
      <c r="I62" s="324" t="s">
        <v>859</v>
      </c>
      <c r="J62" s="322" t="str">
        <f>IFERROR(IF(VLOOKUP(D62,期货合约要素!$D:$Q,12,0)=0,"",VLOOKUP(D62,期货合约要素!$D:$Q,12,0)),IF(VLOOKUP(D62,期权合约要素!$D:$V,17,0)=0,"",VLOOKUP(D62,期权合约要素!$D:$V,17,0)))</f>
        <v>√</v>
      </c>
      <c r="K62" s="323" t="str">
        <f>IFERROR(IF(VLOOKUP(D62,期货合约要素!$D:$Q,14,0)=0,"",VLOOKUP(D62,期货合约要素!$D:$Q,14,0)),IF(VLOOKUP(D62,期权合约要素!$D:$V,19,0)=0,"",VLOOKUP(D62,期权合约要素!$D:$V,19,0)))</f>
        <v>√</v>
      </c>
      <c r="L62" s="336"/>
      <c r="M62" s="336"/>
      <c r="N62" s="336"/>
      <c r="O62" s="336"/>
      <c r="P62" s="336"/>
      <c r="Q62" s="336"/>
      <c r="R62" s="336"/>
      <c r="S62" s="336"/>
      <c r="T62" s="336"/>
      <c r="U62" s="336"/>
      <c r="V62" s="336"/>
      <c r="W62" s="336"/>
      <c r="X62" s="336"/>
      <c r="Y62" s="336"/>
      <c r="Z62" s="336"/>
      <c r="AA62" s="336"/>
      <c r="AB62" s="336"/>
      <c r="AC62" s="336"/>
    </row>
    <row r="63" ht="36" customHeight="1" spans="1:29">
      <c r="A63" s="336"/>
      <c r="B63" s="435"/>
      <c r="C63" s="426" t="s">
        <v>103</v>
      </c>
      <c r="D63" s="12" t="s">
        <v>104</v>
      </c>
      <c r="E63" s="12" t="s">
        <v>822</v>
      </c>
      <c r="F63" s="427"/>
      <c r="G63" s="324">
        <v>3500</v>
      </c>
      <c r="H63" s="324">
        <v>700</v>
      </c>
      <c r="I63" s="324" t="s">
        <v>800</v>
      </c>
      <c r="J63" s="322" t="str">
        <f>IFERROR(IF(VLOOKUP(D63,期货合约要素!$D:$Q,12,0)=0,"",VLOOKUP(D63,期货合约要素!$D:$Q,12,0)),IF(VLOOKUP(D63,期权合约要素!$D:$V,17,0)=0,"",VLOOKUP(D63,期权合约要素!$D:$V,17,0)))</f>
        <v>√</v>
      </c>
      <c r="K63" s="323" t="str">
        <f>IFERROR(IF(VLOOKUP(D63,期货合约要素!$D:$Q,14,0)=0,"",VLOOKUP(D63,期货合约要素!$D:$Q,14,0)),IF(VLOOKUP(D63,期权合约要素!$D:$V,19,0)=0,"",VLOOKUP(D63,期权合约要素!$D:$V,19,0)))</f>
        <v>√</v>
      </c>
      <c r="L63" s="336"/>
      <c r="M63" s="336"/>
      <c r="N63" s="336"/>
      <c r="O63" s="336"/>
      <c r="P63" s="336"/>
      <c r="Q63" s="336"/>
      <c r="R63" s="336"/>
      <c r="S63" s="336"/>
      <c r="T63" s="336"/>
      <c r="U63" s="336"/>
      <c r="V63" s="336"/>
      <c r="W63" s="336"/>
      <c r="X63" s="336"/>
      <c r="Y63" s="336"/>
      <c r="Z63" s="336"/>
      <c r="AA63" s="336"/>
      <c r="AB63" s="336"/>
      <c r="AC63" s="336"/>
    </row>
    <row r="64" ht="30" customHeight="1" spans="1:29">
      <c r="A64" s="336"/>
      <c r="B64" s="435"/>
      <c r="C64" s="436"/>
      <c r="D64" s="429"/>
      <c r="E64" s="12" t="s">
        <v>860</v>
      </c>
      <c r="F64" s="322"/>
      <c r="G64" s="427"/>
      <c r="H64" s="427"/>
      <c r="I64" s="427"/>
      <c r="J64" s="322"/>
      <c r="K64" s="323"/>
      <c r="L64" s="336"/>
      <c r="M64" s="336"/>
      <c r="N64" s="336"/>
      <c r="O64" s="336"/>
      <c r="P64" s="336"/>
      <c r="Q64" s="336"/>
      <c r="R64" s="336"/>
      <c r="S64" s="336"/>
      <c r="T64" s="336"/>
      <c r="U64" s="336"/>
      <c r="V64" s="336"/>
      <c r="W64" s="336"/>
      <c r="X64" s="336"/>
      <c r="Y64" s="336"/>
      <c r="Z64" s="336"/>
      <c r="AA64" s="336"/>
      <c r="AB64" s="336"/>
      <c r="AC64" s="336"/>
    </row>
    <row r="65" ht="36" customHeight="1" spans="1:29">
      <c r="A65" s="336"/>
      <c r="B65" s="435"/>
      <c r="C65" s="423" t="s">
        <v>36</v>
      </c>
      <c r="D65" s="423" t="s">
        <v>37</v>
      </c>
      <c r="E65" s="431" t="s">
        <v>861</v>
      </c>
      <c r="F65" s="434"/>
      <c r="G65" s="431" t="s">
        <v>862</v>
      </c>
      <c r="H65" s="431" t="s">
        <v>863</v>
      </c>
      <c r="I65" s="431" t="s">
        <v>794</v>
      </c>
      <c r="J65" s="431" t="s">
        <v>40</v>
      </c>
      <c r="K65" s="456" t="s">
        <v>41</v>
      </c>
      <c r="L65" s="336"/>
      <c r="M65" s="336"/>
      <c r="N65" s="336"/>
      <c r="O65" s="336"/>
      <c r="P65" s="336"/>
      <c r="Q65" s="336"/>
      <c r="R65" s="336"/>
      <c r="S65" s="336"/>
      <c r="T65" s="336"/>
      <c r="U65" s="336"/>
      <c r="V65" s="336"/>
      <c r="W65" s="336"/>
      <c r="X65" s="336"/>
      <c r="Y65" s="336"/>
      <c r="Z65" s="336"/>
      <c r="AA65" s="336"/>
      <c r="AB65" s="336"/>
      <c r="AC65" s="336"/>
    </row>
    <row r="66" ht="20.1" customHeight="1" spans="1:29">
      <c r="A66" s="336"/>
      <c r="B66" s="435"/>
      <c r="C66" s="426" t="s">
        <v>106</v>
      </c>
      <c r="D66" s="12" t="s">
        <v>107</v>
      </c>
      <c r="E66" s="12">
        <v>1200</v>
      </c>
      <c r="F66" s="427"/>
      <c r="G66" s="324">
        <v>360</v>
      </c>
      <c r="H66" s="324">
        <v>120</v>
      </c>
      <c r="I66" s="322"/>
      <c r="J66" s="322" t="str">
        <f>IFERROR(IF(VLOOKUP(D66,期货合约要素!$D:$Q,12,0)=0,"",VLOOKUP(D66,期货合约要素!$D:$Q,12,0)),IF(VLOOKUP(D66,期权合约要素!$D:$V,17,0)=0,"",VLOOKUP(D66,期权合约要素!$D:$V,17,0)))</f>
        <v>√</v>
      </c>
      <c r="K66" s="323" t="str">
        <f>IFERROR(IF(VLOOKUP(D66,期货合约要素!$D:$Q,14,0)=0,"",VLOOKUP(D66,期货合约要素!$D:$Q,14,0)),IF(VLOOKUP(D66,期权合约要素!$D:$V,19,0)=0,"",VLOOKUP(D66,期权合约要素!$D:$V,19,0)))</f>
        <v>√</v>
      </c>
      <c r="L66" s="336"/>
      <c r="M66" s="336"/>
      <c r="N66" s="336"/>
      <c r="O66" s="336"/>
      <c r="P66" s="336"/>
      <c r="Q66" s="336"/>
      <c r="R66" s="336"/>
      <c r="S66" s="336"/>
      <c r="T66" s="336"/>
      <c r="U66" s="336"/>
      <c r="V66" s="336"/>
      <c r="W66" s="336"/>
      <c r="X66" s="336"/>
      <c r="Y66" s="336"/>
      <c r="Z66" s="336"/>
      <c r="AA66" s="336"/>
      <c r="AB66" s="336"/>
      <c r="AC66" s="336"/>
    </row>
    <row r="67" ht="36" customHeight="1" spans="1:29">
      <c r="A67" s="336"/>
      <c r="B67" s="435"/>
      <c r="C67" s="423" t="s">
        <v>36</v>
      </c>
      <c r="D67" s="423" t="s">
        <v>37</v>
      </c>
      <c r="E67" s="431" t="s">
        <v>842</v>
      </c>
      <c r="F67" s="434"/>
      <c r="G67" s="431" t="s">
        <v>857</v>
      </c>
      <c r="H67" s="431" t="s">
        <v>858</v>
      </c>
      <c r="I67" s="431" t="s">
        <v>794</v>
      </c>
      <c r="J67" s="431" t="s">
        <v>40</v>
      </c>
      <c r="K67" s="456" t="s">
        <v>41</v>
      </c>
      <c r="L67" s="336"/>
      <c r="M67" s="336"/>
      <c r="N67" s="336"/>
      <c r="O67" s="336"/>
      <c r="P67" s="336"/>
      <c r="Q67" s="336"/>
      <c r="R67" s="336"/>
      <c r="S67" s="336"/>
      <c r="T67" s="336"/>
      <c r="U67" s="336"/>
      <c r="V67" s="336"/>
      <c r="W67" s="336"/>
      <c r="X67" s="336"/>
      <c r="Y67" s="336"/>
      <c r="Z67" s="336"/>
      <c r="AA67" s="336"/>
      <c r="AB67" s="336"/>
      <c r="AC67" s="336"/>
    </row>
    <row r="68" ht="30" customHeight="1" spans="1:29">
      <c r="A68" s="336"/>
      <c r="B68" s="435"/>
      <c r="C68" s="426" t="s">
        <v>429</v>
      </c>
      <c r="D68" s="12" t="s">
        <v>430</v>
      </c>
      <c r="E68" s="324">
        <v>3000</v>
      </c>
      <c r="F68" s="427"/>
      <c r="G68" s="324">
        <v>1500</v>
      </c>
      <c r="H68" s="324">
        <v>500</v>
      </c>
      <c r="I68" s="458" t="s">
        <v>846</v>
      </c>
      <c r="J68" s="322" t="str">
        <f>IFERROR(IF(VLOOKUP(D68,期货合约要素!$D:$Q,12,0)=0,"",VLOOKUP(D68,期货合约要素!$D:$Q,12,0)),IF(VLOOKUP(D68,期权合约要素!$D:$V,17,0)=0,"",VLOOKUP(D68,期权合约要素!$D:$V,17,0)))</f>
        <v>√</v>
      </c>
      <c r="K68" s="323" t="str">
        <f>IFERROR(IF(VLOOKUP(D68,期货合约要素!$D:$Q,14,0)=0,"",VLOOKUP(D68,期货合约要素!$D:$Q,14,0)),IF(VLOOKUP(D68,期权合约要素!$D:$V,19,0)=0,"",VLOOKUP(D68,期权合约要素!$D:$V,19,0)))</f>
        <v>√</v>
      </c>
      <c r="L68" s="336"/>
      <c r="M68" s="336"/>
      <c r="N68" s="336"/>
      <c r="O68" s="336"/>
      <c r="P68" s="336"/>
      <c r="Q68" s="336"/>
      <c r="R68" s="336"/>
      <c r="S68" s="336"/>
      <c r="T68" s="336"/>
      <c r="U68" s="336"/>
      <c r="V68" s="336"/>
      <c r="W68" s="336"/>
      <c r="X68" s="336"/>
      <c r="Y68" s="336"/>
      <c r="Z68" s="336"/>
      <c r="AA68" s="336"/>
      <c r="AB68" s="336"/>
      <c r="AC68" s="336"/>
    </row>
    <row r="69" ht="36" customHeight="1" spans="1:29">
      <c r="A69" s="336"/>
      <c r="B69" s="435"/>
      <c r="C69" s="423" t="s">
        <v>36</v>
      </c>
      <c r="D69" s="423" t="s">
        <v>37</v>
      </c>
      <c r="E69" s="485" t="s">
        <v>844</v>
      </c>
      <c r="F69" s="486"/>
      <c r="G69" s="487"/>
      <c r="H69" s="431" t="s">
        <v>845</v>
      </c>
      <c r="I69" s="461"/>
      <c r="J69" s="431" t="s">
        <v>40</v>
      </c>
      <c r="K69" s="456" t="s">
        <v>41</v>
      </c>
      <c r="L69" s="336"/>
      <c r="M69" s="336"/>
      <c r="N69" s="336"/>
      <c r="O69" s="336"/>
      <c r="P69" s="336"/>
      <c r="Q69" s="336"/>
      <c r="R69" s="336"/>
      <c r="S69" s="336"/>
      <c r="T69" s="336"/>
      <c r="U69" s="336"/>
      <c r="V69" s="336"/>
      <c r="W69" s="336"/>
      <c r="X69" s="336"/>
      <c r="Y69" s="336"/>
      <c r="Z69" s="336"/>
      <c r="AA69" s="336"/>
      <c r="AB69" s="336"/>
      <c r="AC69" s="336"/>
    </row>
    <row r="70" ht="35.1" customHeight="1" spans="1:29">
      <c r="A70" s="336"/>
      <c r="B70" s="435"/>
      <c r="C70" s="426" t="s">
        <v>441</v>
      </c>
      <c r="D70" s="12" t="s">
        <v>442</v>
      </c>
      <c r="E70" s="488">
        <v>2000</v>
      </c>
      <c r="F70" s="489"/>
      <c r="G70" s="490"/>
      <c r="H70" s="324">
        <v>600</v>
      </c>
      <c r="I70" s="461"/>
      <c r="J70" s="324" t="str">
        <f>IFERROR(IF(VLOOKUP(D70,期货合约要素!$D:$Q,12,0)=0,"",VLOOKUP(D70,期货合约要素!$D:$Q,12,0)),IF(VLOOKUP(D70,期权合约要素!$D:$V,17,0)=0,"",VLOOKUP(D70,期权合约要素!$D:$V,17,0)))</f>
        <v>√</v>
      </c>
      <c r="K70" s="327" t="str">
        <f>IFERROR(IF(VLOOKUP(D70,期货合约要素!$D:$Q,14,0)=0,"",VLOOKUP(D70,期货合约要素!$D:$Q,14,0)),IF(VLOOKUP(D70,期权合约要素!$D:$V,19,0)=0,"",VLOOKUP(D70,期权合约要素!$D:$V,19,0)))</f>
        <v>√</v>
      </c>
      <c r="L70" s="336"/>
      <c r="M70" s="336"/>
      <c r="N70" s="336"/>
      <c r="O70" s="336"/>
      <c r="P70" s="336"/>
      <c r="Q70" s="336"/>
      <c r="R70" s="336"/>
      <c r="S70" s="336"/>
      <c r="T70" s="336"/>
      <c r="U70" s="336"/>
      <c r="V70" s="336"/>
      <c r="W70" s="336"/>
      <c r="X70" s="336"/>
      <c r="Y70" s="336"/>
      <c r="Z70" s="336"/>
      <c r="AA70" s="336"/>
      <c r="AB70" s="336"/>
      <c r="AC70" s="336"/>
    </row>
    <row r="71" ht="36" customHeight="1" spans="1:29">
      <c r="A71" s="336"/>
      <c r="B71" s="435"/>
      <c r="C71" s="491" t="s">
        <v>448</v>
      </c>
      <c r="D71" s="492" t="s">
        <v>449</v>
      </c>
      <c r="E71" s="493">
        <v>7000</v>
      </c>
      <c r="F71" s="494"/>
      <c r="G71" s="495"/>
      <c r="H71" s="451">
        <v>3500</v>
      </c>
      <c r="I71" s="461"/>
      <c r="J71" s="451" t="str">
        <f>IFERROR(IF(VLOOKUP(D71,期货合约要素!$D:$Q,12,0)=0,"",VLOOKUP(D71,期货合约要素!$D:$Q,12,0)),IF(VLOOKUP(D71,期权合约要素!$D:$V,17,0)=0,"",VLOOKUP(D71,期权合约要素!$D:$V,17,0)))</f>
        <v>√</v>
      </c>
      <c r="K71" s="331" t="str">
        <f>IFERROR(IF(VLOOKUP(D71,期货合约要素!$D:$Q,14,0)=0,"",VLOOKUP(D71,期货合约要素!$D:$Q,14,0)),IF(VLOOKUP(D71,期权合约要素!$D:$V,19,0)=0,"",VLOOKUP(D71,期权合约要素!$D:$V,19,0)))</f>
        <v>√</v>
      </c>
      <c r="L71" s="336"/>
      <c r="M71" s="336"/>
      <c r="N71" s="336"/>
      <c r="O71" s="336"/>
      <c r="P71" s="336"/>
      <c r="Q71" s="336"/>
      <c r="R71" s="336"/>
      <c r="S71" s="336"/>
      <c r="T71" s="336"/>
      <c r="U71" s="336"/>
      <c r="V71" s="336"/>
      <c r="W71" s="336"/>
      <c r="X71" s="336"/>
      <c r="Y71" s="336"/>
      <c r="Z71" s="336"/>
      <c r="AA71" s="336"/>
      <c r="AB71" s="336"/>
      <c r="AC71" s="336"/>
    </row>
    <row r="72" ht="36.95" customHeight="1" spans="1:29">
      <c r="A72" s="336"/>
      <c r="B72" s="496" t="s">
        <v>108</v>
      </c>
      <c r="C72" s="317" t="s">
        <v>36</v>
      </c>
      <c r="D72" s="317" t="s">
        <v>37</v>
      </c>
      <c r="E72" s="497" t="s">
        <v>864</v>
      </c>
      <c r="F72" s="498"/>
      <c r="G72" s="497" t="s">
        <v>865</v>
      </c>
      <c r="H72" s="497" t="s">
        <v>866</v>
      </c>
      <c r="I72" s="497" t="s">
        <v>794</v>
      </c>
      <c r="J72" s="497" t="s">
        <v>40</v>
      </c>
      <c r="K72" s="507" t="s">
        <v>41</v>
      </c>
      <c r="L72" s="336"/>
      <c r="M72" s="336"/>
      <c r="N72" s="336"/>
      <c r="O72" s="336"/>
      <c r="P72" s="336"/>
      <c r="Q72" s="336"/>
      <c r="R72" s="336"/>
      <c r="S72" s="336"/>
      <c r="T72" s="336"/>
      <c r="U72" s="336"/>
      <c r="V72" s="336"/>
      <c r="W72" s="336"/>
      <c r="X72" s="336"/>
      <c r="Y72" s="336"/>
      <c r="Z72" s="336"/>
      <c r="AA72" s="336"/>
      <c r="AB72" s="336"/>
      <c r="AC72" s="336"/>
    </row>
    <row r="73" ht="87" customHeight="1" spans="1:29">
      <c r="A73" s="336"/>
      <c r="B73" s="499"/>
      <c r="C73" s="426" t="s">
        <v>867</v>
      </c>
      <c r="D73" s="12" t="s">
        <v>110</v>
      </c>
      <c r="E73" s="12" t="s">
        <v>868</v>
      </c>
      <c r="F73" s="500">
        <v>2500</v>
      </c>
      <c r="G73" s="501">
        <v>2000</v>
      </c>
      <c r="H73" s="501">
        <v>1000</v>
      </c>
      <c r="I73" s="322"/>
      <c r="J73" s="322" t="str">
        <f>IFERROR(IF(VLOOKUP(D73,期货合约要素!$D:$Q,12,0)=0,"",VLOOKUP(D73,期货合约要素!$D:$Q,12,0)),IF(VLOOKUP(D73,期权合约要素!$D:$V,17,0)=0,"",VLOOKUP(D73,期权合约要素!$D:$V,17,0)))</f>
        <v>√</v>
      </c>
      <c r="K73" s="323" t="str">
        <f>IFERROR(IF(VLOOKUP(D73,期货合约要素!$D:$Q,14,0)=0,"",VLOOKUP(D73,期货合约要素!$D:$Q,14,0)),IF(VLOOKUP(D73,期权合约要素!$D:$V,19,0)=0,"",VLOOKUP(D73,期权合约要素!$D:$V,19,0)))</f>
        <v>√</v>
      </c>
      <c r="L73" s="336"/>
      <c r="M73" s="336"/>
      <c r="N73" s="336"/>
      <c r="O73" s="336"/>
      <c r="P73" s="336"/>
      <c r="Q73" s="336"/>
      <c r="R73" s="336"/>
      <c r="S73" s="336"/>
      <c r="T73" s="336"/>
      <c r="U73" s="336"/>
      <c r="V73" s="336"/>
      <c r="W73" s="336"/>
      <c r="X73" s="336"/>
      <c r="Y73" s="336"/>
      <c r="Z73" s="336"/>
      <c r="AA73" s="336"/>
      <c r="AB73" s="336"/>
      <c r="AC73" s="336"/>
    </row>
    <row r="74" ht="16.5" spans="1:29">
      <c r="A74" s="336"/>
      <c r="B74" s="499"/>
      <c r="C74" s="429"/>
      <c r="D74" s="429"/>
      <c r="E74" s="12" t="s">
        <v>869</v>
      </c>
      <c r="F74" s="500" t="s">
        <v>870</v>
      </c>
      <c r="G74" s="429"/>
      <c r="H74" s="429"/>
      <c r="I74" s="322"/>
      <c r="J74" s="322" t="e">
        <f>IFERROR(IF(VLOOKUP(D74,期货合约要素!$D:$Q,12,0)=0,"",VLOOKUP(D74,期货合约要素!$D:$Q,12,0)),IF(VLOOKUP(D74,期权合约要素!$D:$V,17,0)=0,"",VLOOKUP(D74,期权合约要素!$D:$V,17,0)))</f>
        <v>#N/A</v>
      </c>
      <c r="K74" s="323" t="e">
        <f>IFERROR(IF(VLOOKUP(D74,期货合约要素!$D:$Q,14,0)=0,"",VLOOKUP(D74,期货合约要素!$D:$Q,14,0)),IF(VLOOKUP(D74,期权合约要素!$D:$V,19,0)=0,"",VLOOKUP(D74,期权合约要素!$D:$V,19,0)))</f>
        <v>#N/A</v>
      </c>
      <c r="L74" s="336"/>
      <c r="M74" s="336"/>
      <c r="N74" s="336"/>
      <c r="O74" s="336"/>
      <c r="P74" s="336"/>
      <c r="Q74" s="336"/>
      <c r="R74" s="336"/>
      <c r="S74" s="336"/>
      <c r="T74" s="336"/>
      <c r="U74" s="336"/>
      <c r="V74" s="336"/>
      <c r="W74" s="336"/>
      <c r="X74" s="336"/>
      <c r="Y74" s="336"/>
      <c r="Z74" s="336"/>
      <c r="AA74" s="336"/>
      <c r="AB74" s="336"/>
      <c r="AC74" s="336"/>
    </row>
    <row r="75" ht="44.1" customHeight="1" spans="1:29">
      <c r="A75" s="336"/>
      <c r="B75" s="499"/>
      <c r="C75" s="426" t="s">
        <v>871</v>
      </c>
      <c r="D75" s="12" t="s">
        <v>114</v>
      </c>
      <c r="E75" s="12" t="s">
        <v>872</v>
      </c>
      <c r="F75" s="500">
        <v>5000</v>
      </c>
      <c r="G75" s="501">
        <v>3000</v>
      </c>
      <c r="H75" s="501">
        <v>1000</v>
      </c>
      <c r="I75" s="322"/>
      <c r="J75" s="322" t="str">
        <f>IFERROR(IF(VLOOKUP(D75,期货合约要素!$D:$Q,12,0)=0,"",VLOOKUP(D75,期货合约要素!$D:$Q,12,0)),IF(VLOOKUP(D75,期权合约要素!$D:$V,17,0)=0,"",VLOOKUP(D75,期权合约要素!$D:$V,17,0)))</f>
        <v>√</v>
      </c>
      <c r="K75" s="323" t="str">
        <f>IFERROR(IF(VLOOKUP(D75,期货合约要素!$D:$Q,14,0)=0,"",VLOOKUP(D75,期货合约要素!$D:$Q,14,0)),IF(VLOOKUP(D75,期权合约要素!$D:$V,19,0)=0,"",VLOOKUP(D75,期权合约要素!$D:$V,19,0)))</f>
        <v>√</v>
      </c>
      <c r="L75" s="336"/>
      <c r="M75" s="336"/>
      <c r="N75" s="336"/>
      <c r="O75" s="336"/>
      <c r="P75" s="336"/>
      <c r="Q75" s="336"/>
      <c r="R75" s="336"/>
      <c r="S75" s="336"/>
      <c r="T75" s="336"/>
      <c r="U75" s="336"/>
      <c r="V75" s="336"/>
      <c r="W75" s="336"/>
      <c r="X75" s="336"/>
      <c r="Y75" s="336"/>
      <c r="Z75" s="336"/>
      <c r="AA75" s="336"/>
      <c r="AB75" s="336"/>
      <c r="AC75" s="336"/>
    </row>
    <row r="76" ht="44.1" customHeight="1" spans="1:29">
      <c r="A76" s="336"/>
      <c r="B76" s="499"/>
      <c r="C76" s="429"/>
      <c r="D76" s="429"/>
      <c r="E76" s="12" t="s">
        <v>873</v>
      </c>
      <c r="F76" s="500" t="s">
        <v>870</v>
      </c>
      <c r="G76" s="429"/>
      <c r="H76" s="429"/>
      <c r="I76" s="322"/>
      <c r="J76" s="322" t="e">
        <f>IFERROR(IF(VLOOKUP(D76,期货合约要素!$D:$Q,12,0)=0,"",VLOOKUP(D76,期货合约要素!$D:$Q,12,0)),IF(VLOOKUP(D76,期权合约要素!$D:$V,17,0)=0,"",VLOOKUP(D76,期权合约要素!$D:$V,17,0)))</f>
        <v>#N/A</v>
      </c>
      <c r="K76" s="323" t="e">
        <f>IFERROR(IF(VLOOKUP(D76,期货合约要素!$D:$Q,14,0)=0,"",VLOOKUP(D76,期货合约要素!$D:$Q,14,0)),IF(VLOOKUP(D76,期权合约要素!$D:$V,19,0)=0,"",VLOOKUP(D76,期权合约要素!$D:$V,19,0)))</f>
        <v>#N/A</v>
      </c>
      <c r="L76" s="336"/>
      <c r="M76" s="336"/>
      <c r="N76" s="336"/>
      <c r="O76" s="336"/>
      <c r="P76" s="336"/>
      <c r="Q76" s="336"/>
      <c r="R76" s="336"/>
      <c r="S76" s="336"/>
      <c r="T76" s="336"/>
      <c r="U76" s="336"/>
      <c r="V76" s="336"/>
      <c r="W76" s="336"/>
      <c r="X76" s="336"/>
      <c r="Y76" s="336"/>
      <c r="Z76" s="336"/>
      <c r="AA76" s="336"/>
      <c r="AB76" s="336"/>
      <c r="AC76" s="336"/>
    </row>
    <row r="77" ht="44.1" customHeight="1" spans="1:29">
      <c r="A77" s="336"/>
      <c r="B77" s="499"/>
      <c r="C77" s="426" t="s">
        <v>115</v>
      </c>
      <c r="D77" s="12" t="s">
        <v>116</v>
      </c>
      <c r="E77" s="12" t="s">
        <v>874</v>
      </c>
      <c r="F77" s="500" t="s">
        <v>875</v>
      </c>
      <c r="G77" s="501">
        <v>7500</v>
      </c>
      <c r="H77" s="501">
        <v>2500</v>
      </c>
      <c r="I77" s="322"/>
      <c r="J77" s="322" t="str">
        <f>IFERROR(IF(VLOOKUP(D77,期货合约要素!$D:$Q,12,0)=0,"",VLOOKUP(D77,期货合约要素!$D:$Q,12,0)),IF(VLOOKUP(D77,期权合约要素!$D:$V,17,0)=0,"",VLOOKUP(D77,期权合约要素!$D:$V,17,0)))</f>
        <v>√</v>
      </c>
      <c r="K77" s="323" t="str">
        <f>IFERROR(IF(VLOOKUP(D77,期货合约要素!$D:$Q,14,0)=0,"",VLOOKUP(D77,期货合约要素!$D:$Q,14,0)),IF(VLOOKUP(D77,期权合约要素!$D:$V,19,0)=0,"",VLOOKUP(D77,期权合约要素!$D:$V,19,0)))</f>
        <v>√</v>
      </c>
      <c r="L77" s="336"/>
      <c r="M77" s="336"/>
      <c r="N77" s="336"/>
      <c r="O77" s="336"/>
      <c r="P77" s="336"/>
      <c r="Q77" s="336"/>
      <c r="R77" s="336"/>
      <c r="S77" s="336"/>
      <c r="T77" s="336"/>
      <c r="U77" s="336"/>
      <c r="V77" s="336"/>
      <c r="W77" s="336"/>
      <c r="X77" s="336"/>
      <c r="Y77" s="336"/>
      <c r="Z77" s="336"/>
      <c r="AA77" s="336"/>
      <c r="AB77" s="336"/>
      <c r="AC77" s="336"/>
    </row>
    <row r="78" ht="20.1" customHeight="1" spans="1:29">
      <c r="A78" s="336"/>
      <c r="B78" s="499"/>
      <c r="C78" s="429"/>
      <c r="D78" s="429"/>
      <c r="E78" s="12" t="s">
        <v>876</v>
      </c>
      <c r="F78" s="500" t="s">
        <v>870</v>
      </c>
      <c r="G78" s="429"/>
      <c r="H78" s="429"/>
      <c r="I78" s="322"/>
      <c r="J78" s="322" t="e">
        <f>IFERROR(IF(VLOOKUP(D78,期货合约要素!$D:$Q,12,0)=0,"",VLOOKUP(D78,期货合约要素!$D:$Q,12,0)),IF(VLOOKUP(D78,期权合约要素!$D:$V,17,0)=0,"",VLOOKUP(D78,期权合约要素!$D:$V,17,0)))</f>
        <v>#N/A</v>
      </c>
      <c r="K78" s="323" t="e">
        <f>IFERROR(IF(VLOOKUP(D78,期货合约要素!$D:$Q,14,0)=0,"",VLOOKUP(D78,期货合约要素!$D:$Q,14,0)),IF(VLOOKUP(D78,期权合约要素!$D:$V,19,0)=0,"",VLOOKUP(D78,期权合约要素!$D:$V,19,0)))</f>
        <v>#N/A</v>
      </c>
      <c r="L78" s="336"/>
      <c r="M78" s="336"/>
      <c r="N78" s="336"/>
      <c r="O78" s="336"/>
      <c r="P78" s="336"/>
      <c r="Q78" s="336"/>
      <c r="R78" s="336"/>
      <c r="S78" s="336"/>
      <c r="T78" s="336"/>
      <c r="U78" s="336"/>
      <c r="V78" s="336"/>
      <c r="W78" s="336"/>
      <c r="X78" s="336"/>
      <c r="Y78" s="336"/>
      <c r="Z78" s="336"/>
      <c r="AA78" s="336"/>
      <c r="AB78" s="336"/>
      <c r="AC78" s="336"/>
    </row>
    <row r="79" ht="20.1" customHeight="1" spans="1:29">
      <c r="A79" s="336"/>
      <c r="B79" s="499"/>
      <c r="C79" s="426" t="s">
        <v>121</v>
      </c>
      <c r="D79" s="12" t="s">
        <v>122</v>
      </c>
      <c r="E79" s="12" t="s">
        <v>874</v>
      </c>
      <c r="F79" s="500" t="s">
        <v>875</v>
      </c>
      <c r="G79" s="501">
        <v>15000</v>
      </c>
      <c r="H79" s="501">
        <v>5000</v>
      </c>
      <c r="I79" s="322"/>
      <c r="J79" s="322" t="str">
        <f>IFERROR(IF(VLOOKUP(D79,期货合约要素!$D:$Q,12,0)=0,"",VLOOKUP(D79,期货合约要素!$D:$Q,12,0)),IF(VLOOKUP(D79,期权合约要素!$D:$V,17,0)=0,"",VLOOKUP(D79,期权合约要素!$D:$V,17,0)))</f>
        <v/>
      </c>
      <c r="K79" s="323" t="str">
        <f>IFERROR(IF(VLOOKUP(D79,期货合约要素!$D:$Q,14,0)=0,"",VLOOKUP(D79,期货合约要素!$D:$Q,14,0)),IF(VLOOKUP(D79,期权合约要素!$D:$V,19,0)=0,"",VLOOKUP(D79,期权合约要素!$D:$V,19,0)))</f>
        <v/>
      </c>
      <c r="L79" s="336"/>
      <c r="M79" s="336"/>
      <c r="N79" s="336"/>
      <c r="O79" s="336"/>
      <c r="P79" s="336"/>
      <c r="Q79" s="336"/>
      <c r="R79" s="336"/>
      <c r="S79" s="336"/>
      <c r="T79" s="336"/>
      <c r="U79" s="336"/>
      <c r="V79" s="336"/>
      <c r="W79" s="336"/>
      <c r="X79" s="336"/>
      <c r="Y79" s="336"/>
      <c r="Z79" s="336"/>
      <c r="AA79" s="336"/>
      <c r="AB79" s="336"/>
      <c r="AC79" s="336"/>
    </row>
    <row r="80" ht="20.1" customHeight="1" spans="1:29">
      <c r="A80" s="336"/>
      <c r="B80" s="499"/>
      <c r="C80" s="429"/>
      <c r="D80" s="429"/>
      <c r="E80" s="12" t="s">
        <v>876</v>
      </c>
      <c r="F80" s="500" t="s">
        <v>870</v>
      </c>
      <c r="G80" s="429"/>
      <c r="H80" s="429"/>
      <c r="I80" s="322"/>
      <c r="J80" s="322" t="e">
        <f>IFERROR(IF(VLOOKUP(D80,期货合约要素!$D:$Q,12,0)=0,"",VLOOKUP(D80,期货合约要素!$D:$Q,12,0)),IF(VLOOKUP(D80,期权合约要素!$D:$V,17,0)=0,"",VLOOKUP(D80,期权合约要素!$D:$V,17,0)))</f>
        <v>#N/A</v>
      </c>
      <c r="K80" s="323" t="e">
        <f>IFERROR(IF(VLOOKUP(D80,期货合约要素!$D:$Q,14,0)=0,"",VLOOKUP(D80,期货合约要素!$D:$Q,14,0)),IF(VLOOKUP(D80,期权合约要素!$D:$V,19,0)=0,"",VLOOKUP(D80,期权合约要素!$D:$V,19,0)))</f>
        <v>#N/A</v>
      </c>
      <c r="L80" s="336"/>
      <c r="M80" s="336"/>
      <c r="N80" s="336"/>
      <c r="O80" s="336"/>
      <c r="P80" s="336"/>
      <c r="Q80" s="336"/>
      <c r="R80" s="336"/>
      <c r="S80" s="336"/>
      <c r="T80" s="336"/>
      <c r="U80" s="336"/>
      <c r="V80" s="336"/>
      <c r="W80" s="336"/>
      <c r="X80" s="336"/>
      <c r="Y80" s="336"/>
      <c r="Z80" s="336"/>
      <c r="AA80" s="336"/>
      <c r="AB80" s="336"/>
      <c r="AC80" s="336"/>
    </row>
    <row r="81" ht="20.1" customHeight="1" spans="1:29">
      <c r="A81" s="336"/>
      <c r="B81" s="499"/>
      <c r="C81" s="426" t="s">
        <v>123</v>
      </c>
      <c r="D81" s="12" t="s">
        <v>124</v>
      </c>
      <c r="E81" s="12" t="s">
        <v>877</v>
      </c>
      <c r="F81" s="500">
        <v>15000</v>
      </c>
      <c r="G81" s="501">
        <v>4500</v>
      </c>
      <c r="H81" s="501">
        <v>1500</v>
      </c>
      <c r="I81" s="322"/>
      <c r="J81" s="322" t="str">
        <f>IFERROR(IF(VLOOKUP(D81,期货合约要素!$D:$Q,12,0)=0,"",VLOOKUP(D81,期货合约要素!$D:$Q,12,0)),IF(VLOOKUP(D81,期权合约要素!$D:$V,17,0)=0,"",VLOOKUP(D81,期权合约要素!$D:$V,17,0)))</f>
        <v/>
      </c>
      <c r="K81" s="323" t="str">
        <f>IFERROR(IF(VLOOKUP(D81,期货合约要素!$D:$Q,14,0)=0,"",VLOOKUP(D81,期货合约要素!$D:$Q,14,0)),IF(VLOOKUP(D81,期权合约要素!$D:$V,19,0)=0,"",VLOOKUP(D81,期权合约要素!$D:$V,19,0)))</f>
        <v/>
      </c>
      <c r="L81" s="336"/>
      <c r="M81" s="336"/>
      <c r="N81" s="336"/>
      <c r="O81" s="336"/>
      <c r="P81" s="336"/>
      <c r="Q81" s="336"/>
      <c r="R81" s="336"/>
      <c r="S81" s="336"/>
      <c r="T81" s="336"/>
      <c r="U81" s="336"/>
      <c r="V81" s="336"/>
      <c r="W81" s="336"/>
      <c r="X81" s="336"/>
      <c r="Y81" s="336"/>
      <c r="Z81" s="336"/>
      <c r="AA81" s="336"/>
      <c r="AB81" s="336"/>
      <c r="AC81" s="336"/>
    </row>
    <row r="82" ht="20.1" customHeight="1" spans="1:29">
      <c r="A82" s="336"/>
      <c r="B82" s="499"/>
      <c r="C82" s="429"/>
      <c r="D82" s="429"/>
      <c r="E82" s="12" t="s">
        <v>878</v>
      </c>
      <c r="F82" s="500" t="s">
        <v>879</v>
      </c>
      <c r="G82" s="429"/>
      <c r="H82" s="429"/>
      <c r="I82" s="322"/>
      <c r="J82" s="322" t="e">
        <f>IFERROR(IF(VLOOKUP(D82,期货合约要素!$D:$Q,12,0)=0,"",VLOOKUP(D82,期货合约要素!$D:$Q,12,0)),IF(VLOOKUP(D82,期权合约要素!$D:$V,17,0)=0,"",VLOOKUP(D82,期权合约要素!$D:$V,17,0)))</f>
        <v>#N/A</v>
      </c>
      <c r="K82" s="323" t="e">
        <f>IFERROR(IF(VLOOKUP(D82,期货合约要素!$D:$Q,14,0)=0,"",VLOOKUP(D82,期货合约要素!$D:$Q,14,0)),IF(VLOOKUP(D82,期权合约要素!$D:$V,19,0)=0,"",VLOOKUP(D82,期权合约要素!$D:$V,19,0)))</f>
        <v>#N/A</v>
      </c>
      <c r="L82" s="336"/>
      <c r="M82" s="336"/>
      <c r="N82" s="336"/>
      <c r="O82" s="336"/>
      <c r="P82" s="336"/>
      <c r="Q82" s="336"/>
      <c r="R82" s="336"/>
      <c r="S82" s="336"/>
      <c r="T82" s="336"/>
      <c r="U82" s="336"/>
      <c r="V82" s="336"/>
      <c r="W82" s="336"/>
      <c r="X82" s="336"/>
      <c r="Y82" s="336"/>
      <c r="Z82" s="336"/>
      <c r="AA82" s="336"/>
      <c r="AB82" s="336"/>
      <c r="AC82" s="336"/>
    </row>
    <row r="83" ht="20.1" customHeight="1" spans="1:29">
      <c r="A83" s="336"/>
      <c r="B83" s="499"/>
      <c r="C83" s="426" t="s">
        <v>117</v>
      </c>
      <c r="D83" s="12" t="s">
        <v>118</v>
      </c>
      <c r="E83" s="12" t="s">
        <v>880</v>
      </c>
      <c r="F83" s="500" t="s">
        <v>881</v>
      </c>
      <c r="G83" s="501">
        <v>3000</v>
      </c>
      <c r="H83" s="501">
        <v>1000</v>
      </c>
      <c r="I83" s="322"/>
      <c r="J83" s="322" t="str">
        <f>IFERROR(IF(VLOOKUP(D83,期货合约要素!$D:$Q,12,0)=0,"",VLOOKUP(D83,期货合约要素!$D:$Q,12,0)),IF(VLOOKUP(D83,期权合约要素!$D:$V,17,0)=0,"",VLOOKUP(D83,期权合约要素!$D:$V,17,0)))</f>
        <v>√</v>
      </c>
      <c r="K83" s="323" t="str">
        <f>IFERROR(IF(VLOOKUP(D83,期货合约要素!$D:$Q,14,0)=0,"",VLOOKUP(D83,期货合约要素!$D:$Q,14,0)),IF(VLOOKUP(D83,期权合约要素!$D:$V,19,0)=0,"",VLOOKUP(D83,期权合约要素!$D:$V,19,0)))</f>
        <v>√</v>
      </c>
      <c r="L83" s="336"/>
      <c r="M83" s="336"/>
      <c r="N83" s="336"/>
      <c r="O83" s="336"/>
      <c r="P83" s="336"/>
      <c r="Q83" s="336"/>
      <c r="R83" s="336"/>
      <c r="S83" s="336"/>
      <c r="T83" s="336"/>
      <c r="U83" s="336"/>
      <c r="V83" s="336"/>
      <c r="W83" s="336"/>
      <c r="X83" s="336"/>
      <c r="Y83" s="336"/>
      <c r="Z83" s="336"/>
      <c r="AA83" s="336"/>
      <c r="AB83" s="336"/>
      <c r="AC83" s="336"/>
    </row>
    <row r="84" ht="20.1" customHeight="1" spans="1:29">
      <c r="A84" s="336"/>
      <c r="B84" s="499"/>
      <c r="C84" s="429"/>
      <c r="D84" s="429"/>
      <c r="E84" s="12" t="s">
        <v>882</v>
      </c>
      <c r="F84" s="500" t="s">
        <v>870</v>
      </c>
      <c r="G84" s="429"/>
      <c r="H84" s="429"/>
      <c r="I84" s="322"/>
      <c r="J84" s="322" t="e">
        <f>IFERROR(IF(VLOOKUP(D84,期货合约要素!$D:$Q,12,0)=0,"",VLOOKUP(D84,期货合约要素!$D:$Q,12,0)),IF(VLOOKUP(D84,期权合约要素!$D:$V,17,0)=0,"",VLOOKUP(D84,期权合约要素!$D:$V,17,0)))</f>
        <v>#N/A</v>
      </c>
      <c r="K84" s="323" t="e">
        <f>IFERROR(IF(VLOOKUP(D84,期货合约要素!$D:$Q,14,0)=0,"",VLOOKUP(D84,期货合约要素!$D:$Q,14,0)),IF(VLOOKUP(D84,期权合约要素!$D:$V,19,0)=0,"",VLOOKUP(D84,期权合约要素!$D:$V,19,0)))</f>
        <v>#N/A</v>
      </c>
      <c r="L84" s="336"/>
      <c r="M84" s="336"/>
      <c r="N84" s="336"/>
      <c r="O84" s="336"/>
      <c r="P84" s="336"/>
      <c r="Q84" s="336"/>
      <c r="R84" s="336"/>
      <c r="S84" s="336"/>
      <c r="T84" s="336"/>
      <c r="U84" s="336"/>
      <c r="V84" s="336"/>
      <c r="W84" s="336"/>
      <c r="X84" s="336"/>
      <c r="Y84" s="336"/>
      <c r="Z84" s="336"/>
      <c r="AA84" s="336"/>
      <c r="AB84" s="336"/>
      <c r="AC84" s="336"/>
    </row>
    <row r="85" ht="20.1" customHeight="1" spans="1:29">
      <c r="A85" s="336"/>
      <c r="B85" s="499"/>
      <c r="C85" s="426" t="s">
        <v>119</v>
      </c>
      <c r="D85" s="12" t="s">
        <v>120</v>
      </c>
      <c r="E85" s="12" t="s">
        <v>872</v>
      </c>
      <c r="F85" s="500">
        <v>5000</v>
      </c>
      <c r="G85" s="501">
        <v>1500</v>
      </c>
      <c r="H85" s="501">
        <v>500</v>
      </c>
      <c r="I85" s="322"/>
      <c r="J85" s="322" t="str">
        <f>IFERROR(IF(VLOOKUP(D85,期货合约要素!$D:$Q,12,0)=0,"",VLOOKUP(D85,期货合约要素!$D:$Q,12,0)),IF(VLOOKUP(D85,期权合约要素!$D:$V,17,0)=0,"",VLOOKUP(D85,期权合约要素!$D:$V,17,0)))</f>
        <v>√</v>
      </c>
      <c r="K85" s="323" t="str">
        <f>IFERROR(IF(VLOOKUP(D85,期货合约要素!$D:$Q,14,0)=0,"",VLOOKUP(D85,期货合约要素!$D:$Q,14,0)),IF(VLOOKUP(D85,期权合约要素!$D:$V,19,0)=0,"",VLOOKUP(D85,期权合约要素!$D:$V,19,0)))</f>
        <v>√</v>
      </c>
      <c r="L85" s="336"/>
      <c r="M85" s="336"/>
      <c r="N85" s="336"/>
      <c r="O85" s="336"/>
      <c r="P85" s="336"/>
      <c r="Q85" s="336"/>
      <c r="R85" s="336"/>
      <c r="S85" s="336"/>
      <c r="T85" s="336"/>
      <c r="U85" s="336"/>
      <c r="V85" s="336"/>
      <c r="W85" s="336"/>
      <c r="X85" s="336"/>
      <c r="Y85" s="336"/>
      <c r="Z85" s="336"/>
      <c r="AA85" s="336"/>
      <c r="AB85" s="336"/>
      <c r="AC85" s="336"/>
    </row>
    <row r="86" ht="20.1" customHeight="1" spans="1:29">
      <c r="A86" s="336"/>
      <c r="B86" s="499"/>
      <c r="C86" s="429"/>
      <c r="D86" s="429"/>
      <c r="E86" s="12" t="s">
        <v>873</v>
      </c>
      <c r="F86" s="500" t="s">
        <v>870</v>
      </c>
      <c r="G86" s="429"/>
      <c r="H86" s="429"/>
      <c r="I86" s="322"/>
      <c r="J86" s="322" t="e">
        <f>IFERROR(IF(VLOOKUP(D86,期货合约要素!$D:$Q,12,0)=0,"",VLOOKUP(D86,期货合约要素!$D:$Q,12,0)),IF(VLOOKUP(D86,期权合约要素!$D:$V,17,0)=0,"",VLOOKUP(D86,期权合约要素!$D:$V,17,0)))</f>
        <v>#N/A</v>
      </c>
      <c r="K86" s="323" t="e">
        <f>IFERROR(IF(VLOOKUP(D86,期货合约要素!$D:$Q,14,0)=0,"",VLOOKUP(D86,期货合约要素!$D:$Q,14,0)),IF(VLOOKUP(D86,期权合约要素!$D:$V,19,0)=0,"",VLOOKUP(D86,期权合约要素!$D:$V,19,0)))</f>
        <v>#N/A</v>
      </c>
      <c r="L86" s="336"/>
      <c r="M86" s="336"/>
      <c r="N86" s="336"/>
      <c r="O86" s="336"/>
      <c r="P86" s="336"/>
      <c r="Q86" s="336"/>
      <c r="R86" s="336"/>
      <c r="S86" s="336"/>
      <c r="T86" s="336"/>
      <c r="U86" s="336"/>
      <c r="V86" s="336"/>
      <c r="W86" s="336"/>
      <c r="X86" s="336"/>
      <c r="Y86" s="336"/>
      <c r="Z86" s="336"/>
      <c r="AA86" s="336"/>
      <c r="AB86" s="336"/>
      <c r="AC86" s="336"/>
    </row>
    <row r="87" ht="20.1" customHeight="1" spans="1:29">
      <c r="A87" s="336"/>
      <c r="B87" s="499"/>
      <c r="C87" s="426" t="s">
        <v>883</v>
      </c>
      <c r="D87" s="12" t="s">
        <v>134</v>
      </c>
      <c r="E87" s="12" t="s">
        <v>880</v>
      </c>
      <c r="F87" s="500" t="s">
        <v>884</v>
      </c>
      <c r="G87" s="501">
        <v>4000</v>
      </c>
      <c r="H87" s="501">
        <v>2500</v>
      </c>
      <c r="I87" s="322"/>
      <c r="J87" s="322" t="str">
        <f>IFERROR(IF(VLOOKUP(D87,期货合约要素!$D:$Q,12,0)=0,"",VLOOKUP(D87,期货合约要素!$D:$Q,12,0)),IF(VLOOKUP(D87,期权合约要素!$D:$V,17,0)=0,"",VLOOKUP(D87,期权合约要素!$D:$V,17,0)))</f>
        <v>√</v>
      </c>
      <c r="K87" s="323" t="str">
        <f>IFERROR(IF(VLOOKUP(D87,期货合约要素!$D:$Q,14,0)=0,"",VLOOKUP(D87,期货合约要素!$D:$Q,14,0)),IF(VLOOKUP(D87,期权合约要素!$D:$V,19,0)=0,"",VLOOKUP(D87,期权合约要素!$D:$V,19,0)))</f>
        <v/>
      </c>
      <c r="L87" s="336"/>
      <c r="M87" s="336"/>
      <c r="N87" s="336"/>
      <c r="O87" s="336"/>
      <c r="P87" s="336"/>
      <c r="Q87" s="336"/>
      <c r="R87" s="336"/>
      <c r="S87" s="336"/>
      <c r="T87" s="336"/>
      <c r="U87" s="336"/>
      <c r="V87" s="336"/>
      <c r="W87" s="336"/>
      <c r="X87" s="336"/>
      <c r="Y87" s="336"/>
      <c r="Z87" s="336"/>
      <c r="AA87" s="336"/>
      <c r="AB87" s="336"/>
      <c r="AC87" s="336"/>
    </row>
    <row r="88" ht="20.1" customHeight="1" spans="1:29">
      <c r="A88" s="336"/>
      <c r="B88" s="499"/>
      <c r="C88" s="429"/>
      <c r="D88" s="429"/>
      <c r="E88" s="12" t="s">
        <v>882</v>
      </c>
      <c r="F88" s="500" t="s">
        <v>885</v>
      </c>
      <c r="G88" s="429"/>
      <c r="H88" s="429"/>
      <c r="I88" s="322"/>
      <c r="J88" s="322" t="e">
        <f>IFERROR(IF(VLOOKUP(D88,期货合约要素!$D:$Q,12,0)=0,"",VLOOKUP(D88,期货合约要素!$D:$Q,12,0)),IF(VLOOKUP(D88,期权合约要素!$D:$V,17,0)=0,"",VLOOKUP(D88,期权合约要素!$D:$V,17,0)))</f>
        <v>#N/A</v>
      </c>
      <c r="K88" s="323" t="e">
        <f>IFERROR(IF(VLOOKUP(D88,期货合约要素!$D:$Q,14,0)=0,"",VLOOKUP(D88,期货合约要素!$D:$Q,14,0)),IF(VLOOKUP(D88,期权合约要素!$D:$V,19,0)=0,"",VLOOKUP(D88,期权合约要素!$D:$V,19,0)))</f>
        <v>#N/A</v>
      </c>
      <c r="L88" s="336"/>
      <c r="M88" s="336"/>
      <c r="N88" s="336"/>
      <c r="O88" s="336"/>
      <c r="P88" s="336"/>
      <c r="Q88" s="336"/>
      <c r="R88" s="336"/>
      <c r="S88" s="336"/>
      <c r="T88" s="336"/>
      <c r="U88" s="336"/>
      <c r="V88" s="336"/>
      <c r="W88" s="336"/>
      <c r="X88" s="336"/>
      <c r="Y88" s="336"/>
      <c r="Z88" s="336"/>
      <c r="AA88" s="336"/>
      <c r="AB88" s="336"/>
      <c r="AC88" s="336"/>
    </row>
    <row r="89" ht="20.1" customHeight="1" spans="1:29">
      <c r="A89" s="336"/>
      <c r="B89" s="499"/>
      <c r="C89" s="491" t="s">
        <v>886</v>
      </c>
      <c r="D89" s="492" t="s">
        <v>136</v>
      </c>
      <c r="E89" s="12" t="s">
        <v>880</v>
      </c>
      <c r="F89" s="500">
        <v>4000</v>
      </c>
      <c r="G89" s="502">
        <v>1000</v>
      </c>
      <c r="H89" s="502" t="s">
        <v>887</v>
      </c>
      <c r="I89" s="322"/>
      <c r="J89" s="322" t="str">
        <f>IFERROR(IF(VLOOKUP(D89,期货合约要素!$D:$Q,12,0)=0,"",VLOOKUP(D89,期货合约要素!$D:$Q,12,0)),IF(VLOOKUP(D89,期权合约要素!$D:$V,17,0)=0,"",VLOOKUP(D89,期权合约要素!$D:$V,17,0)))</f>
        <v>√</v>
      </c>
      <c r="K89" s="323" t="str">
        <f>IFERROR(IF(VLOOKUP(D89,期货合约要素!$D:$Q,14,0)=0,"",VLOOKUP(D89,期货合约要素!$D:$Q,14,0)),IF(VLOOKUP(D89,期权合约要素!$D:$V,19,0)=0,"",VLOOKUP(D89,期权合约要素!$D:$V,19,0)))</f>
        <v/>
      </c>
      <c r="L89" s="336"/>
      <c r="M89" s="336"/>
      <c r="N89" s="336"/>
      <c r="O89" s="336"/>
      <c r="P89" s="336"/>
      <c r="Q89" s="336"/>
      <c r="R89" s="336"/>
      <c r="S89" s="336"/>
      <c r="T89" s="336"/>
      <c r="U89" s="336"/>
      <c r="V89" s="336"/>
      <c r="W89" s="336"/>
      <c r="X89" s="336"/>
      <c r="Y89" s="336"/>
      <c r="Z89" s="336"/>
      <c r="AA89" s="336"/>
      <c r="AB89" s="336"/>
      <c r="AC89" s="336"/>
    </row>
    <row r="90" ht="20.1" customHeight="1" spans="1:29">
      <c r="A90" s="336"/>
      <c r="B90" s="499"/>
      <c r="C90" s="503"/>
      <c r="D90" s="445"/>
      <c r="E90" s="12" t="s">
        <v>882</v>
      </c>
      <c r="F90" s="500" t="s">
        <v>888</v>
      </c>
      <c r="G90" s="504"/>
      <c r="H90" s="504"/>
      <c r="I90" s="322"/>
      <c r="J90" s="322"/>
      <c r="K90" s="323"/>
      <c r="L90" s="336"/>
      <c r="M90" s="336"/>
      <c r="N90" s="336"/>
      <c r="O90" s="336"/>
      <c r="P90" s="336"/>
      <c r="Q90" s="336"/>
      <c r="R90" s="336"/>
      <c r="S90" s="336"/>
      <c r="T90" s="336"/>
      <c r="U90" s="336"/>
      <c r="V90" s="336"/>
      <c r="W90" s="336"/>
      <c r="X90" s="336"/>
      <c r="Y90" s="336"/>
      <c r="Z90" s="336"/>
      <c r="AA90" s="336"/>
      <c r="AB90" s="336"/>
      <c r="AC90" s="336"/>
    </row>
    <row r="91" ht="20.1" customHeight="1" spans="1:29">
      <c r="A91" s="336"/>
      <c r="B91" s="499"/>
      <c r="C91" s="426" t="s">
        <v>125</v>
      </c>
      <c r="D91" s="12" t="s">
        <v>126</v>
      </c>
      <c r="E91" s="12" t="s">
        <v>880</v>
      </c>
      <c r="F91" s="500" t="s">
        <v>884</v>
      </c>
      <c r="G91" s="501">
        <v>4000</v>
      </c>
      <c r="H91" s="501">
        <v>2500</v>
      </c>
      <c r="I91" s="322"/>
      <c r="J91" s="324" t="str">
        <f>IFERROR(IF(VLOOKUP(D91,期货合约要素!$D:$Q,12,0)=0,"",VLOOKUP(D91,期货合约要素!$D:$Q,12,0)),IF(VLOOKUP(D91,期权合约要素!$D:$V,17,0)=0,"",VLOOKUP(D91,期权合约要素!$D:$V,17,0)))</f>
        <v>√</v>
      </c>
      <c r="K91" s="323" t="str">
        <f>IFERROR(IF(VLOOKUP(D91,期货合约要素!$D:$Q,14,0)=0,"",VLOOKUP(D91,期货合约要素!$D:$Q,14,0)),IF(VLOOKUP(D91,期权合约要素!$D:$V,19,0)=0,"",VLOOKUP(D91,期权合约要素!$D:$V,19,0)))</f>
        <v/>
      </c>
      <c r="L91" s="336"/>
      <c r="M91" s="336"/>
      <c r="N91" s="336"/>
      <c r="O91" s="336"/>
      <c r="P91" s="336"/>
      <c r="Q91" s="336"/>
      <c r="R91" s="336"/>
      <c r="S91" s="336"/>
      <c r="T91" s="336"/>
      <c r="U91" s="336"/>
      <c r="V91" s="336"/>
      <c r="W91" s="336"/>
      <c r="X91" s="336"/>
      <c r="Y91" s="336"/>
      <c r="Z91" s="336"/>
      <c r="AA91" s="336"/>
      <c r="AB91" s="336"/>
      <c r="AC91" s="336"/>
    </row>
    <row r="92" ht="20.1" customHeight="1" spans="1:29">
      <c r="A92" s="336"/>
      <c r="B92" s="499"/>
      <c r="C92" s="429"/>
      <c r="D92" s="429"/>
      <c r="E92" s="12" t="s">
        <v>882</v>
      </c>
      <c r="F92" s="500" t="s">
        <v>885</v>
      </c>
      <c r="G92" s="429"/>
      <c r="H92" s="429"/>
      <c r="I92" s="322"/>
      <c r="J92" s="324" t="e">
        <f>IFERROR(IF(VLOOKUP(D92,期货合约要素!$D:$Q,12,0)=0,"",VLOOKUP(D92,期货合约要素!$D:$Q,12,0)),IF(VLOOKUP(D92,期权合约要素!$D:$V,17,0)=0,"",VLOOKUP(D92,期权合约要素!$D:$V,17,0)))</f>
        <v>#N/A</v>
      </c>
      <c r="K92" s="323" t="e">
        <f>IFERROR(IF(VLOOKUP(D92,期货合约要素!$D:$Q,14,0)=0,"",VLOOKUP(D92,期货合约要素!$D:$Q,14,0)),IF(VLOOKUP(D92,期权合约要素!$D:$V,19,0)=0,"",VLOOKUP(D92,期权合约要素!$D:$V,19,0)))</f>
        <v>#N/A</v>
      </c>
      <c r="L92" s="336"/>
      <c r="M92" s="336"/>
      <c r="N92" s="336"/>
      <c r="O92" s="336"/>
      <c r="P92" s="336"/>
      <c r="Q92" s="336"/>
      <c r="R92" s="336"/>
      <c r="S92" s="336"/>
      <c r="T92" s="336"/>
      <c r="U92" s="336"/>
      <c r="V92" s="336"/>
      <c r="W92" s="336"/>
      <c r="X92" s="336"/>
      <c r="Y92" s="336"/>
      <c r="Z92" s="336"/>
      <c r="AA92" s="336"/>
      <c r="AB92" s="336"/>
      <c r="AC92" s="336"/>
    </row>
    <row r="93" ht="20.1" customHeight="1" spans="1:29">
      <c r="A93" s="336"/>
      <c r="B93" s="499"/>
      <c r="C93" s="491" t="s">
        <v>127</v>
      </c>
      <c r="D93" s="492" t="s">
        <v>128</v>
      </c>
      <c r="E93" s="12" t="s">
        <v>880</v>
      </c>
      <c r="F93" s="500">
        <v>4000</v>
      </c>
      <c r="G93" s="502">
        <v>1000</v>
      </c>
      <c r="H93" s="502" t="s">
        <v>887</v>
      </c>
      <c r="I93" s="322"/>
      <c r="J93" s="324" t="str">
        <f>IFERROR(IF(VLOOKUP(D93,期货合约要素!$D:$Q,12,0)=0,"",VLOOKUP(D93,期货合约要素!$D:$Q,12,0)),IF(VLOOKUP(D93,期权合约要素!$D:$V,17,0)=0,"",VLOOKUP(D93,期权合约要素!$D:$V,17,0)))</f>
        <v>√</v>
      </c>
      <c r="K93" s="323" t="str">
        <f>IFERROR(IF(VLOOKUP(D93,期货合约要素!$D:$Q,14,0)=0,"",VLOOKUP(D93,期货合约要素!$D:$Q,14,0)),IF(VLOOKUP(D93,期权合约要素!$D:$V,19,0)=0,"",VLOOKUP(D93,期权合约要素!$D:$V,19,0)))</f>
        <v/>
      </c>
      <c r="L93" s="336"/>
      <c r="M93" s="336"/>
      <c r="N93" s="336"/>
      <c r="O93" s="336"/>
      <c r="P93" s="336"/>
      <c r="Q93" s="336"/>
      <c r="R93" s="336"/>
      <c r="S93" s="336"/>
      <c r="T93" s="336"/>
      <c r="U93" s="336"/>
      <c r="V93" s="336"/>
      <c r="W93" s="336"/>
      <c r="X93" s="336"/>
      <c r="Y93" s="336"/>
      <c r="Z93" s="336"/>
      <c r="AA93" s="336"/>
      <c r="AB93" s="336"/>
      <c r="AC93" s="336"/>
    </row>
    <row r="94" ht="20.1" customHeight="1" spans="1:29">
      <c r="A94" s="336"/>
      <c r="B94" s="499"/>
      <c r="C94" s="503"/>
      <c r="D94" s="445"/>
      <c r="E94" s="12" t="s">
        <v>882</v>
      </c>
      <c r="F94" s="500" t="s">
        <v>888</v>
      </c>
      <c r="G94" s="504"/>
      <c r="H94" s="504"/>
      <c r="I94" s="322"/>
      <c r="J94" s="324"/>
      <c r="K94" s="323"/>
      <c r="L94" s="336"/>
      <c r="M94" s="336"/>
      <c r="N94" s="336"/>
      <c r="O94" s="336"/>
      <c r="P94" s="336"/>
      <c r="Q94" s="336"/>
      <c r="R94" s="336"/>
      <c r="S94" s="336"/>
      <c r="T94" s="336"/>
      <c r="U94" s="336"/>
      <c r="V94" s="336"/>
      <c r="W94" s="336"/>
      <c r="X94" s="336"/>
      <c r="Y94" s="336"/>
      <c r="Z94" s="336"/>
      <c r="AA94" s="336"/>
      <c r="AB94" s="336"/>
      <c r="AC94" s="336"/>
    </row>
    <row r="95" ht="20.1" customHeight="1" spans="1:29">
      <c r="A95" s="336"/>
      <c r="B95" s="499"/>
      <c r="C95" s="426" t="s">
        <v>141</v>
      </c>
      <c r="D95" s="12" t="s">
        <v>142</v>
      </c>
      <c r="E95" s="12" t="s">
        <v>868</v>
      </c>
      <c r="F95" s="500">
        <v>5000</v>
      </c>
      <c r="G95" s="501">
        <v>300</v>
      </c>
      <c r="H95" s="501">
        <v>100</v>
      </c>
      <c r="I95" s="322"/>
      <c r="J95" s="322" t="str">
        <f>IFERROR(IF(VLOOKUP(D95,期货合约要素!$D:$Q,12,0)=0,"",VLOOKUP(D95,期货合约要素!$D:$Q,12,0)),IF(VLOOKUP(D95,期权合约要素!$D:$V,17,0)=0,"",VLOOKUP(D95,期权合约要素!$D:$V,17,0)))</f>
        <v/>
      </c>
      <c r="K95" s="323" t="str">
        <f>IFERROR(IF(VLOOKUP(D95,期货合约要素!$D:$Q,14,0)=0,"",VLOOKUP(D95,期货合约要素!$D:$Q,14,0)),IF(VLOOKUP(D95,期权合约要素!$D:$V,19,0)=0,"",VLOOKUP(D95,期权合约要素!$D:$V,19,0)))</f>
        <v/>
      </c>
      <c r="L95" s="336"/>
      <c r="M95" s="336"/>
      <c r="N95" s="336"/>
      <c r="O95" s="336"/>
      <c r="P95" s="336"/>
      <c r="Q95" s="336"/>
      <c r="R95" s="336"/>
      <c r="S95" s="336"/>
      <c r="T95" s="336"/>
      <c r="U95" s="336"/>
      <c r="V95" s="336"/>
      <c r="W95" s="336"/>
      <c r="X95" s="336"/>
      <c r="Y95" s="336"/>
      <c r="Z95" s="336"/>
      <c r="AA95" s="336"/>
      <c r="AB95" s="336"/>
      <c r="AC95" s="336"/>
    </row>
    <row r="96" ht="20.1" customHeight="1" spans="1:29">
      <c r="A96" s="336"/>
      <c r="B96" s="499"/>
      <c r="C96" s="429"/>
      <c r="D96" s="429"/>
      <c r="E96" s="12" t="s">
        <v>869</v>
      </c>
      <c r="F96" s="500" t="s">
        <v>879</v>
      </c>
      <c r="G96" s="429"/>
      <c r="H96" s="429"/>
      <c r="I96" s="322"/>
      <c r="J96" s="322" t="e">
        <f>IFERROR(IF(VLOOKUP(D96,期货合约要素!$D:$Q,12,0)=0,"",VLOOKUP(D96,期货合约要素!$D:$Q,12,0)),IF(VLOOKUP(D96,期权合约要素!$D:$V,17,0)=0,"",VLOOKUP(D96,期权合约要素!$D:$V,17,0)))</f>
        <v>#N/A</v>
      </c>
      <c r="K96" s="323" t="e">
        <f>IFERROR(IF(VLOOKUP(D96,期货合约要素!$D:$Q,14,0)=0,"",VLOOKUP(D96,期货合约要素!$D:$Q,14,0)),IF(VLOOKUP(D96,期权合约要素!$D:$V,19,0)=0,"",VLOOKUP(D96,期权合约要素!$D:$V,19,0)))</f>
        <v>#N/A</v>
      </c>
      <c r="L96" s="336"/>
      <c r="M96" s="336"/>
      <c r="N96" s="336"/>
      <c r="O96" s="336"/>
      <c r="P96" s="336"/>
      <c r="Q96" s="336"/>
      <c r="R96" s="336"/>
      <c r="S96" s="336"/>
      <c r="T96" s="336"/>
      <c r="U96" s="336"/>
      <c r="V96" s="336"/>
      <c r="W96" s="336"/>
      <c r="X96" s="336"/>
      <c r="Y96" s="336"/>
      <c r="Z96" s="336"/>
      <c r="AA96" s="336"/>
      <c r="AB96" s="336"/>
      <c r="AC96" s="336"/>
    </row>
    <row r="97" ht="20.1" customHeight="1" spans="1:29">
      <c r="A97" s="336"/>
      <c r="B97" s="499"/>
      <c r="C97" s="426" t="s">
        <v>143</v>
      </c>
      <c r="D97" s="12" t="s">
        <v>144</v>
      </c>
      <c r="E97" s="12" t="s">
        <v>889</v>
      </c>
      <c r="F97" s="500">
        <v>8000</v>
      </c>
      <c r="G97" s="501">
        <v>500</v>
      </c>
      <c r="H97" s="501">
        <v>200</v>
      </c>
      <c r="I97" s="322"/>
      <c r="J97" s="322" t="str">
        <f>IFERROR(IF(VLOOKUP(D97,期货合约要素!$D:$Q,12,0)=0,"",VLOOKUP(D97,期货合约要素!$D:$Q,12,0)),IF(VLOOKUP(D97,期权合约要素!$D:$V,17,0)=0,"",VLOOKUP(D97,期权合约要素!$D:$V,17,0)))</f>
        <v/>
      </c>
      <c r="K97" s="323" t="str">
        <f>IFERROR(IF(VLOOKUP(D97,期货合约要素!$D:$Q,14,0)=0,"",VLOOKUP(D97,期货合约要素!$D:$Q,14,0)),IF(VLOOKUP(D97,期权合约要素!$D:$V,19,0)=0,"",VLOOKUP(D97,期权合约要素!$D:$V,19,0)))</f>
        <v/>
      </c>
      <c r="L97" s="336"/>
      <c r="M97" s="336"/>
      <c r="N97" s="336"/>
      <c r="O97" s="336"/>
      <c r="P97" s="336"/>
      <c r="Q97" s="336"/>
      <c r="R97" s="336"/>
      <c r="S97" s="336"/>
      <c r="T97" s="336"/>
      <c r="U97" s="336"/>
      <c r="V97" s="336"/>
      <c r="W97" s="336"/>
      <c r="X97" s="336"/>
      <c r="Y97" s="336"/>
      <c r="Z97" s="336"/>
      <c r="AA97" s="336"/>
      <c r="AB97" s="336"/>
      <c r="AC97" s="336"/>
    </row>
    <row r="98" ht="20.1" customHeight="1" spans="1:29">
      <c r="A98" s="336"/>
      <c r="B98" s="499"/>
      <c r="C98" s="429"/>
      <c r="D98" s="429"/>
      <c r="E98" s="12" t="s">
        <v>890</v>
      </c>
      <c r="F98" s="500" t="s">
        <v>879</v>
      </c>
      <c r="G98" s="429"/>
      <c r="H98" s="429"/>
      <c r="I98" s="322"/>
      <c r="J98" s="322" t="e">
        <f>IFERROR(IF(VLOOKUP(D98,期货合约要素!$D:$Q,12,0)=0,"",VLOOKUP(D98,期货合约要素!$D:$Q,12,0)),IF(VLOOKUP(D98,期权合约要素!$D:$V,17,0)=0,"",VLOOKUP(D98,期权合约要素!$D:$V,17,0)))</f>
        <v>#N/A</v>
      </c>
      <c r="K98" s="323" t="e">
        <f>IFERROR(IF(VLOOKUP(D98,期货合约要素!$D:$Q,14,0)=0,"",VLOOKUP(D98,期货合约要素!$D:$Q,14,0)),IF(VLOOKUP(D98,期权合约要素!$D:$V,19,0)=0,"",VLOOKUP(D98,期权合约要素!$D:$V,19,0)))</f>
        <v>#N/A</v>
      </c>
      <c r="L98" s="336"/>
      <c r="M98" s="336"/>
      <c r="N98" s="336"/>
      <c r="O98" s="336"/>
      <c r="P98" s="336"/>
      <c r="Q98" s="336"/>
      <c r="R98" s="336"/>
      <c r="S98" s="336"/>
      <c r="T98" s="336"/>
      <c r="U98" s="336"/>
      <c r="V98" s="336"/>
      <c r="W98" s="336"/>
      <c r="X98" s="336"/>
      <c r="Y98" s="336"/>
      <c r="Z98" s="336"/>
      <c r="AA98" s="336"/>
      <c r="AB98" s="336"/>
      <c r="AC98" s="336"/>
    </row>
    <row r="99" ht="20.1" customHeight="1" spans="1:29">
      <c r="A99" s="336"/>
      <c r="B99" s="499"/>
      <c r="C99" s="426" t="s">
        <v>159</v>
      </c>
      <c r="D99" s="12" t="s">
        <v>160</v>
      </c>
      <c r="E99" s="12" t="s">
        <v>891</v>
      </c>
      <c r="F99" s="500">
        <v>30000</v>
      </c>
      <c r="G99" s="501">
        <v>800</v>
      </c>
      <c r="H99" s="501">
        <v>200</v>
      </c>
      <c r="I99" s="322"/>
      <c r="J99" s="322" t="str">
        <f>IFERROR(IF(VLOOKUP(D99,期货合约要素!$D:$Q,12,0)=0,"",VLOOKUP(D99,期货合约要素!$D:$Q,12,0)),IF(VLOOKUP(D99,期权合约要素!$D:$V,17,0)=0,"",VLOOKUP(D99,期权合约要素!$D:$V,17,0)))</f>
        <v/>
      </c>
      <c r="K99" s="323" t="str">
        <f>IFERROR(IF(VLOOKUP(D99,期货合约要素!$D:$Q,14,0)=0,"",VLOOKUP(D99,期货合约要素!$D:$Q,14,0)),IF(VLOOKUP(D99,期权合约要素!$D:$V,19,0)=0,"",VLOOKUP(D99,期权合约要素!$D:$V,19,0)))</f>
        <v/>
      </c>
      <c r="L99" s="336"/>
      <c r="M99" s="336"/>
      <c r="N99" s="336"/>
      <c r="O99" s="336"/>
      <c r="P99" s="336"/>
      <c r="Q99" s="336"/>
      <c r="R99" s="336"/>
      <c r="S99" s="336"/>
      <c r="T99" s="336"/>
      <c r="U99" s="336"/>
      <c r="V99" s="336"/>
      <c r="W99" s="336"/>
      <c r="X99" s="336"/>
      <c r="Y99" s="336"/>
      <c r="Z99" s="336"/>
      <c r="AA99" s="336"/>
      <c r="AB99" s="336"/>
      <c r="AC99" s="336"/>
    </row>
    <row r="100" ht="20.1" customHeight="1" spans="1:29">
      <c r="A100" s="336"/>
      <c r="B100" s="499"/>
      <c r="C100" s="429"/>
      <c r="D100" s="429"/>
      <c r="E100" s="12" t="s">
        <v>892</v>
      </c>
      <c r="F100" s="500" t="s">
        <v>879</v>
      </c>
      <c r="G100" s="429"/>
      <c r="H100" s="429"/>
      <c r="I100" s="322"/>
      <c r="J100" s="322" t="e">
        <f>IFERROR(IF(VLOOKUP(D100,期货合约要素!$D:$Q,12,0)=0,"",VLOOKUP(D100,期货合约要素!$D:$Q,12,0)),IF(VLOOKUP(D100,期权合约要素!$D:$V,17,0)=0,"",VLOOKUP(D100,期权合约要素!$D:$V,17,0)))</f>
        <v>#N/A</v>
      </c>
      <c r="K100" s="323" t="e">
        <f>IFERROR(IF(VLOOKUP(D100,期货合约要素!$D:$Q,14,0)=0,"",VLOOKUP(D100,期货合约要素!$D:$Q,14,0)),IF(VLOOKUP(D100,期权合约要素!$D:$V,19,0)=0,"",VLOOKUP(D100,期权合约要素!$D:$V,19,0)))</f>
        <v>#N/A</v>
      </c>
      <c r="L100" s="336"/>
      <c r="M100" s="336"/>
      <c r="N100" s="336"/>
      <c r="O100" s="336"/>
      <c r="P100" s="336"/>
      <c r="Q100" s="336"/>
      <c r="R100" s="336"/>
      <c r="S100" s="336"/>
      <c r="T100" s="336"/>
      <c r="U100" s="336"/>
      <c r="V100" s="336"/>
      <c r="W100" s="336"/>
      <c r="X100" s="336"/>
      <c r="Y100" s="336"/>
      <c r="Z100" s="336"/>
      <c r="AA100" s="336"/>
      <c r="AB100" s="336"/>
      <c r="AC100" s="336"/>
    </row>
    <row r="101" ht="20.1" customHeight="1" spans="1:29">
      <c r="A101" s="336"/>
      <c r="B101" s="499"/>
      <c r="C101" s="426" t="s">
        <v>157</v>
      </c>
      <c r="D101" s="12" t="s">
        <v>158</v>
      </c>
      <c r="E101" s="12" t="s">
        <v>893</v>
      </c>
      <c r="F101" s="500">
        <v>500</v>
      </c>
      <c r="G101" s="501">
        <v>100</v>
      </c>
      <c r="H101" s="501">
        <v>20</v>
      </c>
      <c r="I101" s="322"/>
      <c r="J101" s="322" t="str">
        <f>IFERROR(IF(VLOOKUP(D101,期货合约要素!$D:$Q,12,0)=0,"",VLOOKUP(D101,期货合约要素!$D:$Q,12,0)),IF(VLOOKUP(D101,期权合约要素!$D:$V,17,0)=0,"",VLOOKUP(D101,期权合约要素!$D:$V,17,0)))</f>
        <v/>
      </c>
      <c r="K101" s="323" t="str">
        <f>IFERROR(IF(VLOOKUP(D101,期货合约要素!$D:$Q,14,0)=0,"",VLOOKUP(D101,期货合约要素!$D:$Q,14,0)),IF(VLOOKUP(D101,期权合约要素!$D:$V,19,0)=0,"",VLOOKUP(D101,期权合约要素!$D:$V,19,0)))</f>
        <v/>
      </c>
      <c r="L101" s="336"/>
      <c r="M101" s="336"/>
      <c r="N101" s="336"/>
      <c r="O101" s="336"/>
      <c r="P101" s="336"/>
      <c r="Q101" s="336"/>
      <c r="R101" s="336"/>
      <c r="S101" s="336"/>
      <c r="T101" s="336"/>
      <c r="U101" s="336"/>
      <c r="V101" s="336"/>
      <c r="W101" s="336"/>
      <c r="X101" s="336"/>
      <c r="Y101" s="336"/>
      <c r="Z101" s="336"/>
      <c r="AA101" s="336"/>
      <c r="AB101" s="336"/>
      <c r="AC101" s="336"/>
    </row>
    <row r="102" ht="20.1" customHeight="1" spans="1:29">
      <c r="A102" s="336"/>
      <c r="B102" s="499"/>
      <c r="C102" s="429"/>
      <c r="D102" s="429"/>
      <c r="E102" s="12" t="s">
        <v>894</v>
      </c>
      <c r="F102" s="500" t="s">
        <v>879</v>
      </c>
      <c r="G102" s="429"/>
      <c r="H102" s="429"/>
      <c r="I102" s="322"/>
      <c r="J102" s="322" t="e">
        <f>IFERROR(IF(VLOOKUP(D102,期货合约要素!$D:$Q,12,0)=0,"",VLOOKUP(D102,期货合约要素!$D:$Q,12,0)),IF(VLOOKUP(D102,期权合约要素!$D:$V,17,0)=0,"",VLOOKUP(D102,期权合约要素!$D:$V,17,0)))</f>
        <v>#N/A</v>
      </c>
      <c r="K102" s="323" t="e">
        <f>IFERROR(IF(VLOOKUP(D102,期货合约要素!$D:$Q,14,0)=0,"",VLOOKUP(D102,期货合约要素!$D:$Q,14,0)),IF(VLOOKUP(D102,期权合约要素!$D:$V,19,0)=0,"",VLOOKUP(D102,期权合约要素!$D:$V,19,0)))</f>
        <v>#N/A</v>
      </c>
      <c r="L102" s="336"/>
      <c r="M102" s="336"/>
      <c r="N102" s="336"/>
      <c r="O102" s="336"/>
      <c r="P102" s="336"/>
      <c r="Q102" s="336"/>
      <c r="R102" s="336"/>
      <c r="S102" s="336"/>
      <c r="T102" s="336"/>
      <c r="U102" s="336"/>
      <c r="V102" s="336"/>
      <c r="W102" s="336"/>
      <c r="X102" s="336"/>
      <c r="Y102" s="336"/>
      <c r="Z102" s="336"/>
      <c r="AA102" s="336"/>
      <c r="AB102" s="336"/>
      <c r="AC102" s="336"/>
    </row>
    <row r="103" ht="20.1" customHeight="1" spans="1:29">
      <c r="A103" s="336"/>
      <c r="B103" s="499"/>
      <c r="C103" s="426" t="s">
        <v>161</v>
      </c>
      <c r="D103" s="12" t="s">
        <v>162</v>
      </c>
      <c r="E103" s="12" t="s">
        <v>895</v>
      </c>
      <c r="F103" s="500">
        <v>1500</v>
      </c>
      <c r="G103" s="501">
        <v>300</v>
      </c>
      <c r="H103" s="501">
        <v>60</v>
      </c>
      <c r="I103" s="322"/>
      <c r="J103" s="322" t="str">
        <f>IFERROR(IF(VLOOKUP(D103,期货合约要素!$D:$Q,12,0)=0,"",VLOOKUP(D103,期货合约要素!$D:$Q,12,0)),IF(VLOOKUP(D103,期权合约要素!$D:$V,17,0)=0,"",VLOOKUP(D103,期权合约要素!$D:$V,17,0)))</f>
        <v/>
      </c>
      <c r="K103" s="323" t="str">
        <f>IFERROR(IF(VLOOKUP(D103,期货合约要素!$D:$Q,14,0)=0,"",VLOOKUP(D103,期货合约要素!$D:$Q,14,0)),IF(VLOOKUP(D103,期权合约要素!$D:$V,19,0)=0,"",VLOOKUP(D103,期权合约要素!$D:$V,19,0)))</f>
        <v/>
      </c>
      <c r="L103" s="336"/>
      <c r="M103" s="336"/>
      <c r="N103" s="336"/>
      <c r="O103" s="336"/>
      <c r="P103" s="336"/>
      <c r="Q103" s="336"/>
      <c r="R103" s="336"/>
      <c r="S103" s="336"/>
      <c r="T103" s="336"/>
      <c r="U103" s="336"/>
      <c r="V103" s="336"/>
      <c r="W103" s="336"/>
      <c r="X103" s="336"/>
      <c r="Y103" s="336"/>
      <c r="Z103" s="336"/>
      <c r="AA103" s="336"/>
      <c r="AB103" s="336"/>
      <c r="AC103" s="336"/>
    </row>
    <row r="104" ht="20.1" customHeight="1" spans="1:29">
      <c r="A104" s="336"/>
      <c r="B104" s="499"/>
      <c r="C104" s="429"/>
      <c r="D104" s="429"/>
      <c r="E104" s="12" t="s">
        <v>896</v>
      </c>
      <c r="F104" s="500" t="s">
        <v>870</v>
      </c>
      <c r="G104" s="429"/>
      <c r="H104" s="429"/>
      <c r="I104" s="322"/>
      <c r="J104" s="322" t="e">
        <f>IFERROR(IF(VLOOKUP(D104,期货合约要素!$D:$Q,12,0)=0,"",VLOOKUP(D104,期货合约要素!$D:$Q,12,0)),IF(VLOOKUP(D104,期权合约要素!$D:$V,17,0)=0,"",VLOOKUP(D104,期权合约要素!$D:$V,17,0)))</f>
        <v>#N/A</v>
      </c>
      <c r="K104" s="323" t="e">
        <f>IFERROR(IF(VLOOKUP(D104,期货合约要素!$D:$Q,14,0)=0,"",VLOOKUP(D104,期货合约要素!$D:$Q,14,0)),IF(VLOOKUP(D104,期权合约要素!$D:$V,19,0)=0,"",VLOOKUP(D104,期权合约要素!$D:$V,19,0)))</f>
        <v>#N/A</v>
      </c>
      <c r="L104" s="336"/>
      <c r="M104" s="336"/>
      <c r="N104" s="336"/>
      <c r="O104" s="336"/>
      <c r="P104" s="336"/>
      <c r="Q104" s="336"/>
      <c r="R104" s="336"/>
      <c r="S104" s="336"/>
      <c r="T104" s="336"/>
      <c r="U104" s="336"/>
      <c r="V104" s="336"/>
      <c r="W104" s="336"/>
      <c r="X104" s="336"/>
      <c r="Y104" s="336"/>
      <c r="Z104" s="336"/>
      <c r="AA104" s="336"/>
      <c r="AB104" s="336"/>
      <c r="AC104" s="336"/>
    </row>
    <row r="105" ht="20.1" customHeight="1" spans="1:29">
      <c r="A105" s="336"/>
      <c r="B105" s="499"/>
      <c r="C105" s="426" t="s">
        <v>151</v>
      </c>
      <c r="D105" s="12" t="s">
        <v>152</v>
      </c>
      <c r="E105" s="12" t="s">
        <v>897</v>
      </c>
      <c r="F105" s="500">
        <v>2000</v>
      </c>
      <c r="G105" s="501">
        <v>400</v>
      </c>
      <c r="H105" s="501">
        <v>200</v>
      </c>
      <c r="I105" s="322"/>
      <c r="J105" s="322" t="str">
        <f>IFERROR(IF(VLOOKUP(D105,期货合约要素!$D:$Q,12,0)=0,"",VLOOKUP(D105,期货合约要素!$D:$Q,12,0)),IF(VLOOKUP(D105,期权合约要素!$D:$V,17,0)=0,"",VLOOKUP(D105,期权合约要素!$D:$V,17,0)))</f>
        <v/>
      </c>
      <c r="K105" s="323" t="str">
        <f>IFERROR(IF(VLOOKUP(D105,期货合约要素!$D:$Q,14,0)=0,"",VLOOKUP(D105,期货合约要素!$D:$Q,14,0)),IF(VLOOKUP(D105,期权合约要素!$D:$V,19,0)=0,"",VLOOKUP(D105,期权合约要素!$D:$V,19,0)))</f>
        <v/>
      </c>
      <c r="L105" s="336"/>
      <c r="M105" s="336"/>
      <c r="N105" s="336"/>
      <c r="O105" s="336"/>
      <c r="P105" s="336"/>
      <c r="Q105" s="336"/>
      <c r="R105" s="336"/>
      <c r="S105" s="336"/>
      <c r="T105" s="336"/>
      <c r="U105" s="336"/>
      <c r="V105" s="336"/>
      <c r="W105" s="336"/>
      <c r="X105" s="336"/>
      <c r="Y105" s="336"/>
      <c r="Z105" s="336"/>
      <c r="AA105" s="336"/>
      <c r="AB105" s="336"/>
      <c r="AC105" s="336"/>
    </row>
    <row r="106" ht="20.1" customHeight="1" spans="1:29">
      <c r="A106" s="336"/>
      <c r="B106" s="499"/>
      <c r="C106" s="429"/>
      <c r="D106" s="429"/>
      <c r="E106" s="12" t="s">
        <v>898</v>
      </c>
      <c r="F106" s="500" t="s">
        <v>870</v>
      </c>
      <c r="G106" s="429"/>
      <c r="H106" s="429"/>
      <c r="I106" s="322"/>
      <c r="J106" s="322" t="e">
        <f>IFERROR(IF(VLOOKUP(D106,期货合约要素!$D:$Q,12,0)=0,"",VLOOKUP(D106,期货合约要素!$D:$Q,12,0)),IF(VLOOKUP(D106,期权合约要素!$D:$V,17,0)=0,"",VLOOKUP(D106,期权合约要素!$D:$V,17,0)))</f>
        <v>#N/A</v>
      </c>
      <c r="K106" s="323" t="e">
        <f>IFERROR(IF(VLOOKUP(D106,期货合约要素!$D:$Q,14,0)=0,"",VLOOKUP(D106,期货合约要素!$D:$Q,14,0)),IF(VLOOKUP(D106,期权合约要素!$D:$V,19,0)=0,"",VLOOKUP(D106,期权合约要素!$D:$V,19,0)))</f>
        <v>#N/A</v>
      </c>
      <c r="L106" s="336"/>
      <c r="M106" s="336"/>
      <c r="N106" s="336"/>
      <c r="O106" s="336"/>
      <c r="P106" s="336"/>
      <c r="Q106" s="336"/>
      <c r="R106" s="336"/>
      <c r="S106" s="336"/>
      <c r="T106" s="336"/>
      <c r="U106" s="336"/>
      <c r="V106" s="336"/>
      <c r="W106" s="336"/>
      <c r="X106" s="336"/>
      <c r="Y106" s="336"/>
      <c r="Z106" s="336"/>
      <c r="AA106" s="336"/>
      <c r="AB106" s="336"/>
      <c r="AC106" s="336"/>
    </row>
    <row r="107" ht="20.1" customHeight="1" spans="1:29">
      <c r="A107" s="336"/>
      <c r="B107" s="499"/>
      <c r="C107" s="426" t="s">
        <v>129</v>
      </c>
      <c r="D107" s="12" t="s">
        <v>130</v>
      </c>
      <c r="E107" s="12" t="s">
        <v>880</v>
      </c>
      <c r="F107" s="500" t="s">
        <v>884</v>
      </c>
      <c r="G107" s="501">
        <v>4000</v>
      </c>
      <c r="H107" s="501">
        <v>2500</v>
      </c>
      <c r="I107" s="322"/>
      <c r="J107" s="322" t="str">
        <f>IFERROR(IF(VLOOKUP(D107,期货合约要素!$D:$Q,12,0)=0,"",VLOOKUP(D107,期货合约要素!$D:$Q,12,0)),IF(VLOOKUP(D107,期权合约要素!$D:$V,17,0)=0,"",VLOOKUP(D107,期权合约要素!$D:$V,17,0)))</f>
        <v>√</v>
      </c>
      <c r="K107" s="323" t="str">
        <f>IFERROR(IF(VLOOKUP(D107,期货合约要素!$D:$Q,14,0)=0,"",VLOOKUP(D107,期货合约要素!$D:$Q,14,0)),IF(VLOOKUP(D107,期权合约要素!$D:$V,19,0)=0,"",VLOOKUP(D107,期权合约要素!$D:$V,19,0)))</f>
        <v/>
      </c>
      <c r="L107" s="336"/>
      <c r="M107" s="336"/>
      <c r="N107" s="336"/>
      <c r="O107" s="336"/>
      <c r="P107" s="336"/>
      <c r="Q107" s="336"/>
      <c r="R107" s="336"/>
      <c r="S107" s="336"/>
      <c r="T107" s="336"/>
      <c r="U107" s="336"/>
      <c r="V107" s="336"/>
      <c r="W107" s="336"/>
      <c r="X107" s="336"/>
      <c r="Y107" s="336"/>
      <c r="Z107" s="336"/>
      <c r="AA107" s="336"/>
      <c r="AB107" s="336"/>
      <c r="AC107" s="336"/>
    </row>
    <row r="108" ht="20.1" customHeight="1" spans="1:29">
      <c r="A108" s="336"/>
      <c r="B108" s="499"/>
      <c r="C108" s="429"/>
      <c r="D108" s="429"/>
      <c r="E108" s="12" t="s">
        <v>882</v>
      </c>
      <c r="F108" s="500" t="s">
        <v>885</v>
      </c>
      <c r="G108" s="429"/>
      <c r="H108" s="429"/>
      <c r="I108" s="322"/>
      <c r="J108" s="322" t="e">
        <f>IFERROR(IF(VLOOKUP(D108,期货合约要素!$D:$Q,12,0)=0,"",VLOOKUP(D108,期货合约要素!$D:$Q,12,0)),IF(VLOOKUP(D108,期权合约要素!$D:$V,17,0)=0,"",VLOOKUP(D108,期权合约要素!$D:$V,17,0)))</f>
        <v>#N/A</v>
      </c>
      <c r="K108" s="323" t="e">
        <f>IFERROR(IF(VLOOKUP(D108,期货合约要素!$D:$Q,14,0)=0,"",VLOOKUP(D108,期货合约要素!$D:$Q,14,0)),IF(VLOOKUP(D108,期权合约要素!$D:$V,19,0)=0,"",VLOOKUP(D108,期权合约要素!$D:$V,19,0)))</f>
        <v>#N/A</v>
      </c>
      <c r="L108" s="336"/>
      <c r="M108" s="336"/>
      <c r="N108" s="336"/>
      <c r="O108" s="336"/>
      <c r="P108" s="336"/>
      <c r="Q108" s="336"/>
      <c r="R108" s="336"/>
      <c r="S108" s="336"/>
      <c r="T108" s="336"/>
      <c r="U108" s="336"/>
      <c r="V108" s="336"/>
      <c r="W108" s="336"/>
      <c r="X108" s="336"/>
      <c r="Y108" s="336"/>
      <c r="Z108" s="336"/>
      <c r="AA108" s="336"/>
      <c r="AB108" s="336"/>
      <c r="AC108" s="336"/>
    </row>
    <row r="109" ht="20.1" customHeight="1" spans="1:29">
      <c r="A109" s="336"/>
      <c r="B109" s="499"/>
      <c r="C109" s="491" t="s">
        <v>131</v>
      </c>
      <c r="D109" s="492" t="s">
        <v>132</v>
      </c>
      <c r="E109" s="12" t="s">
        <v>880</v>
      </c>
      <c r="F109" s="500">
        <v>4000</v>
      </c>
      <c r="G109" s="502">
        <v>1000</v>
      </c>
      <c r="H109" s="502" t="s">
        <v>887</v>
      </c>
      <c r="I109" s="322"/>
      <c r="J109" s="322" t="str">
        <f>IFERROR(IF(VLOOKUP(D109,期货合约要素!$D:$Q,12,0)=0,"",VLOOKUP(D109,期货合约要素!$D:$Q,12,0)),IF(VLOOKUP(D109,期权合约要素!$D:$V,17,0)=0,"",VLOOKUP(D109,期权合约要素!$D:$V,17,0)))</f>
        <v>√</v>
      </c>
      <c r="K109" s="323" t="str">
        <f>IFERROR(IF(VLOOKUP(D109,期货合约要素!$D:$Q,14,0)=0,"",VLOOKUP(D109,期货合约要素!$D:$Q,14,0)),IF(VLOOKUP(D109,期权合约要素!$D:$V,19,0)=0,"",VLOOKUP(D109,期权合约要素!$D:$V,19,0)))</f>
        <v/>
      </c>
      <c r="L109" s="336"/>
      <c r="M109" s="336"/>
      <c r="N109" s="336"/>
      <c r="O109" s="336"/>
      <c r="P109" s="336"/>
      <c r="Q109" s="336"/>
      <c r="R109" s="336"/>
      <c r="S109" s="336"/>
      <c r="T109" s="336"/>
      <c r="U109" s="336"/>
      <c r="V109" s="336"/>
      <c r="W109" s="336"/>
      <c r="X109" s="336"/>
      <c r="Y109" s="336"/>
      <c r="Z109" s="336"/>
      <c r="AA109" s="336"/>
      <c r="AB109" s="336"/>
      <c r="AC109" s="336"/>
    </row>
    <row r="110" ht="20.1" customHeight="1" spans="1:29">
      <c r="A110" s="336"/>
      <c r="B110" s="499"/>
      <c r="C110" s="503"/>
      <c r="D110" s="445"/>
      <c r="E110" s="12" t="s">
        <v>882</v>
      </c>
      <c r="F110" s="500" t="s">
        <v>888</v>
      </c>
      <c r="G110" s="504"/>
      <c r="H110" s="504"/>
      <c r="I110" s="322"/>
      <c r="J110" s="322"/>
      <c r="K110" s="323"/>
      <c r="L110" s="336"/>
      <c r="M110" s="336"/>
      <c r="N110" s="336"/>
      <c r="O110" s="336"/>
      <c r="P110" s="336"/>
      <c r="Q110" s="336"/>
      <c r="R110" s="336"/>
      <c r="S110" s="336"/>
      <c r="T110" s="336"/>
      <c r="U110" s="336"/>
      <c r="V110" s="336"/>
      <c r="W110" s="336"/>
      <c r="X110" s="336"/>
      <c r="Y110" s="336"/>
      <c r="Z110" s="336"/>
      <c r="AA110" s="336"/>
      <c r="AB110" s="336"/>
      <c r="AC110" s="336"/>
    </row>
    <row r="111" ht="20.1" customHeight="1" spans="1:29">
      <c r="A111" s="336"/>
      <c r="B111" s="499"/>
      <c r="C111" s="426" t="s">
        <v>147</v>
      </c>
      <c r="D111" s="12" t="s">
        <v>148</v>
      </c>
      <c r="E111" s="12" t="s">
        <v>899</v>
      </c>
      <c r="F111" s="500">
        <v>12000</v>
      </c>
      <c r="G111" s="501">
        <v>2000</v>
      </c>
      <c r="H111" s="501">
        <v>1000</v>
      </c>
      <c r="I111" s="322"/>
      <c r="J111" s="322" t="str">
        <f>IFERROR(IF(VLOOKUP(D111,期货合约要素!$D:$Q,12,0)=0,"",VLOOKUP(D111,期货合约要素!$D:$Q,12,0)),IF(VLOOKUP(D111,期权合约要素!$D:$V,17,0)=0,"",VLOOKUP(D111,期权合约要素!$D:$V,17,0)))</f>
        <v>√</v>
      </c>
      <c r="K111" s="323" t="str">
        <f>IFERROR(IF(VLOOKUP(D111,期货合约要素!$D:$Q,14,0)=0,"",VLOOKUP(D111,期货合约要素!$D:$Q,14,0)),IF(VLOOKUP(D111,期权合约要素!$D:$V,19,0)=0,"",VLOOKUP(D111,期权合约要素!$D:$V,19,0)))</f>
        <v/>
      </c>
      <c r="L111" s="336"/>
      <c r="M111" s="336"/>
      <c r="N111" s="336"/>
      <c r="O111" s="336"/>
      <c r="P111" s="336"/>
      <c r="Q111" s="336"/>
      <c r="R111" s="336"/>
      <c r="S111" s="336"/>
      <c r="T111" s="336"/>
      <c r="U111" s="336"/>
      <c r="V111" s="336"/>
      <c r="W111" s="336"/>
      <c r="X111" s="336"/>
      <c r="Y111" s="336"/>
      <c r="Z111" s="336"/>
      <c r="AA111" s="336"/>
      <c r="AB111" s="336"/>
      <c r="AC111" s="336"/>
    </row>
    <row r="112" ht="20.1" customHeight="1" spans="1:29">
      <c r="A112" s="336"/>
      <c r="B112" s="499"/>
      <c r="C112" s="429"/>
      <c r="D112" s="429"/>
      <c r="E112" s="12" t="s">
        <v>900</v>
      </c>
      <c r="F112" s="500" t="s">
        <v>879</v>
      </c>
      <c r="G112" s="429"/>
      <c r="H112" s="429"/>
      <c r="I112" s="322"/>
      <c r="J112" s="322" t="e">
        <f>IFERROR(IF(VLOOKUP(D112,期货合约要素!$D:$Q,12,0)=0,"",VLOOKUP(D112,期货合约要素!$D:$Q,12,0)),IF(VLOOKUP(D112,期权合约要素!$D:$V,17,0)=0,"",VLOOKUP(D112,期权合约要素!$D:$V,17,0)))</f>
        <v>#N/A</v>
      </c>
      <c r="K112" s="323" t="e">
        <f>IFERROR(IF(VLOOKUP(D112,期货合约要素!$D:$Q,14,0)=0,"",VLOOKUP(D112,期货合约要素!$D:$Q,14,0)),IF(VLOOKUP(D112,期权合约要素!$D:$V,19,0)=0,"",VLOOKUP(D112,期权合约要素!$D:$V,19,0)))</f>
        <v>#N/A</v>
      </c>
      <c r="L112" s="336"/>
      <c r="M112" s="336"/>
      <c r="N112" s="336"/>
      <c r="O112" s="336"/>
      <c r="P112" s="336"/>
      <c r="Q112" s="336"/>
      <c r="R112" s="336"/>
      <c r="S112" s="336"/>
      <c r="T112" s="336"/>
      <c r="U112" s="336"/>
      <c r="V112" s="336"/>
      <c r="W112" s="336"/>
      <c r="X112" s="336"/>
      <c r="Y112" s="336"/>
      <c r="Z112" s="336"/>
      <c r="AA112" s="336"/>
      <c r="AB112" s="336"/>
      <c r="AC112" s="336"/>
    </row>
    <row r="113" ht="20.1" customHeight="1" spans="1:29">
      <c r="A113" s="336"/>
      <c r="B113" s="499"/>
      <c r="C113" s="426" t="s">
        <v>137</v>
      </c>
      <c r="D113" s="12" t="s">
        <v>138</v>
      </c>
      <c r="E113" s="12" t="s">
        <v>889</v>
      </c>
      <c r="F113" s="500">
        <v>8000</v>
      </c>
      <c r="G113" s="501">
        <v>1000</v>
      </c>
      <c r="H113" s="501">
        <v>500</v>
      </c>
      <c r="I113" s="322"/>
      <c r="J113" s="322" t="str">
        <f>IFERROR(IF(VLOOKUP(D113,期货合约要素!$D:$Q,12,0)=0,"",VLOOKUP(D113,期货合约要素!$D:$Q,12,0)),IF(VLOOKUP(D113,期权合约要素!$D:$V,17,0)=0,"",VLOOKUP(D113,期权合约要素!$D:$V,17,0)))</f>
        <v>√</v>
      </c>
      <c r="K113" s="323" t="str">
        <f>IFERROR(IF(VLOOKUP(D113,期货合约要素!$D:$Q,14,0)=0,"",VLOOKUP(D113,期货合约要素!$D:$Q,14,0)),IF(VLOOKUP(D113,期权合约要素!$D:$V,19,0)=0,"",VLOOKUP(D113,期权合约要素!$D:$V,19,0)))</f>
        <v/>
      </c>
      <c r="L113" s="336"/>
      <c r="M113" s="336"/>
      <c r="N113" s="336"/>
      <c r="O113" s="336"/>
      <c r="P113" s="336"/>
      <c r="Q113" s="336"/>
      <c r="R113" s="336"/>
      <c r="S113" s="336"/>
      <c r="T113" s="336"/>
      <c r="U113" s="336"/>
      <c r="V113" s="336"/>
      <c r="W113" s="336"/>
      <c r="X113" s="336"/>
      <c r="Y113" s="336"/>
      <c r="Z113" s="336"/>
      <c r="AA113" s="336"/>
      <c r="AB113" s="336"/>
      <c r="AC113" s="336"/>
    </row>
    <row r="114" ht="20.1" customHeight="1" spans="1:29">
      <c r="A114" s="336"/>
      <c r="B114" s="499"/>
      <c r="C114" s="429"/>
      <c r="D114" s="429"/>
      <c r="E114" s="12" t="s">
        <v>890</v>
      </c>
      <c r="F114" s="500" t="s">
        <v>879</v>
      </c>
      <c r="G114" s="429"/>
      <c r="H114" s="429"/>
      <c r="I114" s="322"/>
      <c r="J114" s="322" t="e">
        <f>IFERROR(IF(VLOOKUP(D114,期货合约要素!$D:$Q,12,0)=0,"",VLOOKUP(D114,期货合约要素!$D:$Q,12,0)),IF(VLOOKUP(D114,期权合约要素!$D:$V,17,0)=0,"",VLOOKUP(D114,期权合约要素!$D:$V,17,0)))</f>
        <v>#N/A</v>
      </c>
      <c r="K114" s="323" t="e">
        <f>IFERROR(IF(VLOOKUP(D114,期货合约要素!$D:$Q,14,0)=0,"",VLOOKUP(D114,期货合约要素!$D:$Q,14,0)),IF(VLOOKUP(D114,期权合约要素!$D:$V,19,0)=0,"",VLOOKUP(D114,期权合约要素!$D:$V,19,0)))</f>
        <v>#N/A</v>
      </c>
      <c r="L114" s="336"/>
      <c r="M114" s="336"/>
      <c r="N114" s="336"/>
      <c r="O114" s="336"/>
      <c r="P114" s="336"/>
      <c r="Q114" s="336"/>
      <c r="R114" s="336"/>
      <c r="S114" s="336"/>
      <c r="T114" s="336"/>
      <c r="U114" s="336"/>
      <c r="V114" s="336"/>
      <c r="W114" s="336"/>
      <c r="X114" s="336"/>
      <c r="Y114" s="336"/>
      <c r="Z114" s="336"/>
      <c r="AA114" s="336"/>
      <c r="AB114" s="336"/>
      <c r="AC114" s="336"/>
    </row>
    <row r="115" ht="20.1" customHeight="1" spans="1:29">
      <c r="A115" s="336"/>
      <c r="B115" s="499"/>
      <c r="C115" s="426" t="s">
        <v>145</v>
      </c>
      <c r="D115" s="12" t="s">
        <v>146</v>
      </c>
      <c r="E115" s="12" t="s">
        <v>880</v>
      </c>
      <c r="F115" s="500" t="s">
        <v>875</v>
      </c>
      <c r="G115" s="501">
        <v>2000</v>
      </c>
      <c r="H115" s="501">
        <v>1000</v>
      </c>
      <c r="I115" s="322"/>
      <c r="J115" s="322" t="str">
        <f>IFERROR(IF(VLOOKUP(D115,期货合约要素!$D:$Q,12,0)=0,"",VLOOKUP(D115,期货合约要素!$D:$Q,12,0)),IF(VLOOKUP(D115,期权合约要素!$D:$V,17,0)=0,"",VLOOKUP(D115,期权合约要素!$D:$V,17,0)))</f>
        <v/>
      </c>
      <c r="K115" s="323" t="str">
        <f>IFERROR(IF(VLOOKUP(D115,期货合约要素!$D:$Q,14,0)=0,"",VLOOKUP(D115,期货合约要素!$D:$Q,14,0)),IF(VLOOKUP(D115,期权合约要素!$D:$V,19,0)=0,"",VLOOKUP(D115,期权合约要素!$D:$V,19,0)))</f>
        <v/>
      </c>
      <c r="L115" s="336"/>
      <c r="M115" s="336"/>
      <c r="N115" s="336"/>
      <c r="O115" s="336"/>
      <c r="P115" s="336"/>
      <c r="Q115" s="336"/>
      <c r="R115" s="336"/>
      <c r="S115" s="336"/>
      <c r="T115" s="336"/>
      <c r="U115" s="336"/>
      <c r="V115" s="336"/>
      <c r="W115" s="336"/>
      <c r="X115" s="336"/>
      <c r="Y115" s="336"/>
      <c r="Z115" s="336"/>
      <c r="AA115" s="336"/>
      <c r="AB115" s="336"/>
      <c r="AC115" s="336"/>
    </row>
    <row r="116" ht="20.1" customHeight="1" spans="1:29">
      <c r="A116" s="336"/>
      <c r="B116" s="499"/>
      <c r="C116" s="427"/>
      <c r="D116" s="429"/>
      <c r="E116" s="12" t="s">
        <v>882</v>
      </c>
      <c r="F116" s="500" t="s">
        <v>879</v>
      </c>
      <c r="G116" s="427"/>
      <c r="H116" s="427"/>
      <c r="I116" s="322"/>
      <c r="J116" s="322" t="e">
        <f>IFERROR(IF(VLOOKUP(D116,期货合约要素!$D:$Q,12,0)=0,"",VLOOKUP(D116,期货合约要素!$D:$Q,12,0)),IF(VLOOKUP(D116,期权合约要素!$D:$V,17,0)=0,"",VLOOKUP(D116,期权合约要素!$D:$V,17,0)))</f>
        <v>#N/A</v>
      </c>
      <c r="K116" s="323" t="e">
        <f>IFERROR(IF(VLOOKUP(D116,期货合约要素!$D:$Q,14,0)=0,"",VLOOKUP(D116,期货合约要素!$D:$Q,14,0)),IF(VLOOKUP(D116,期权合约要素!$D:$V,19,0)=0,"",VLOOKUP(D116,期权合约要素!$D:$V,19,0)))</f>
        <v>#N/A</v>
      </c>
      <c r="L116" s="336"/>
      <c r="M116" s="336"/>
      <c r="N116" s="336"/>
      <c r="O116" s="336"/>
      <c r="P116" s="336"/>
      <c r="Q116" s="336"/>
      <c r="R116" s="336"/>
      <c r="S116" s="336"/>
      <c r="T116" s="336"/>
      <c r="U116" s="336"/>
      <c r="V116" s="336"/>
      <c r="W116" s="336"/>
      <c r="X116" s="336"/>
      <c r="Y116" s="336"/>
      <c r="Z116" s="336"/>
      <c r="AA116" s="336"/>
      <c r="AB116" s="336"/>
      <c r="AC116" s="336"/>
    </row>
    <row r="117" ht="20.1" customHeight="1" spans="1:29">
      <c r="A117" s="336"/>
      <c r="B117" s="499"/>
      <c r="C117" s="426" t="s">
        <v>139</v>
      </c>
      <c r="D117" s="12" t="s">
        <v>140</v>
      </c>
      <c r="E117" s="12" t="s">
        <v>889</v>
      </c>
      <c r="F117" s="500">
        <v>8000</v>
      </c>
      <c r="G117" s="501">
        <v>3000</v>
      </c>
      <c r="H117" s="501">
        <v>1000</v>
      </c>
      <c r="I117" s="322"/>
      <c r="J117" s="322" t="str">
        <f>IFERROR(IF(VLOOKUP(D117,期货合约要素!$D:$Q,12,0)=0,"",VLOOKUP(D117,期货合约要素!$D:$Q,12,0)),IF(VLOOKUP(D117,期权合约要素!$D:$V,17,0)=0,"",VLOOKUP(D117,期权合约要素!$D:$V,17,0)))</f>
        <v>√</v>
      </c>
      <c r="K117" s="323" t="str">
        <f>IFERROR(IF(VLOOKUP(D117,期货合约要素!$D:$Q,14,0)=0,"",VLOOKUP(D117,期货合约要素!$D:$Q,14,0)),IF(VLOOKUP(D117,期权合约要素!$D:$V,19,0)=0,"",VLOOKUP(D117,期权合约要素!$D:$V,19,0)))</f>
        <v/>
      </c>
      <c r="L117" s="336"/>
      <c r="M117" s="336"/>
      <c r="N117" s="336"/>
      <c r="O117" s="336"/>
      <c r="P117" s="336"/>
      <c r="Q117" s="336"/>
      <c r="R117" s="336"/>
      <c r="S117" s="336"/>
      <c r="T117" s="336"/>
      <c r="U117" s="336"/>
      <c r="V117" s="336"/>
      <c r="W117" s="336"/>
      <c r="X117" s="336"/>
      <c r="Y117" s="336"/>
      <c r="Z117" s="336"/>
      <c r="AA117" s="336"/>
      <c r="AB117" s="336"/>
      <c r="AC117" s="336"/>
    </row>
    <row r="118" ht="20.1" customHeight="1" spans="1:29">
      <c r="A118" s="336"/>
      <c r="B118" s="499"/>
      <c r="C118" s="427"/>
      <c r="D118" s="429"/>
      <c r="E118" s="12" t="s">
        <v>890</v>
      </c>
      <c r="F118" s="500" t="s">
        <v>879</v>
      </c>
      <c r="G118" s="427"/>
      <c r="H118" s="427"/>
      <c r="I118" s="322"/>
      <c r="J118" s="322" t="e">
        <f>IFERROR(IF(VLOOKUP(D118,期货合约要素!$D:$Q,12,0)=0,"",VLOOKUP(D118,期货合约要素!$D:$Q,12,0)),IF(VLOOKUP(D118,期权合约要素!$D:$V,17,0)=0,"",VLOOKUP(D118,期权合约要素!$D:$V,17,0)))</f>
        <v>#N/A</v>
      </c>
      <c r="K118" s="323" t="e">
        <f>IFERROR(IF(VLOOKUP(D118,期货合约要素!$D:$Q,14,0)=0,"",VLOOKUP(D118,期货合约要素!$D:$Q,14,0)),IF(VLOOKUP(D118,期权合约要素!$D:$V,19,0)=0,"",VLOOKUP(D118,期权合约要素!$D:$V,19,0)))</f>
        <v>#N/A</v>
      </c>
      <c r="L118" s="336"/>
      <c r="M118" s="336"/>
      <c r="N118" s="336"/>
      <c r="O118" s="336"/>
      <c r="P118" s="336"/>
      <c r="Q118" s="336"/>
      <c r="R118" s="336"/>
      <c r="S118" s="336"/>
      <c r="T118" s="336"/>
      <c r="U118" s="336"/>
      <c r="V118" s="336"/>
      <c r="W118" s="336"/>
      <c r="X118" s="336"/>
      <c r="Y118" s="336"/>
      <c r="Z118" s="336"/>
      <c r="AA118" s="336"/>
      <c r="AB118" s="336"/>
      <c r="AC118" s="336"/>
    </row>
    <row r="119" ht="42" customHeight="1" spans="1:29">
      <c r="A119" s="336"/>
      <c r="B119" s="499"/>
      <c r="C119" s="423" t="s">
        <v>36</v>
      </c>
      <c r="D119" s="423" t="s">
        <v>37</v>
      </c>
      <c r="E119" s="505" t="s">
        <v>901</v>
      </c>
      <c r="F119" s="505" t="s">
        <v>902</v>
      </c>
      <c r="G119" s="506" t="s">
        <v>903</v>
      </c>
      <c r="H119" s="506" t="s">
        <v>866</v>
      </c>
      <c r="I119" s="431" t="s">
        <v>794</v>
      </c>
      <c r="J119" s="431" t="s">
        <v>40</v>
      </c>
      <c r="K119" s="456" t="s">
        <v>41</v>
      </c>
      <c r="L119" s="336"/>
      <c r="M119" s="336"/>
      <c r="N119" s="336"/>
      <c r="O119" s="336"/>
      <c r="P119" s="336"/>
      <c r="Q119" s="336"/>
      <c r="R119" s="336"/>
      <c r="S119" s="336"/>
      <c r="T119" s="336"/>
      <c r="U119" s="336"/>
      <c r="V119" s="336"/>
      <c r="W119" s="336"/>
      <c r="X119" s="336"/>
      <c r="Y119" s="336"/>
      <c r="Z119" s="336"/>
      <c r="AA119" s="336"/>
      <c r="AB119" s="336"/>
      <c r="AC119" s="336"/>
    </row>
    <row r="120" ht="20.1" customHeight="1" spans="1:29">
      <c r="A120" s="336"/>
      <c r="B120" s="499"/>
      <c r="C120" s="426" t="s">
        <v>149</v>
      </c>
      <c r="D120" s="12" t="s">
        <v>150</v>
      </c>
      <c r="E120" s="500">
        <v>7500</v>
      </c>
      <c r="F120" s="500">
        <v>6000</v>
      </c>
      <c r="G120" s="501">
        <v>4000</v>
      </c>
      <c r="H120" s="501">
        <v>2000</v>
      </c>
      <c r="I120" s="322"/>
      <c r="J120" s="322" t="str">
        <f>IFERROR(IF(VLOOKUP(D120,期货合约要素!$D:$Q,12,0)=0,"",VLOOKUP(D120,期货合约要素!$D:$Q,12,0)),IF(VLOOKUP(D120,期权合约要素!$D:$V,17,0)=0,"",VLOOKUP(D120,期权合约要素!$D:$V,17,0)))</f>
        <v>√</v>
      </c>
      <c r="K120" s="323" t="str">
        <f>IFERROR(IF(VLOOKUP(D120,期货合约要素!$D:$Q,14,0)=0,"",VLOOKUP(D120,期货合约要素!$D:$Q,14,0)),IF(VLOOKUP(D120,期权合约要素!$D:$V,19,0)=0,"",VLOOKUP(D120,期权合约要素!$D:$V,19,0)))</f>
        <v>√</v>
      </c>
      <c r="L120" s="336"/>
      <c r="M120" s="336"/>
      <c r="N120" s="336"/>
      <c r="O120" s="336"/>
      <c r="P120" s="336"/>
      <c r="Q120" s="336"/>
      <c r="R120" s="336"/>
      <c r="S120" s="336"/>
      <c r="T120" s="336"/>
      <c r="U120" s="336"/>
      <c r="V120" s="336"/>
      <c r="W120" s="336"/>
      <c r="X120" s="336"/>
      <c r="Y120" s="336"/>
      <c r="Z120" s="336"/>
      <c r="AA120" s="336"/>
      <c r="AB120" s="336"/>
      <c r="AC120" s="336"/>
    </row>
    <row r="121" ht="36" customHeight="1" spans="1:29">
      <c r="A121" s="336"/>
      <c r="B121" s="499"/>
      <c r="C121" s="426" t="s">
        <v>153</v>
      </c>
      <c r="D121" s="12" t="s">
        <v>154</v>
      </c>
      <c r="E121" s="500">
        <v>1200</v>
      </c>
      <c r="F121" s="500">
        <v>400</v>
      </c>
      <c r="G121" s="501">
        <v>120</v>
      </c>
      <c r="H121" s="501">
        <v>20</v>
      </c>
      <c r="I121" s="322"/>
      <c r="J121" s="322" t="str">
        <f>IFERROR(IF(VLOOKUP(D121,期货合约要素!$D:$Q,12,0)=0,"",VLOOKUP(D121,期货合约要素!$D:$Q,12,0)),IF(VLOOKUP(D121,期权合约要素!$D:$V,17,0)=0,"",VLOOKUP(D121,期权合约要素!$D:$V,17,0)))</f>
        <v/>
      </c>
      <c r="K121" s="323" t="str">
        <f>IFERROR(IF(VLOOKUP(D121,期货合约要素!$D:$Q,14,0)=0,"",VLOOKUP(D121,期货合约要素!$D:$Q,14,0)),IF(VLOOKUP(D121,期权合约要素!$D:$V,19,0)=0,"",VLOOKUP(D121,期权合约要素!$D:$V,19,0)))</f>
        <v/>
      </c>
      <c r="L121" s="336"/>
      <c r="M121" s="336"/>
      <c r="N121" s="336"/>
      <c r="O121" s="336"/>
      <c r="P121" s="336"/>
      <c r="Q121" s="336"/>
      <c r="R121" s="336"/>
      <c r="S121" s="336"/>
      <c r="T121" s="336"/>
      <c r="U121" s="336"/>
      <c r="V121" s="336"/>
      <c r="W121" s="336"/>
      <c r="X121" s="336"/>
      <c r="Y121" s="336"/>
      <c r="Z121" s="336"/>
      <c r="AA121" s="336"/>
      <c r="AB121" s="336"/>
      <c r="AC121" s="336"/>
    </row>
    <row r="122" ht="30" customHeight="1" spans="1:29">
      <c r="A122" s="336"/>
      <c r="B122" s="499"/>
      <c r="C122" s="426" t="s">
        <v>904</v>
      </c>
      <c r="D122" s="12" t="s">
        <v>156</v>
      </c>
      <c r="E122" s="500">
        <v>500</v>
      </c>
      <c r="F122" s="500">
        <v>125</v>
      </c>
      <c r="G122" s="501">
        <v>30</v>
      </c>
      <c r="H122" s="501">
        <v>10</v>
      </c>
      <c r="I122" s="322"/>
      <c r="J122" s="322" t="str">
        <f>IFERROR(IF(VLOOKUP(D122,期货合约要素!$D:$Q,12,0)=0,"",VLOOKUP(D122,期货合约要素!$D:$Q,12,0)),IF(VLOOKUP(D122,期权合约要素!$D:$V,17,0)=0,"",VLOOKUP(D122,期权合约要素!$D:$V,17,0)))</f>
        <v/>
      </c>
      <c r="K122" s="323" t="str">
        <f>IFERROR(IF(VLOOKUP(D122,期货合约要素!$D:$Q,14,0)=0,"",VLOOKUP(D122,期货合约要素!$D:$Q,14,0)),IF(VLOOKUP(D122,期权合约要素!$D:$V,19,0)=0,"",VLOOKUP(D122,期权合约要素!$D:$V,19,0)))</f>
        <v/>
      </c>
      <c r="L122" s="336"/>
      <c r="M122" s="336"/>
      <c r="N122" s="336"/>
      <c r="O122" s="336"/>
      <c r="P122" s="336"/>
      <c r="Q122" s="336"/>
      <c r="R122" s="336"/>
      <c r="S122" s="336"/>
      <c r="T122" s="336"/>
      <c r="U122" s="336"/>
      <c r="V122" s="336"/>
      <c r="W122" s="336"/>
      <c r="X122" s="336"/>
      <c r="Y122" s="336"/>
      <c r="Z122" s="336"/>
      <c r="AA122" s="336"/>
      <c r="AB122" s="336"/>
      <c r="AC122" s="336"/>
    </row>
    <row r="123" ht="30" customHeight="1" spans="1:29">
      <c r="A123" s="336"/>
      <c r="B123" s="499"/>
      <c r="C123" s="426" t="s">
        <v>905</v>
      </c>
      <c r="D123" s="12" t="s">
        <v>156</v>
      </c>
      <c r="E123" s="500">
        <v>200</v>
      </c>
      <c r="F123" s="500">
        <v>50</v>
      </c>
      <c r="G123" s="501">
        <v>10</v>
      </c>
      <c r="H123" s="501">
        <v>5</v>
      </c>
      <c r="I123" s="322"/>
      <c r="J123" s="322" t="str">
        <f>IFERROR(IF(VLOOKUP(D123,期货合约要素!$D:$Q,12,0)=0,"",VLOOKUP(D123,期货合约要素!$D:$Q,12,0)),IF(VLOOKUP(D123,期权合约要素!$D:$V,17,0)=0,"",VLOOKUP(D123,期权合约要素!$D:$V,17,0)))</f>
        <v/>
      </c>
      <c r="K123" s="323" t="str">
        <f>IFERROR(IF(VLOOKUP(D123,期货合约要素!$D:$Q,14,0)=0,"",VLOOKUP(D123,期货合约要素!$D:$Q,14,0)),IF(VLOOKUP(D123,期权合约要素!$D:$V,19,0)=0,"",VLOOKUP(D123,期权合约要素!$D:$V,19,0)))</f>
        <v/>
      </c>
      <c r="L123" s="336"/>
      <c r="M123" s="336"/>
      <c r="N123" s="336"/>
      <c r="O123" s="336"/>
      <c r="P123" s="336"/>
      <c r="Q123" s="336"/>
      <c r="R123" s="336"/>
      <c r="S123" s="336"/>
      <c r="T123" s="336"/>
      <c r="U123" s="336"/>
      <c r="V123" s="336"/>
      <c r="W123" s="336"/>
      <c r="X123" s="336"/>
      <c r="Y123" s="336"/>
      <c r="Z123" s="336"/>
      <c r="AA123" s="336"/>
      <c r="AB123" s="336"/>
      <c r="AC123" s="336"/>
    </row>
    <row r="124" ht="30" customHeight="1" spans="1:29">
      <c r="A124" s="336"/>
      <c r="B124" s="499"/>
      <c r="C124" s="423" t="s">
        <v>36</v>
      </c>
      <c r="D124" s="423" t="s">
        <v>37</v>
      </c>
      <c r="E124" s="505" t="s">
        <v>906</v>
      </c>
      <c r="F124" s="505"/>
      <c r="G124" s="505"/>
      <c r="H124" s="505"/>
      <c r="I124" s="431" t="s">
        <v>794</v>
      </c>
      <c r="J124" s="431" t="s">
        <v>40</v>
      </c>
      <c r="K124" s="456" t="s">
        <v>41</v>
      </c>
      <c r="L124" s="336"/>
      <c r="M124" s="336"/>
      <c r="N124" s="336"/>
      <c r="O124" s="336"/>
      <c r="P124" s="336"/>
      <c r="Q124" s="336"/>
      <c r="R124" s="336"/>
      <c r="S124" s="336"/>
      <c r="T124" s="336"/>
      <c r="U124" s="336"/>
      <c r="V124" s="336"/>
      <c r="W124" s="336"/>
      <c r="X124" s="336"/>
      <c r="Y124" s="336"/>
      <c r="Z124" s="336"/>
      <c r="AA124" s="336"/>
      <c r="AB124" s="336"/>
      <c r="AC124" s="336"/>
    </row>
    <row r="125" ht="30" customHeight="1" spans="1:29">
      <c r="A125" s="336"/>
      <c r="B125" s="499"/>
      <c r="C125" s="426" t="s">
        <v>544</v>
      </c>
      <c r="D125" s="12" t="s">
        <v>545</v>
      </c>
      <c r="E125" s="12">
        <v>10000</v>
      </c>
      <c r="F125" s="427"/>
      <c r="G125" s="427"/>
      <c r="H125" s="427"/>
      <c r="I125" s="492" t="s">
        <v>846</v>
      </c>
      <c r="J125" s="322" t="str">
        <f>IFERROR(IF(VLOOKUP(D125,期货合约要素!$D:$Q,12,0)=0,"",VLOOKUP(D125,期货合约要素!$D:$Q,12,0)),IF(VLOOKUP(D125,期权合约要素!$D:$V,17,0)=0,"",VLOOKUP(D125,期权合约要素!$D:$V,17,0)))</f>
        <v>√</v>
      </c>
      <c r="K125" s="323" t="str">
        <f>IFERROR(IF(VLOOKUP(D125,期货合约要素!$D:$Q,14,0)=0,"",VLOOKUP(D125,期货合约要素!$D:$Q,14,0)),IF(VLOOKUP(D125,期权合约要素!$D:$V,19,0)=0,"",VLOOKUP(D125,期权合约要素!$D:$V,19,0)))</f>
        <v>√</v>
      </c>
      <c r="L125" s="336"/>
      <c r="M125" s="336"/>
      <c r="N125" s="336"/>
      <c r="O125" s="336"/>
      <c r="P125" s="336"/>
      <c r="Q125" s="336"/>
      <c r="R125" s="336"/>
      <c r="S125" s="336"/>
      <c r="T125" s="336"/>
      <c r="U125" s="336"/>
      <c r="V125" s="336"/>
      <c r="W125" s="336"/>
      <c r="X125" s="336"/>
      <c r="Y125" s="336"/>
      <c r="Z125" s="336"/>
      <c r="AA125" s="336"/>
      <c r="AB125" s="336"/>
      <c r="AC125" s="336"/>
    </row>
    <row r="126" ht="36" customHeight="1" spans="1:29">
      <c r="A126" s="336"/>
      <c r="B126" s="499"/>
      <c r="C126" s="426" t="s">
        <v>527</v>
      </c>
      <c r="D126" s="12" t="s">
        <v>528</v>
      </c>
      <c r="E126" s="12">
        <v>40000</v>
      </c>
      <c r="F126" s="427"/>
      <c r="G126" s="427"/>
      <c r="H126" s="427"/>
      <c r="I126" s="508"/>
      <c r="J126" s="322" t="str">
        <f>IFERROR(IF(VLOOKUP(D126,期货合约要素!$D:$Q,12,0)=0,"",VLOOKUP(D126,期货合约要素!$D:$Q,12,0)),IF(VLOOKUP(D126,期权合约要素!$D:$V,17,0)=0,"",VLOOKUP(D126,期权合约要素!$D:$V,17,0)))</f>
        <v>√</v>
      </c>
      <c r="K126" s="323" t="str">
        <f>IFERROR(IF(VLOOKUP(D126,期货合约要素!$D:$Q,14,0)=0,"",VLOOKUP(D126,期货合约要素!$D:$Q,14,0)),IF(VLOOKUP(D126,期权合约要素!$D:$V,19,0)=0,"",VLOOKUP(D126,期权合约要素!$D:$V,19,0)))</f>
        <v/>
      </c>
      <c r="L126" s="336"/>
      <c r="M126" s="336"/>
      <c r="N126" s="336"/>
      <c r="O126" s="336"/>
      <c r="P126" s="336"/>
      <c r="Q126" s="336"/>
      <c r="R126" s="336"/>
      <c r="S126" s="336"/>
      <c r="T126" s="336"/>
      <c r="U126" s="336"/>
      <c r="V126" s="336"/>
      <c r="W126" s="336"/>
      <c r="X126" s="336"/>
      <c r="Y126" s="336"/>
      <c r="Z126" s="336"/>
      <c r="AA126" s="336"/>
      <c r="AB126" s="336"/>
      <c r="AC126" s="336"/>
    </row>
    <row r="127" ht="30" customHeight="1" spans="1:29">
      <c r="A127" s="336"/>
      <c r="B127" s="499"/>
      <c r="C127" s="426" t="s">
        <v>518</v>
      </c>
      <c r="D127" s="12" t="s">
        <v>907</v>
      </c>
      <c r="E127" s="12">
        <v>40000</v>
      </c>
      <c r="F127" s="427"/>
      <c r="G127" s="427"/>
      <c r="H127" s="427"/>
      <c r="I127" s="508"/>
      <c r="J127" s="322" t="s">
        <v>281</v>
      </c>
      <c r="K127" s="323" t="s">
        <v>281</v>
      </c>
      <c r="L127" s="336"/>
      <c r="M127" s="336"/>
      <c r="N127" s="336"/>
      <c r="O127" s="336"/>
      <c r="P127" s="336"/>
      <c r="Q127" s="336"/>
      <c r="R127" s="336"/>
      <c r="S127" s="336"/>
      <c r="T127" s="336"/>
      <c r="U127" s="336"/>
      <c r="V127" s="336"/>
      <c r="W127" s="336"/>
      <c r="X127" s="336"/>
      <c r="Y127" s="336"/>
      <c r="Z127" s="336"/>
      <c r="AA127" s="336"/>
      <c r="AB127" s="336"/>
      <c r="AC127" s="336"/>
    </row>
    <row r="128" ht="30" customHeight="1" spans="1:29">
      <c r="A128" s="336"/>
      <c r="B128" s="499"/>
      <c r="C128" s="426" t="s">
        <v>523</v>
      </c>
      <c r="D128" s="12" t="s">
        <v>908</v>
      </c>
      <c r="E128" s="12">
        <v>40000</v>
      </c>
      <c r="F128" s="427"/>
      <c r="G128" s="427"/>
      <c r="H128" s="427"/>
      <c r="I128" s="508"/>
      <c r="J128" s="322"/>
      <c r="K128" s="323"/>
      <c r="L128" s="336"/>
      <c r="M128" s="336"/>
      <c r="N128" s="336"/>
      <c r="O128" s="336"/>
      <c r="P128" s="336"/>
      <c r="Q128" s="336"/>
      <c r="R128" s="336"/>
      <c r="S128" s="336"/>
      <c r="T128" s="336"/>
      <c r="U128" s="336"/>
      <c r="V128" s="336"/>
      <c r="W128" s="336"/>
      <c r="X128" s="336"/>
      <c r="Y128" s="336"/>
      <c r="Z128" s="336"/>
      <c r="AA128" s="336"/>
      <c r="AB128" s="336"/>
      <c r="AC128" s="336"/>
    </row>
    <row r="129" ht="30" customHeight="1" spans="1:29">
      <c r="A129" s="336"/>
      <c r="B129" s="499"/>
      <c r="C129" s="426" t="s">
        <v>532</v>
      </c>
      <c r="D129" s="12" t="s">
        <v>533</v>
      </c>
      <c r="E129" s="12">
        <v>8000</v>
      </c>
      <c r="F129" s="427"/>
      <c r="G129" s="427"/>
      <c r="H129" s="427"/>
      <c r="I129" s="508"/>
      <c r="J129" s="322" t="str">
        <f>IFERROR(IF(VLOOKUP(D129,期货合约要素!$D:$Q,12,0)=0,"",VLOOKUP(D129,期货合约要素!$D:$Q,12,0)),IF(VLOOKUP(D129,期权合约要素!$D:$V,17,0)=0,"",VLOOKUP(D129,期权合约要素!$D:$V,17,0)))</f>
        <v>√</v>
      </c>
      <c r="K129" s="323" t="str">
        <f>IFERROR(IF(VLOOKUP(D129,期货合约要素!$D:$Q,14,0)=0,"",VLOOKUP(D129,期货合约要素!$D:$Q,14,0)),IF(VLOOKUP(D129,期权合约要素!$D:$V,19,0)=0,"",VLOOKUP(D129,期权合约要素!$D:$V,19,0)))</f>
        <v/>
      </c>
      <c r="L129" s="336"/>
      <c r="M129" s="336"/>
      <c r="N129" s="336"/>
      <c r="O129" s="336"/>
      <c r="P129" s="336"/>
      <c r="Q129" s="336"/>
      <c r="R129" s="336"/>
      <c r="S129" s="336"/>
      <c r="T129" s="336"/>
      <c r="U129" s="336"/>
      <c r="V129" s="336"/>
      <c r="W129" s="336"/>
      <c r="X129" s="336"/>
      <c r="Y129" s="336"/>
      <c r="Z129" s="336"/>
      <c r="AA129" s="336"/>
      <c r="AB129" s="336"/>
      <c r="AC129" s="336"/>
    </row>
    <row r="130" ht="30" customHeight="1" spans="1:29">
      <c r="A130" s="336"/>
      <c r="B130" s="499"/>
      <c r="C130" s="426" t="s">
        <v>541</v>
      </c>
      <c r="D130" s="12" t="s">
        <v>542</v>
      </c>
      <c r="E130" s="12">
        <v>20000</v>
      </c>
      <c r="F130" s="429"/>
      <c r="G130" s="429"/>
      <c r="H130" s="429"/>
      <c r="I130" s="508"/>
      <c r="J130" s="322" t="str">
        <f>IFERROR(IF(VLOOKUP(D130,期货合约要素!$D:$Q,12,0)=0,"",VLOOKUP(D130,期货合约要素!$D:$Q,12,0)),IF(VLOOKUP(D130,期权合约要素!$D:$V,17,0)=0,"",VLOOKUP(D130,期权合约要素!$D:$V,17,0)))</f>
        <v>√</v>
      </c>
      <c r="K130" s="323" t="str">
        <f>IFERROR(IF(VLOOKUP(D130,期货合约要素!$D:$Q,14,0)=0,"",VLOOKUP(D130,期货合约要素!$D:$Q,14,0)),IF(VLOOKUP(D130,期权合约要素!$D:$V,19,0)=0,"",VLOOKUP(D130,期权合约要素!$D:$V,19,0)))</f>
        <v/>
      </c>
      <c r="L130" s="336"/>
      <c r="M130" s="336"/>
      <c r="N130" s="336"/>
      <c r="O130" s="336"/>
      <c r="P130" s="336"/>
      <c r="Q130" s="336"/>
      <c r="R130" s="336"/>
      <c r="S130" s="336"/>
      <c r="T130" s="336"/>
      <c r="U130" s="336"/>
      <c r="V130" s="336"/>
      <c r="W130" s="336"/>
      <c r="X130" s="336"/>
      <c r="Y130" s="336"/>
      <c r="Z130" s="336"/>
      <c r="AA130" s="336"/>
      <c r="AB130" s="336"/>
      <c r="AC130" s="336"/>
    </row>
    <row r="131" ht="30" customHeight="1" spans="1:29">
      <c r="A131" s="336"/>
      <c r="B131" s="499"/>
      <c r="C131" s="426" t="s">
        <v>538</v>
      </c>
      <c r="D131" s="12" t="s">
        <v>539</v>
      </c>
      <c r="E131" s="12">
        <v>20000</v>
      </c>
      <c r="F131" s="427"/>
      <c r="G131" s="427"/>
      <c r="H131" s="427"/>
      <c r="I131" s="508"/>
      <c r="J131" s="322" t="str">
        <f>IFERROR(IF(VLOOKUP(D131,期货合约要素!$D:$Q,12,0)=0,"",VLOOKUP(D131,期货合约要素!$D:$Q,12,0)),IF(VLOOKUP(D131,期权合约要素!$D:$V,17,0)=0,"",VLOOKUP(D131,期权合约要素!$D:$V,17,0)))</f>
        <v>√</v>
      </c>
      <c r="K131" s="323" t="str">
        <f>IFERROR(IF(VLOOKUP(D131,期货合约要素!$D:$Q,14,0)=0,"",VLOOKUP(D131,期货合约要素!$D:$Q,14,0)),IF(VLOOKUP(D131,期权合约要素!$D:$V,19,0)=0,"",VLOOKUP(D131,期权合约要素!$D:$V,19,0)))</f>
        <v/>
      </c>
      <c r="L131" s="336"/>
      <c r="M131" s="336"/>
      <c r="N131" s="336"/>
      <c r="O131" s="336"/>
      <c r="P131" s="336"/>
      <c r="Q131" s="336"/>
      <c r="R131" s="336"/>
      <c r="S131" s="336"/>
      <c r="T131" s="336"/>
      <c r="U131" s="336"/>
      <c r="V131" s="336"/>
      <c r="W131" s="336"/>
      <c r="X131" s="336"/>
      <c r="Y131" s="336"/>
      <c r="Z131" s="336"/>
      <c r="AA131" s="336"/>
      <c r="AB131" s="336"/>
      <c r="AC131" s="336"/>
    </row>
    <row r="132" ht="30" customHeight="1" spans="1:29">
      <c r="A132" s="336"/>
      <c r="B132" s="499"/>
      <c r="C132" s="426" t="s">
        <v>535</v>
      </c>
      <c r="D132" s="12" t="s">
        <v>536</v>
      </c>
      <c r="E132" s="12">
        <v>20000</v>
      </c>
      <c r="F132" s="427"/>
      <c r="G132" s="427"/>
      <c r="H132" s="427"/>
      <c r="I132" s="508"/>
      <c r="J132" s="322" t="str">
        <f>IFERROR(IF(VLOOKUP(D132,期货合约要素!$D:$Q,12,0)=0,"",VLOOKUP(D132,期货合约要素!$D:$Q,12,0)),IF(VLOOKUP(D132,期权合约要素!$D:$V,17,0)=0,"",VLOOKUP(D132,期权合约要素!$D:$V,17,0)))</f>
        <v>√</v>
      </c>
      <c r="K132" s="323" t="str">
        <f>IFERROR(IF(VLOOKUP(D132,期货合约要素!$D:$Q,14,0)=0,"",VLOOKUP(D132,期货合约要素!$D:$Q,14,0)),IF(VLOOKUP(D132,期权合约要素!$D:$V,19,0)=0,"",VLOOKUP(D132,期权合约要素!$D:$V,19,0)))</f>
        <v/>
      </c>
      <c r="L132" s="336"/>
      <c r="M132" s="336"/>
      <c r="N132" s="336"/>
      <c r="O132" s="336"/>
      <c r="P132" s="336"/>
      <c r="Q132" s="336"/>
      <c r="R132" s="336"/>
      <c r="S132" s="336"/>
      <c r="T132" s="336"/>
      <c r="U132" s="336"/>
      <c r="V132" s="336"/>
      <c r="W132" s="336"/>
      <c r="X132" s="336"/>
      <c r="Y132" s="336"/>
      <c r="Z132" s="336"/>
      <c r="AA132" s="336"/>
      <c r="AB132" s="336"/>
      <c r="AC132" s="336"/>
    </row>
    <row r="133" ht="30" customHeight="1" spans="1:29">
      <c r="A133" s="336"/>
      <c r="B133" s="499"/>
      <c r="C133" s="426" t="s">
        <v>547</v>
      </c>
      <c r="D133" s="12" t="s">
        <v>909</v>
      </c>
      <c r="E133" s="12">
        <v>15000</v>
      </c>
      <c r="F133" s="427"/>
      <c r="G133" s="427"/>
      <c r="H133" s="427"/>
      <c r="I133" s="508"/>
      <c r="J133" s="322" t="s">
        <v>281</v>
      </c>
      <c r="K133" s="323" t="s">
        <v>281</v>
      </c>
      <c r="L133" s="336"/>
      <c r="M133" s="336"/>
      <c r="N133" s="336"/>
      <c r="O133" s="336"/>
      <c r="P133" s="336"/>
      <c r="Q133" s="336"/>
      <c r="R133" s="336"/>
      <c r="S133" s="336"/>
      <c r="T133" s="336"/>
      <c r="U133" s="336"/>
      <c r="V133" s="336"/>
      <c r="W133" s="336"/>
      <c r="X133" s="336"/>
      <c r="Y133" s="336"/>
      <c r="Z133" s="336"/>
      <c r="AA133" s="336"/>
      <c r="AB133" s="336"/>
      <c r="AC133" s="336"/>
    </row>
    <row r="134" ht="30" customHeight="1" spans="1:29">
      <c r="A134" s="336"/>
      <c r="B134" s="499"/>
      <c r="C134" s="426" t="s">
        <v>551</v>
      </c>
      <c r="D134" s="12" t="s">
        <v>552</v>
      </c>
      <c r="E134" s="12">
        <v>20000</v>
      </c>
      <c r="F134" s="427"/>
      <c r="G134" s="427"/>
      <c r="H134" s="427"/>
      <c r="I134" s="508"/>
      <c r="J134" s="322" t="str">
        <f>IFERROR(IF(VLOOKUP(D134,期货合约要素!$D:$Q,12,0)=0,"",VLOOKUP(D134,期货合约要素!$D:$Q,12,0)),IF(VLOOKUP(D134,期权合约要素!$D:$V,17,0)=0,"",VLOOKUP(D134,期权合约要素!$D:$V,17,0)))</f>
        <v>√</v>
      </c>
      <c r="K134" s="323" t="str">
        <f>IFERROR(IF(VLOOKUP(D134,期货合约要素!$D:$Q,14,0)=0,"",VLOOKUP(D134,期货合约要素!$D:$Q,14,0)),IF(VLOOKUP(D134,期权合约要素!$D:$V,19,0)=0,"",VLOOKUP(D134,期权合约要素!$D:$V,19,0)))</f>
        <v>√</v>
      </c>
      <c r="L134" s="336"/>
      <c r="M134" s="336"/>
      <c r="N134" s="336"/>
      <c r="O134" s="336"/>
      <c r="P134" s="336"/>
      <c r="Q134" s="336"/>
      <c r="R134" s="336"/>
      <c r="S134" s="336"/>
      <c r="T134" s="336"/>
      <c r="U134" s="336"/>
      <c r="V134" s="336"/>
      <c r="W134" s="336"/>
      <c r="X134" s="336"/>
      <c r="Y134" s="336"/>
      <c r="Z134" s="336"/>
      <c r="AA134" s="336"/>
      <c r="AB134" s="336"/>
      <c r="AC134" s="336"/>
    </row>
    <row r="135" ht="30" customHeight="1" spans="1:29">
      <c r="A135" s="336"/>
      <c r="B135" s="499"/>
      <c r="C135" s="426" t="s">
        <v>910</v>
      </c>
      <c r="D135" s="12" t="s">
        <v>911</v>
      </c>
      <c r="E135" s="12">
        <v>20000</v>
      </c>
      <c r="F135" s="427"/>
      <c r="G135" s="427"/>
      <c r="H135" s="427"/>
      <c r="I135" s="508"/>
      <c r="J135" s="322" t="s">
        <v>281</v>
      </c>
      <c r="K135" s="323" t="s">
        <v>281</v>
      </c>
      <c r="L135" s="336"/>
      <c r="M135" s="336"/>
      <c r="N135" s="336"/>
      <c r="O135" s="336"/>
      <c r="P135" s="336"/>
      <c r="Q135" s="336"/>
      <c r="R135" s="336"/>
      <c r="S135" s="336"/>
      <c r="T135" s="336"/>
      <c r="U135" s="336"/>
      <c r="V135" s="336"/>
      <c r="W135" s="336"/>
      <c r="X135" s="336"/>
      <c r="Y135" s="336"/>
      <c r="Z135" s="336"/>
      <c r="AA135" s="336"/>
      <c r="AB135" s="336"/>
      <c r="AC135" s="336"/>
    </row>
    <row r="136" ht="30" customHeight="1" spans="1:29">
      <c r="A136" s="336"/>
      <c r="B136" s="499"/>
      <c r="C136" s="426" t="s">
        <v>558</v>
      </c>
      <c r="D136" s="12" t="s">
        <v>559</v>
      </c>
      <c r="E136" s="12">
        <v>8000</v>
      </c>
      <c r="F136" s="429"/>
      <c r="G136" s="429"/>
      <c r="H136" s="429"/>
      <c r="I136" s="508"/>
      <c r="J136" s="322" t="str">
        <f>IFERROR(IF(VLOOKUP(D136,期货合约要素!$D:$Q,12,0)=0,"",VLOOKUP(D136,期货合约要素!$D:$Q,12,0)),IF(VLOOKUP(D136,期权合约要素!$D:$V,17,0)=0,"",VLOOKUP(D136,期权合约要素!$D:$V,17,0)))</f>
        <v>√</v>
      </c>
      <c r="K136" s="323" t="str">
        <f>IFERROR(IF(VLOOKUP(D136,期货合约要素!$D:$Q,14,0)=0,"",VLOOKUP(D136,期货合约要素!$D:$Q,14,0)),IF(VLOOKUP(D136,期权合约要素!$D:$V,19,0)=0,"",VLOOKUP(D136,期权合约要素!$D:$V,19,0)))</f>
        <v/>
      </c>
      <c r="L136" s="336"/>
      <c r="M136" s="336"/>
      <c r="N136" s="336"/>
      <c r="O136" s="336"/>
      <c r="P136" s="336"/>
      <c r="Q136" s="336"/>
      <c r="R136" s="336"/>
      <c r="S136" s="336"/>
      <c r="T136" s="336"/>
      <c r="U136" s="336"/>
      <c r="V136" s="336"/>
      <c r="W136" s="336"/>
      <c r="X136" s="336"/>
      <c r="Y136" s="336"/>
      <c r="Z136" s="336"/>
      <c r="AA136" s="336"/>
      <c r="AB136" s="336"/>
      <c r="AC136" s="336"/>
    </row>
    <row r="137" ht="30" customHeight="1" spans="1:29">
      <c r="A137" s="336"/>
      <c r="B137" s="499"/>
      <c r="C137" s="426" t="s">
        <v>561</v>
      </c>
      <c r="D137" s="12" t="s">
        <v>562</v>
      </c>
      <c r="E137" s="12">
        <v>12000</v>
      </c>
      <c r="F137" s="429"/>
      <c r="G137" s="429"/>
      <c r="H137" s="429"/>
      <c r="I137" s="508"/>
      <c r="J137" s="322" t="str">
        <f>IFERROR(IF(VLOOKUP(D137,期货合约要素!$D:$Q,12,0)=0,"",VLOOKUP(D137,期货合约要素!$D:$Q,12,0)),IF(VLOOKUP(D137,期权合约要素!$D:$V,17,0)=0,"",VLOOKUP(D137,期权合约要素!$D:$V,17,0)))</f>
        <v>√</v>
      </c>
      <c r="K137" s="323" t="str">
        <f>IFERROR(IF(VLOOKUP(D137,期货合约要素!$D:$Q,14,0)=0,"",VLOOKUP(D137,期货合约要素!$D:$Q,14,0)),IF(VLOOKUP(D137,期权合约要素!$D:$V,19,0)=0,"",VLOOKUP(D137,期权合约要素!$D:$V,19,0)))</f>
        <v/>
      </c>
      <c r="L137" s="336"/>
      <c r="M137" s="336"/>
      <c r="N137" s="336"/>
      <c r="O137" s="336"/>
      <c r="P137" s="336"/>
      <c r="Q137" s="336"/>
      <c r="R137" s="336"/>
      <c r="S137" s="336"/>
      <c r="T137" s="336"/>
      <c r="U137" s="336"/>
      <c r="V137" s="336"/>
      <c r="W137" s="336"/>
      <c r="X137" s="336"/>
      <c r="Y137" s="336"/>
      <c r="Z137" s="336"/>
      <c r="AA137" s="336"/>
      <c r="AB137" s="336"/>
      <c r="AC137" s="336"/>
    </row>
    <row r="138" ht="30" customHeight="1" spans="1:29">
      <c r="A138" s="336"/>
      <c r="B138" s="499"/>
      <c r="C138" s="426" t="s">
        <v>564</v>
      </c>
      <c r="D138" s="12" t="s">
        <v>565</v>
      </c>
      <c r="E138" s="12">
        <v>1200</v>
      </c>
      <c r="F138" s="12"/>
      <c r="G138" s="12"/>
      <c r="H138" s="12"/>
      <c r="I138" s="508"/>
      <c r="J138" s="322" t="str">
        <f>IFERROR(IF(VLOOKUP(D138,期货合约要素!$D:$Q,12,0)=0,"",VLOOKUP(D138,期货合约要素!$D:$Q,12,0)),IF(VLOOKUP(D138,期权合约要素!$D:$V,17,0)=0,"",VLOOKUP(D138,期权合约要素!$D:$V,17,0)))</f>
        <v/>
      </c>
      <c r="K138" s="323" t="str">
        <f>IFERROR(IF(VLOOKUP(D138,期货合约要素!$D:$Q,14,0)=0,"",VLOOKUP(D138,期货合约要素!$D:$Q,14,0)),IF(VLOOKUP(D138,期权合约要素!$D:$V,19,0)=0,"",VLOOKUP(D138,期权合约要素!$D:$V,19,0)))</f>
        <v/>
      </c>
      <c r="L138" s="336"/>
      <c r="M138" s="336"/>
      <c r="N138" s="336"/>
      <c r="O138" s="336"/>
      <c r="P138" s="336"/>
      <c r="Q138" s="336"/>
      <c r="R138" s="336"/>
      <c r="S138" s="336"/>
      <c r="T138" s="336"/>
      <c r="U138" s="336"/>
      <c r="V138" s="336"/>
      <c r="W138" s="336"/>
      <c r="X138" s="336"/>
      <c r="Y138" s="336"/>
      <c r="Z138" s="336"/>
      <c r="AA138" s="336"/>
      <c r="AB138" s="336"/>
      <c r="AC138" s="336"/>
    </row>
    <row r="139" ht="30" customHeight="1" spans="1:29">
      <c r="A139" s="336"/>
      <c r="B139" s="499"/>
      <c r="C139" s="426" t="s">
        <v>572</v>
      </c>
      <c r="D139" s="12" t="s">
        <v>573</v>
      </c>
      <c r="E139" s="12">
        <v>15000</v>
      </c>
      <c r="F139" s="12"/>
      <c r="G139" s="12"/>
      <c r="H139" s="12"/>
      <c r="I139" s="508"/>
      <c r="J139" s="322" t="str">
        <f>IFERROR(IF(VLOOKUP(D139,期货合约要素!$D:$Q,12,0)=0,"",VLOOKUP(D139,期货合约要素!$D:$Q,12,0)),IF(VLOOKUP(D139,期权合约要素!$D:$V,17,0)=0,"",VLOOKUP(D139,期权合约要素!$D:$V,17,0)))</f>
        <v/>
      </c>
      <c r="K139" s="323" t="str">
        <f>IFERROR(IF(VLOOKUP(D139,期货合约要素!$D:$Q,14,0)=0,"",VLOOKUP(D139,期货合约要素!$D:$Q,14,0)),IF(VLOOKUP(D139,期权合约要素!$D:$V,19,0)=0,"",VLOOKUP(D139,期权合约要素!$D:$V,19,0)))</f>
        <v/>
      </c>
      <c r="L139" s="336"/>
      <c r="M139" s="336"/>
      <c r="N139" s="336"/>
      <c r="O139" s="336"/>
      <c r="P139" s="336"/>
      <c r="Q139" s="336"/>
      <c r="R139" s="336"/>
      <c r="S139" s="336"/>
      <c r="T139" s="336"/>
      <c r="U139" s="336"/>
      <c r="V139" s="336"/>
      <c r="W139" s="336"/>
      <c r="X139" s="336"/>
      <c r="Y139" s="336"/>
      <c r="Z139" s="336"/>
      <c r="AA139" s="336"/>
      <c r="AB139" s="336"/>
      <c r="AC139" s="336"/>
    </row>
    <row r="140" ht="30" customHeight="1" spans="1:29">
      <c r="A140" s="336"/>
      <c r="B140" s="499"/>
      <c r="C140" s="426" t="s">
        <v>568</v>
      </c>
      <c r="D140" s="12" t="s">
        <v>569</v>
      </c>
      <c r="E140" s="12">
        <v>125</v>
      </c>
      <c r="F140" s="12"/>
      <c r="G140" s="12"/>
      <c r="H140" s="12"/>
      <c r="I140" s="508"/>
      <c r="J140" s="322" t="str">
        <f>IFERROR(IF(VLOOKUP(D140,期货合约要素!$D:$Q,12,0)=0,"",VLOOKUP(D140,期货合约要素!$D:$Q,12,0)),IF(VLOOKUP(D140,期权合约要素!$D:$V,17,0)=0,"",VLOOKUP(D140,期权合约要素!$D:$V,17,0)))</f>
        <v/>
      </c>
      <c r="K140" s="323" t="str">
        <f>IFERROR(IF(VLOOKUP(D140,期货合约要素!$D:$Q,14,0)=0,"",VLOOKUP(D140,期货合约要素!$D:$Q,14,0)),IF(VLOOKUP(D140,期权合约要素!$D:$V,19,0)=0,"",VLOOKUP(D140,期权合约要素!$D:$V,19,0)))</f>
        <v/>
      </c>
      <c r="L140" s="336"/>
      <c r="M140" s="336"/>
      <c r="N140" s="336"/>
      <c r="O140" s="336"/>
      <c r="P140" s="336"/>
      <c r="Q140" s="336"/>
      <c r="R140" s="336"/>
      <c r="S140" s="336"/>
      <c r="T140" s="336"/>
      <c r="U140" s="336"/>
      <c r="V140" s="336"/>
      <c r="W140" s="336"/>
      <c r="X140" s="336"/>
      <c r="Y140" s="336"/>
      <c r="Z140" s="336"/>
      <c r="AA140" s="336"/>
      <c r="AB140" s="336"/>
      <c r="AC140" s="336"/>
    </row>
    <row r="141" ht="30" customHeight="1" spans="1:29">
      <c r="A141" s="336"/>
      <c r="B141" s="499"/>
      <c r="C141" s="426" t="s">
        <v>575</v>
      </c>
      <c r="D141" s="12" t="s">
        <v>576</v>
      </c>
      <c r="E141" s="12">
        <v>1500</v>
      </c>
      <c r="F141" s="12"/>
      <c r="G141" s="12"/>
      <c r="H141" s="12"/>
      <c r="I141" s="508"/>
      <c r="J141" s="322" t="str">
        <f>IFERROR(IF(VLOOKUP(D141,期货合约要素!$D:$Q,12,0)=0,"",VLOOKUP(D141,期货合约要素!$D:$Q,12,0)),IF(VLOOKUP(D141,期权合约要素!$D:$V,17,0)=0,"",VLOOKUP(D141,期权合约要素!$D:$V,17,0)))</f>
        <v/>
      </c>
      <c r="K141" s="323" t="str">
        <f>IFERROR(IF(VLOOKUP(D141,期货合约要素!$D:$Q,14,0)=0,"",VLOOKUP(D141,期货合约要素!$D:$Q,14,0)),IF(VLOOKUP(D141,期权合约要素!$D:$V,19,0)=0,"",VLOOKUP(D141,期权合约要素!$D:$V,19,0)))</f>
        <v/>
      </c>
      <c r="L141" s="336"/>
      <c r="M141" s="336"/>
      <c r="N141" s="336"/>
      <c r="O141" s="336"/>
      <c r="P141" s="336"/>
      <c r="Q141" s="336"/>
      <c r="R141" s="336"/>
      <c r="S141" s="336"/>
      <c r="T141" s="336"/>
      <c r="U141" s="336"/>
      <c r="V141" s="336"/>
      <c r="W141" s="336"/>
      <c r="X141" s="336"/>
      <c r="Y141" s="336"/>
      <c r="Z141" s="336"/>
      <c r="AA141" s="336"/>
      <c r="AB141" s="336"/>
      <c r="AC141" s="336"/>
    </row>
    <row r="142" ht="30" customHeight="1" spans="1:29">
      <c r="A142" s="336"/>
      <c r="B142" s="499"/>
      <c r="C142" s="426" t="s">
        <v>579</v>
      </c>
      <c r="D142" s="12" t="s">
        <v>580</v>
      </c>
      <c r="E142" s="12">
        <v>2000</v>
      </c>
      <c r="F142" s="12"/>
      <c r="G142" s="12"/>
      <c r="H142" s="12"/>
      <c r="I142" s="508"/>
      <c r="J142" s="322" t="str">
        <f>IFERROR(IF(VLOOKUP(D142,期货合约要素!$D:$Q,12,0)=0,"",VLOOKUP(D142,期货合约要素!$D:$Q,12,0)),IF(VLOOKUP(D142,期权合约要素!$D:$V,17,0)=0,"",VLOOKUP(D142,期权合约要素!$D:$V,17,0)))</f>
        <v/>
      </c>
      <c r="K142" s="323" t="str">
        <f>IFERROR(IF(VLOOKUP(D142,期货合约要素!$D:$Q,14,0)=0,"",VLOOKUP(D142,期货合约要素!$D:$Q,14,0)),IF(VLOOKUP(D142,期权合约要素!$D:$V,19,0)=0,"",VLOOKUP(D142,期权合约要素!$D:$V,19,0)))</f>
        <v/>
      </c>
      <c r="L142" s="336"/>
      <c r="M142" s="336"/>
      <c r="N142" s="336"/>
      <c r="O142" s="336"/>
      <c r="P142" s="336"/>
      <c r="Q142" s="336"/>
      <c r="R142" s="336"/>
      <c r="S142" s="336"/>
      <c r="T142" s="336"/>
      <c r="U142" s="336"/>
      <c r="V142" s="336"/>
      <c r="W142" s="336"/>
      <c r="X142" s="336"/>
      <c r="Y142" s="336"/>
      <c r="Z142" s="336"/>
      <c r="AA142" s="336"/>
      <c r="AB142" s="336"/>
      <c r="AC142" s="336"/>
    </row>
    <row r="143" ht="30" customHeight="1" spans="1:29">
      <c r="A143" s="336"/>
      <c r="B143" s="509"/>
      <c r="C143" s="510" t="s">
        <v>582</v>
      </c>
      <c r="D143" s="450" t="s">
        <v>583</v>
      </c>
      <c r="E143" s="511">
        <v>8000</v>
      </c>
      <c r="F143" s="512"/>
      <c r="G143" s="512"/>
      <c r="H143" s="513"/>
      <c r="I143" s="519"/>
      <c r="J143" s="388" t="str">
        <f>IFERROR(IF(VLOOKUP(D143,期货合约要素!$D:$Q,12,0)=0,"",VLOOKUP(D143,期货合约要素!$D:$Q,12,0)),IF(VLOOKUP(D143,期权合约要素!$D:$V,17,0)=0,"",VLOOKUP(D143,期权合约要素!$D:$V,17,0)))</f>
        <v/>
      </c>
      <c r="K143" s="389" t="str">
        <f>IFERROR(IF(VLOOKUP(D143,期货合约要素!$D:$Q,14,0)=0,"",VLOOKUP(D143,期货合约要素!$D:$Q,14,0)),IF(VLOOKUP(D143,期权合约要素!$D:$V,19,0)=0,"",VLOOKUP(D143,期权合约要素!$D:$V,19,0)))</f>
        <v/>
      </c>
      <c r="L143" s="336"/>
      <c r="M143" s="336"/>
      <c r="N143" s="336"/>
      <c r="O143" s="336"/>
      <c r="P143" s="336"/>
      <c r="Q143" s="336"/>
      <c r="R143" s="336"/>
      <c r="S143" s="336"/>
      <c r="T143" s="336"/>
      <c r="U143" s="336"/>
      <c r="V143" s="336"/>
      <c r="W143" s="336"/>
      <c r="X143" s="336"/>
      <c r="Y143" s="336"/>
      <c r="Z143" s="336"/>
      <c r="AA143" s="336"/>
      <c r="AB143" s="336"/>
      <c r="AC143" s="336"/>
    </row>
    <row r="144" s="418" customFormat="1" ht="30" customHeight="1" spans="1:29">
      <c r="A144" s="430"/>
      <c r="B144" s="514" t="s">
        <v>163</v>
      </c>
      <c r="C144" s="317" t="s">
        <v>36</v>
      </c>
      <c r="D144" s="317" t="s">
        <v>37</v>
      </c>
      <c r="E144" s="497" t="s">
        <v>912</v>
      </c>
      <c r="F144" s="498"/>
      <c r="G144" s="497" t="s">
        <v>913</v>
      </c>
      <c r="H144" s="515" t="s">
        <v>866</v>
      </c>
      <c r="I144" s="497" t="s">
        <v>794</v>
      </c>
      <c r="J144" s="497" t="s">
        <v>40</v>
      </c>
      <c r="K144" s="507" t="s">
        <v>41</v>
      </c>
      <c r="L144" s="430"/>
      <c r="M144" s="430"/>
      <c r="N144" s="430"/>
      <c r="O144" s="430"/>
      <c r="P144" s="430"/>
      <c r="Q144" s="430"/>
      <c r="R144" s="430"/>
      <c r="S144" s="430"/>
      <c r="T144" s="430"/>
      <c r="U144" s="430"/>
      <c r="V144" s="430"/>
      <c r="W144" s="430"/>
      <c r="X144" s="430"/>
      <c r="Y144" s="430"/>
      <c r="Z144" s="430"/>
      <c r="AA144" s="430"/>
      <c r="AB144" s="430"/>
      <c r="AC144" s="430"/>
    </row>
    <row r="145" ht="47.1" customHeight="1" spans="1:29">
      <c r="A145" s="336"/>
      <c r="B145" s="516"/>
      <c r="C145" s="426" t="s">
        <v>198</v>
      </c>
      <c r="D145" s="12" t="s">
        <v>199</v>
      </c>
      <c r="E145" s="12">
        <v>2000</v>
      </c>
      <c r="F145" s="429"/>
      <c r="G145" s="500">
        <v>600</v>
      </c>
      <c r="H145" s="12">
        <v>200</v>
      </c>
      <c r="I145" s="322" t="s">
        <v>914</v>
      </c>
      <c r="J145" s="322" t="str">
        <f>IFERROR(IF(VLOOKUP(D145,期货合约要素!$D:$Q,12,0)=0,"",VLOOKUP(D145,期货合约要素!$D:$Q,12,0)),IF(VLOOKUP(D145,期权合约要素!$D:$V,17,0)=0,"",VLOOKUP(D145,期权合约要素!$D:$V,17,0)))</f>
        <v/>
      </c>
      <c r="K145" s="323" t="str">
        <f>IFERROR(IF(VLOOKUP(D145,期货合约要素!$D:$Q,14,0)=0,"",VLOOKUP(D145,期货合约要素!$D:$Q,14,0)),IF(VLOOKUP(D145,期权合约要素!$D:$V,19,0)=0,"",VLOOKUP(D145,期权合约要素!$D:$V,19,0)))</f>
        <v/>
      </c>
      <c r="L145" s="336"/>
      <c r="M145" s="336"/>
      <c r="N145" s="336"/>
      <c r="O145" s="336"/>
      <c r="P145" s="336"/>
      <c r="Q145" s="336"/>
      <c r="R145" s="336"/>
      <c r="S145" s="336"/>
      <c r="T145" s="336"/>
      <c r="U145" s="336"/>
      <c r="V145" s="336"/>
      <c r="W145" s="336"/>
      <c r="X145" s="336"/>
      <c r="Y145" s="336"/>
      <c r="Z145" s="336"/>
      <c r="AA145" s="336"/>
      <c r="AB145" s="336"/>
      <c r="AC145" s="336"/>
    </row>
    <row r="146" ht="30" customHeight="1" spans="1:29">
      <c r="A146" s="336"/>
      <c r="B146" s="516"/>
      <c r="C146" s="426" t="s">
        <v>210</v>
      </c>
      <c r="D146" s="12" t="s">
        <v>211</v>
      </c>
      <c r="E146" s="12">
        <v>1000</v>
      </c>
      <c r="F146" s="429"/>
      <c r="G146" s="500">
        <v>300</v>
      </c>
      <c r="H146" s="12">
        <v>100</v>
      </c>
      <c r="I146" s="322"/>
      <c r="J146" s="322" t="str">
        <f>IFERROR(IF(VLOOKUP(D146,期货合约要素!$D:$Q,12,0)=0,"",VLOOKUP(D146,期货合约要素!$D:$Q,12,0)),IF(VLOOKUP(D146,期权合约要素!$D:$V,17,0)=0,"",VLOOKUP(D146,期权合约要素!$D:$V,17,0)))</f>
        <v/>
      </c>
      <c r="K146" s="323" t="str">
        <f>IFERROR(IF(VLOOKUP(D146,期货合约要素!$D:$Q,14,0)=0,"",VLOOKUP(D146,期货合约要素!$D:$Q,14,0)),IF(VLOOKUP(D146,期权合约要素!$D:$V,19,0)=0,"",VLOOKUP(D146,期权合约要素!$D:$V,19,0)))</f>
        <v/>
      </c>
      <c r="L146" s="336"/>
      <c r="M146" s="336"/>
      <c r="N146" s="336"/>
      <c r="O146" s="336"/>
      <c r="P146" s="336"/>
      <c r="Q146" s="336"/>
      <c r="R146" s="336"/>
      <c r="S146" s="336"/>
      <c r="T146" s="336"/>
      <c r="U146" s="336"/>
      <c r="V146" s="336"/>
      <c r="W146" s="336"/>
      <c r="X146" s="336"/>
      <c r="Y146" s="336"/>
      <c r="Z146" s="336"/>
      <c r="AA146" s="336"/>
      <c r="AB146" s="336"/>
      <c r="AC146" s="336"/>
    </row>
    <row r="147" ht="30" customHeight="1" spans="1:29">
      <c r="A147" s="336"/>
      <c r="B147" s="516"/>
      <c r="C147" s="426" t="s">
        <v>218</v>
      </c>
      <c r="D147" s="12" t="s">
        <v>219</v>
      </c>
      <c r="E147" s="12">
        <v>7500</v>
      </c>
      <c r="F147" s="429"/>
      <c r="G147" s="500">
        <v>2000</v>
      </c>
      <c r="H147" s="12">
        <v>400</v>
      </c>
      <c r="I147" s="322"/>
      <c r="J147" s="322" t="str">
        <f>IFERROR(IF(VLOOKUP(D147,期货合约要素!$D:$Q,12,0)=0,"",VLOOKUP(D147,期货合约要素!$D:$Q,12,0)),IF(VLOOKUP(D147,期权合约要素!$D:$V,17,0)=0,"",VLOOKUP(D147,期权合约要素!$D:$V,17,0)))</f>
        <v/>
      </c>
      <c r="K147" s="323" t="str">
        <f>IFERROR(IF(VLOOKUP(D147,期货合约要素!$D:$Q,14,0)=0,"",VLOOKUP(D147,期货合约要素!$D:$Q,14,0)),IF(VLOOKUP(D147,期权合约要素!$D:$V,19,0)=0,"",VLOOKUP(D147,期权合约要素!$D:$V,19,0)))</f>
        <v/>
      </c>
      <c r="L147" s="336"/>
      <c r="M147" s="336"/>
      <c r="N147" s="336"/>
      <c r="O147" s="336"/>
      <c r="P147" s="336"/>
      <c r="Q147" s="336"/>
      <c r="R147" s="336"/>
      <c r="S147" s="336"/>
      <c r="T147" s="336"/>
      <c r="U147" s="336"/>
      <c r="V147" s="336"/>
      <c r="W147" s="336"/>
      <c r="X147" s="336"/>
      <c r="Y147" s="336"/>
      <c r="Z147" s="336"/>
      <c r="AA147" s="336"/>
      <c r="AB147" s="336"/>
      <c r="AC147" s="336"/>
    </row>
    <row r="148" ht="30" customHeight="1" spans="1:29">
      <c r="A148" s="336"/>
      <c r="B148" s="516"/>
      <c r="C148" s="426" t="s">
        <v>206</v>
      </c>
      <c r="D148" s="12" t="s">
        <v>207</v>
      </c>
      <c r="E148" s="12">
        <v>10000</v>
      </c>
      <c r="F148" s="429"/>
      <c r="G148" s="500">
        <v>1000</v>
      </c>
      <c r="H148" s="12">
        <v>500</v>
      </c>
      <c r="I148" s="322"/>
      <c r="J148" s="322" t="str">
        <f>IFERROR(IF(VLOOKUP(D148,期货合约要素!$D:$Q,12,0)=0,"",VLOOKUP(D148,期货合约要素!$D:$Q,12,0)),IF(VLOOKUP(D148,期权合约要素!$D:$V,17,0)=0,"",VLOOKUP(D148,期权合约要素!$D:$V,17,0)))</f>
        <v/>
      </c>
      <c r="K148" s="323" t="str">
        <f>IFERROR(IF(VLOOKUP(D148,期货合约要素!$D:$Q,14,0)=0,"",VLOOKUP(D148,期货合约要素!$D:$Q,14,0)),IF(VLOOKUP(D148,期权合约要素!$D:$V,19,0)=0,"",VLOOKUP(D148,期权合约要素!$D:$V,19,0)))</f>
        <v/>
      </c>
      <c r="L148" s="336"/>
      <c r="M148" s="336"/>
      <c r="N148" s="336"/>
      <c r="O148" s="336"/>
      <c r="P148" s="336"/>
      <c r="Q148" s="336"/>
      <c r="R148" s="336"/>
      <c r="S148" s="336"/>
      <c r="T148" s="336"/>
      <c r="U148" s="336"/>
      <c r="V148" s="336"/>
      <c r="W148" s="336"/>
      <c r="X148" s="336"/>
      <c r="Y148" s="336"/>
      <c r="Z148" s="336"/>
      <c r="AA148" s="336"/>
      <c r="AB148" s="336"/>
      <c r="AC148" s="336"/>
    </row>
    <row r="149" ht="30" customHeight="1" spans="1:29">
      <c r="A149" s="336"/>
      <c r="B149" s="516"/>
      <c r="C149" s="426" t="s">
        <v>200</v>
      </c>
      <c r="D149" s="12" t="s">
        <v>201</v>
      </c>
      <c r="E149" s="12">
        <v>20000</v>
      </c>
      <c r="F149" s="429"/>
      <c r="G149" s="500">
        <v>3000</v>
      </c>
      <c r="H149" s="12">
        <v>500</v>
      </c>
      <c r="I149" s="322"/>
      <c r="J149" s="322" t="str">
        <f>IFERROR(IF(VLOOKUP(D149,期货合约要素!$D:$Q,12,0)=0,"",VLOOKUP(D149,期货合约要素!$D:$Q,12,0)),IF(VLOOKUP(D149,期权合约要素!$D:$V,17,0)=0,"",VLOOKUP(D149,期权合约要素!$D:$V,17,0)))</f>
        <v/>
      </c>
      <c r="K149" s="323" t="str">
        <f>IFERROR(IF(VLOOKUP(D149,期货合约要素!$D:$Q,14,0)=0,"",VLOOKUP(D149,期货合约要素!$D:$Q,14,0)),IF(VLOOKUP(D149,期权合约要素!$D:$V,19,0)=0,"",VLOOKUP(D149,期权合约要素!$D:$V,19,0)))</f>
        <v/>
      </c>
      <c r="L149" s="336"/>
      <c r="M149" s="336"/>
      <c r="N149" s="336"/>
      <c r="O149" s="336"/>
      <c r="P149" s="336"/>
      <c r="Q149" s="336"/>
      <c r="R149" s="336"/>
      <c r="S149" s="336"/>
      <c r="T149" s="336"/>
      <c r="U149" s="336"/>
      <c r="V149" s="336"/>
      <c r="W149" s="336"/>
      <c r="X149" s="336"/>
      <c r="Y149" s="336"/>
      <c r="Z149" s="336"/>
      <c r="AA149" s="336"/>
      <c r="AB149" s="336"/>
      <c r="AC149" s="336"/>
    </row>
    <row r="150" ht="30" customHeight="1" spans="1:29">
      <c r="A150" s="336"/>
      <c r="B150" s="516"/>
      <c r="C150" s="426" t="s">
        <v>216</v>
      </c>
      <c r="D150" s="12" t="s">
        <v>217</v>
      </c>
      <c r="E150" s="12">
        <v>20000</v>
      </c>
      <c r="F150" s="429"/>
      <c r="G150" s="500">
        <v>3000</v>
      </c>
      <c r="H150" s="12">
        <v>500</v>
      </c>
      <c r="I150" s="322"/>
      <c r="J150" s="322" t="str">
        <f>IFERROR(IF(VLOOKUP(D150,期货合约要素!$D:$Q,12,0)=0,"",VLOOKUP(D150,期货合约要素!$D:$Q,12,0)),IF(VLOOKUP(D150,期权合约要素!$D:$V,17,0)=0,"",VLOOKUP(D150,期权合约要素!$D:$V,17,0)))</f>
        <v/>
      </c>
      <c r="K150" s="323" t="str">
        <f>IFERROR(IF(VLOOKUP(D150,期货合约要素!$D:$Q,14,0)=0,"",VLOOKUP(D150,期货合约要素!$D:$Q,14,0)),IF(VLOOKUP(D150,期权合约要素!$D:$V,19,0)=0,"",VLOOKUP(D150,期权合约要素!$D:$V,19,0)))</f>
        <v/>
      </c>
      <c r="L150" s="336"/>
      <c r="M150" s="336"/>
      <c r="N150" s="336"/>
      <c r="O150" s="336"/>
      <c r="P150" s="336"/>
      <c r="Q150" s="336"/>
      <c r="R150" s="336"/>
      <c r="S150" s="336"/>
      <c r="T150" s="336"/>
      <c r="U150" s="336"/>
      <c r="V150" s="336"/>
      <c r="W150" s="336"/>
      <c r="X150" s="336"/>
      <c r="Y150" s="336"/>
      <c r="Z150" s="336"/>
      <c r="AA150" s="336"/>
      <c r="AB150" s="336"/>
      <c r="AC150" s="336"/>
    </row>
    <row r="151" ht="30" customHeight="1" spans="1:29">
      <c r="A151" s="336"/>
      <c r="B151" s="516"/>
      <c r="C151" s="426" t="s">
        <v>168</v>
      </c>
      <c r="D151" s="12" t="s">
        <v>169</v>
      </c>
      <c r="E151" s="12">
        <v>5000</v>
      </c>
      <c r="F151" s="429"/>
      <c r="G151" s="500">
        <v>500</v>
      </c>
      <c r="H151" s="12">
        <v>100</v>
      </c>
      <c r="I151" s="322"/>
      <c r="J151" s="322" t="str">
        <f>IFERROR(IF(VLOOKUP(D151,期货合约要素!$D:$Q,12,0)=0,"",VLOOKUP(D151,期货合约要素!$D:$Q,12,0)),IF(VLOOKUP(D151,期权合约要素!$D:$V,17,0)=0,"",VLOOKUP(D151,期权合约要素!$D:$V,17,0)))</f>
        <v/>
      </c>
      <c r="K151" s="323" t="str">
        <f>IFERROR(IF(VLOOKUP(D151,期货合约要素!$D:$Q,14,0)=0,"",VLOOKUP(D151,期货合约要素!$D:$Q,14,0)),IF(VLOOKUP(D151,期权合约要素!$D:$V,19,0)=0,"",VLOOKUP(D151,期权合约要素!$D:$V,19,0)))</f>
        <v/>
      </c>
      <c r="L151" s="336"/>
      <c r="M151" s="336"/>
      <c r="N151" s="336"/>
      <c r="O151" s="336"/>
      <c r="P151" s="336"/>
      <c r="Q151" s="336"/>
      <c r="R151" s="336"/>
      <c r="S151" s="336"/>
      <c r="T151" s="336"/>
      <c r="U151" s="336"/>
      <c r="V151" s="336"/>
      <c r="W151" s="336"/>
      <c r="X151" s="336"/>
      <c r="Y151" s="336"/>
      <c r="Z151" s="336"/>
      <c r="AA151" s="336"/>
      <c r="AB151" s="336"/>
      <c r="AC151" s="336"/>
    </row>
    <row r="152" ht="30" customHeight="1" spans="1:29">
      <c r="A152" s="336"/>
      <c r="B152" s="516"/>
      <c r="C152" s="426" t="s">
        <v>214</v>
      </c>
      <c r="D152" s="12" t="s">
        <v>215</v>
      </c>
      <c r="E152" s="12">
        <v>5000</v>
      </c>
      <c r="F152" s="429"/>
      <c r="G152" s="500">
        <v>500</v>
      </c>
      <c r="H152" s="12">
        <v>200</v>
      </c>
      <c r="I152" s="322"/>
      <c r="J152" s="322" t="str">
        <f>IFERROR(IF(VLOOKUP(D152,期货合约要素!$D:$Q,12,0)=0,"",VLOOKUP(D152,期货合约要素!$D:$Q,12,0)),IF(VLOOKUP(D152,期权合约要素!$D:$V,17,0)=0,"",VLOOKUP(D152,期权合约要素!$D:$V,17,0)))</f>
        <v>√</v>
      </c>
      <c r="K152" s="323" t="str">
        <f>IFERROR(IF(VLOOKUP(D152,期货合约要素!$D:$Q,14,0)=0,"",VLOOKUP(D152,期货合约要素!$D:$Q,14,0)),IF(VLOOKUP(D152,期权合约要素!$D:$V,19,0)=0,"",VLOOKUP(D152,期权合约要素!$D:$V,19,0)))</f>
        <v>√</v>
      </c>
      <c r="L152" s="336"/>
      <c r="M152" s="336"/>
      <c r="N152" s="336"/>
      <c r="O152" s="336"/>
      <c r="P152" s="336"/>
      <c r="Q152" s="336"/>
      <c r="R152" s="336"/>
      <c r="S152" s="336"/>
      <c r="T152" s="336"/>
      <c r="U152" s="336"/>
      <c r="V152" s="336"/>
      <c r="W152" s="336"/>
      <c r="X152" s="336"/>
      <c r="Y152" s="336"/>
      <c r="Z152" s="336"/>
      <c r="AA152" s="336"/>
      <c r="AB152" s="336"/>
      <c r="AC152" s="336"/>
    </row>
    <row r="153" ht="30" customHeight="1" spans="1:29">
      <c r="A153" s="336"/>
      <c r="B153" s="516"/>
      <c r="C153" s="426" t="s">
        <v>188</v>
      </c>
      <c r="D153" s="12" t="s">
        <v>189</v>
      </c>
      <c r="E153" s="12">
        <v>4000</v>
      </c>
      <c r="F153" s="429"/>
      <c r="G153" s="500">
        <v>600</v>
      </c>
      <c r="H153" s="12">
        <v>100</v>
      </c>
      <c r="I153" s="322"/>
      <c r="J153" s="322" t="str">
        <f>IFERROR(IF(VLOOKUP(D153,期货合约要素!$D:$Q,12,0)=0,"",VLOOKUP(D153,期货合约要素!$D:$Q,12,0)),IF(VLOOKUP(D153,期权合约要素!$D:$V,17,0)=0,"",VLOOKUP(D153,期权合约要素!$D:$V,17,0)))</f>
        <v/>
      </c>
      <c r="K153" s="323" t="str">
        <f>IFERROR(IF(VLOOKUP(D153,期货合约要素!$D:$Q,14,0)=0,"",VLOOKUP(D153,期货合约要素!$D:$Q,14,0)),IF(VLOOKUP(D153,期权合约要素!$D:$V,19,0)=0,"",VLOOKUP(D153,期权合约要素!$D:$V,19,0)))</f>
        <v/>
      </c>
      <c r="L153" s="336"/>
      <c r="M153" s="336"/>
      <c r="N153" s="336"/>
      <c r="O153" s="336"/>
      <c r="P153" s="336"/>
      <c r="Q153" s="336"/>
      <c r="R153" s="336"/>
      <c r="S153" s="336"/>
      <c r="T153" s="336"/>
      <c r="U153" s="336"/>
      <c r="V153" s="336"/>
      <c r="W153" s="336"/>
      <c r="X153" s="336"/>
      <c r="Y153" s="336"/>
      <c r="Z153" s="336"/>
      <c r="AA153" s="336"/>
      <c r="AB153" s="336"/>
      <c r="AC153" s="336"/>
    </row>
    <row r="154" ht="30" customHeight="1" spans="1:29">
      <c r="A154" s="336"/>
      <c r="B154" s="516"/>
      <c r="C154" s="426" t="s">
        <v>174</v>
      </c>
      <c r="D154" s="12" t="s">
        <v>175</v>
      </c>
      <c r="E154" s="12">
        <v>20000</v>
      </c>
      <c r="F154" s="429"/>
      <c r="G154" s="500">
        <v>2000</v>
      </c>
      <c r="H154" s="12">
        <v>800</v>
      </c>
      <c r="I154" s="322"/>
      <c r="J154" s="322" t="str">
        <f>IFERROR(IF(VLOOKUP(D154,期货合约要素!$D:$Q,12,0)=0,"",VLOOKUP(D154,期货合约要素!$D:$Q,12,0)),IF(VLOOKUP(D154,期权合约要素!$D:$V,17,0)=0,"",VLOOKUP(D154,期权合约要素!$D:$V,17,0)))</f>
        <v>√</v>
      </c>
      <c r="K154" s="323" t="str">
        <f>IFERROR(IF(VLOOKUP(D154,期货合约要素!$D:$Q,14,0)=0,"",VLOOKUP(D154,期货合约要素!$D:$Q,14,0)),IF(VLOOKUP(D154,期权合约要素!$D:$V,19,0)=0,"",VLOOKUP(D154,期权合约要素!$D:$V,19,0)))</f>
        <v/>
      </c>
      <c r="L154" s="336"/>
      <c r="M154" s="336"/>
      <c r="N154" s="336"/>
      <c r="O154" s="336"/>
      <c r="P154" s="336"/>
      <c r="Q154" s="336"/>
      <c r="R154" s="336"/>
      <c r="S154" s="336"/>
      <c r="T154" s="336"/>
      <c r="U154" s="336"/>
      <c r="V154" s="336"/>
      <c r="W154" s="336"/>
      <c r="X154" s="336"/>
      <c r="Y154" s="336"/>
      <c r="Z154" s="336"/>
      <c r="AA154" s="336"/>
      <c r="AB154" s="336"/>
      <c r="AC154" s="336"/>
    </row>
    <row r="155" ht="30" customHeight="1" spans="1:29">
      <c r="A155" s="336"/>
      <c r="B155" s="516"/>
      <c r="C155" s="426" t="s">
        <v>212</v>
      </c>
      <c r="D155" s="12" t="s">
        <v>213</v>
      </c>
      <c r="E155" s="12">
        <v>5000</v>
      </c>
      <c r="F155" s="429"/>
      <c r="G155" s="500">
        <v>1000</v>
      </c>
      <c r="H155" s="12">
        <v>300</v>
      </c>
      <c r="I155" s="322"/>
      <c r="J155" s="322" t="str">
        <f>IFERROR(IF(VLOOKUP(D155,期货合约要素!$D:$Q,12,0)=0,"",VLOOKUP(D155,期货合约要素!$D:$Q,12,0)),IF(VLOOKUP(D155,期权合约要素!$D:$V,17,0)=0,"",VLOOKUP(D155,期权合约要素!$D:$V,17,0)))</f>
        <v/>
      </c>
      <c r="K155" s="323" t="str">
        <f>IFERROR(IF(VLOOKUP(D155,期货合约要素!$D:$Q,14,0)=0,"",VLOOKUP(D155,期货合约要素!$D:$Q,14,0)),IF(VLOOKUP(D155,期权合约要素!$D:$V,19,0)=0,"",VLOOKUP(D155,期权合约要素!$D:$V,19,0)))</f>
        <v/>
      </c>
      <c r="L155" s="336"/>
      <c r="M155" s="336"/>
      <c r="N155" s="336"/>
      <c r="O155" s="336"/>
      <c r="P155" s="336"/>
      <c r="Q155" s="336"/>
      <c r="R155" s="336"/>
      <c r="S155" s="336"/>
      <c r="T155" s="336"/>
      <c r="U155" s="336"/>
      <c r="V155" s="336"/>
      <c r="W155" s="336"/>
      <c r="X155" s="336"/>
      <c r="Y155" s="336"/>
      <c r="Z155" s="336"/>
      <c r="AA155" s="336"/>
      <c r="AB155" s="336"/>
      <c r="AC155" s="336"/>
    </row>
    <row r="156" ht="30" customHeight="1" spans="1:29">
      <c r="A156" s="336"/>
      <c r="B156" s="516"/>
      <c r="C156" s="426" t="s">
        <v>202</v>
      </c>
      <c r="D156" s="12" t="s">
        <v>203</v>
      </c>
      <c r="E156" s="12">
        <v>10000</v>
      </c>
      <c r="F156" s="12"/>
      <c r="G156" s="500">
        <v>2000</v>
      </c>
      <c r="H156" s="12">
        <v>1000</v>
      </c>
      <c r="I156" s="322"/>
      <c r="J156" s="322" t="str">
        <f>IFERROR(IF(VLOOKUP(D156,期货合约要素!$D:$Q,12,0)=0,"",VLOOKUP(D156,期货合约要素!$D:$Q,12,0)),IF(VLOOKUP(D156,期权合约要素!$D:$V,17,0)=0,"",VLOOKUP(D156,期权合约要素!$D:$V,17,0)))</f>
        <v>√</v>
      </c>
      <c r="K156" s="323" t="str">
        <f>IFERROR(IF(VLOOKUP(D156,期货合约要素!$D:$Q,14,0)=0,"",VLOOKUP(D156,期货合约要素!$D:$Q,14,0)),IF(VLOOKUP(D156,期权合约要素!$D:$V,19,0)=0,"",VLOOKUP(D156,期权合约要素!$D:$V,19,0)))</f>
        <v/>
      </c>
      <c r="L156" s="336"/>
      <c r="M156" s="336"/>
      <c r="N156" s="336"/>
      <c r="O156" s="336"/>
      <c r="P156" s="336"/>
      <c r="Q156" s="336"/>
      <c r="R156" s="336"/>
      <c r="S156" s="336"/>
      <c r="T156" s="336"/>
      <c r="U156" s="336"/>
      <c r="V156" s="336"/>
      <c r="W156" s="336"/>
      <c r="X156" s="336"/>
      <c r="Y156" s="336"/>
      <c r="Z156" s="336"/>
      <c r="AA156" s="336"/>
      <c r="AB156" s="336"/>
      <c r="AC156" s="336"/>
    </row>
    <row r="157" ht="30" customHeight="1" spans="1:29">
      <c r="A157" s="336"/>
      <c r="B157" s="516"/>
      <c r="C157" s="426" t="s">
        <v>196</v>
      </c>
      <c r="D157" s="12" t="s">
        <v>197</v>
      </c>
      <c r="E157" s="12">
        <v>30000</v>
      </c>
      <c r="F157" s="12"/>
      <c r="G157" s="500">
        <v>5000</v>
      </c>
      <c r="H157" s="12">
        <v>2000</v>
      </c>
      <c r="I157" s="322"/>
      <c r="J157" s="322" t="str">
        <f>IFERROR(IF(VLOOKUP(D157,期货合约要素!$D:$Q,12,0)=0,"",VLOOKUP(D157,期货合约要素!$D:$Q,12,0)),IF(VLOOKUP(D157,期权合约要素!$D:$V,17,0)=0,"",VLOOKUP(D157,期权合约要素!$D:$V,17,0)))</f>
        <v>√</v>
      </c>
      <c r="K157" s="323" t="str">
        <f>IFERROR(IF(VLOOKUP(D157,期货合约要素!$D:$Q,14,0)=0,"",VLOOKUP(D157,期货合约要素!$D:$Q,14,0)),IF(VLOOKUP(D157,期权合约要素!$D:$V,19,0)=0,"",VLOOKUP(D157,期权合约要素!$D:$V,19,0)))</f>
        <v/>
      </c>
      <c r="L157" s="336"/>
      <c r="M157" s="336"/>
      <c r="N157" s="336"/>
      <c r="O157" s="336"/>
      <c r="P157" s="336"/>
      <c r="Q157" s="336"/>
      <c r="R157" s="336"/>
      <c r="S157" s="336"/>
      <c r="T157" s="336"/>
      <c r="U157" s="336"/>
      <c r="V157" s="336"/>
      <c r="W157" s="336"/>
      <c r="X157" s="336"/>
      <c r="Y157" s="336"/>
      <c r="Z157" s="336"/>
      <c r="AA157" s="336"/>
      <c r="AB157" s="336"/>
      <c r="AC157" s="336"/>
    </row>
    <row r="158" ht="30" customHeight="1" spans="1:29">
      <c r="A158" s="336"/>
      <c r="B158" s="516"/>
      <c r="C158" s="426" t="s">
        <v>194</v>
      </c>
      <c r="D158" s="12" t="s">
        <v>195</v>
      </c>
      <c r="E158" s="12">
        <v>2000</v>
      </c>
      <c r="F158" s="429"/>
      <c r="G158" s="500">
        <v>500</v>
      </c>
      <c r="H158" s="12">
        <v>50</v>
      </c>
      <c r="I158" s="322"/>
      <c r="J158" s="322" t="str">
        <f>IFERROR(IF(VLOOKUP(D158,期货合约要素!$D:$Q,12,0)=0,"",VLOOKUP(D158,期货合约要素!$D:$Q,12,0)),IF(VLOOKUP(D158,期权合约要素!$D:$V,17,0)=0,"",VLOOKUP(D158,期权合约要素!$D:$V,17,0)))</f>
        <v/>
      </c>
      <c r="K158" s="323" t="str">
        <f>IFERROR(IF(VLOOKUP(D158,期货合约要素!$D:$Q,14,0)=0,"",VLOOKUP(D158,期货合约要素!$D:$Q,14,0)),IF(VLOOKUP(D158,期权合约要素!$D:$V,19,0)=0,"",VLOOKUP(D158,期权合约要素!$D:$V,19,0)))</f>
        <v/>
      </c>
      <c r="L158" s="336"/>
      <c r="M158" s="336"/>
      <c r="N158" s="336"/>
      <c r="O158" s="336"/>
      <c r="P158" s="336"/>
      <c r="Q158" s="336"/>
      <c r="R158" s="336"/>
      <c r="S158" s="336"/>
      <c r="T158" s="336"/>
      <c r="U158" s="336"/>
      <c r="V158" s="336"/>
      <c r="W158" s="336"/>
      <c r="X158" s="336"/>
      <c r="Y158" s="336"/>
      <c r="Z158" s="336"/>
      <c r="AA158" s="336"/>
      <c r="AB158" s="336"/>
      <c r="AC158" s="336"/>
    </row>
    <row r="159" ht="30" customHeight="1" spans="1:29">
      <c r="A159" s="336"/>
      <c r="B159" s="516"/>
      <c r="C159" s="423" t="s">
        <v>36</v>
      </c>
      <c r="D159" s="423" t="s">
        <v>37</v>
      </c>
      <c r="E159" s="431" t="s">
        <v>915</v>
      </c>
      <c r="F159" s="517"/>
      <c r="G159" s="505" t="s">
        <v>913</v>
      </c>
      <c r="H159" s="518" t="s">
        <v>866</v>
      </c>
      <c r="I159" s="431" t="s">
        <v>794</v>
      </c>
      <c r="J159" s="431" t="s">
        <v>40</v>
      </c>
      <c r="K159" s="456" t="s">
        <v>41</v>
      </c>
      <c r="L159" s="336"/>
      <c r="M159" s="336"/>
      <c r="N159" s="336"/>
      <c r="O159" s="336"/>
      <c r="P159" s="336"/>
      <c r="Q159" s="336"/>
      <c r="R159" s="336"/>
      <c r="S159" s="336"/>
      <c r="T159" s="336"/>
      <c r="U159" s="336"/>
      <c r="V159" s="336"/>
      <c r="W159" s="336"/>
      <c r="X159" s="336"/>
      <c r="Y159" s="336"/>
      <c r="Z159" s="336"/>
      <c r="AA159" s="336"/>
      <c r="AB159" s="336"/>
      <c r="AC159" s="336"/>
    </row>
    <row r="160" ht="30" customHeight="1" spans="1:29">
      <c r="A160" s="336"/>
      <c r="B160" s="516"/>
      <c r="C160" s="426" t="s">
        <v>164</v>
      </c>
      <c r="D160" s="12" t="s">
        <v>165</v>
      </c>
      <c r="E160" s="12" t="s">
        <v>916</v>
      </c>
      <c r="F160" s="500">
        <v>20000</v>
      </c>
      <c r="G160" s="500">
        <v>4000</v>
      </c>
      <c r="H160" s="500">
        <v>800</v>
      </c>
      <c r="I160" s="322" t="s">
        <v>914</v>
      </c>
      <c r="J160" s="322" t="str">
        <f>IFERROR(IF(VLOOKUP(D160,期货合约要素!$D:$Q,12,0)=0,"",VLOOKUP(D160,期货合约要素!$D:$Q,12,0)),IF(VLOOKUP(D160,期权合约要素!$D:$V,17,0)=0,"",VLOOKUP(D160,期权合约要素!$D:$V,17,0)))</f>
        <v/>
      </c>
      <c r="K160" s="327" t="str">
        <f>IFERROR(IF(VLOOKUP(D160,期货合约要素!$D:$Q,14,0)=0,"",VLOOKUP(D160,期货合约要素!$D:$Q,14,0)),IF(VLOOKUP(D160,期权合约要素!$D:$V,19,0)=0,"",VLOOKUP(D160,期权合约要素!$D:$V,19,0)))</f>
        <v/>
      </c>
      <c r="L160" s="336"/>
      <c r="M160" s="336"/>
      <c r="N160" s="336"/>
      <c r="O160" s="336"/>
      <c r="P160" s="336"/>
      <c r="Q160" s="336"/>
      <c r="R160" s="336"/>
      <c r="S160" s="336"/>
      <c r="T160" s="336"/>
      <c r="U160" s="336"/>
      <c r="V160" s="336"/>
      <c r="W160" s="336"/>
      <c r="X160" s="336"/>
      <c r="Y160" s="336"/>
      <c r="Z160" s="336"/>
      <c r="AA160" s="336"/>
      <c r="AB160" s="336"/>
      <c r="AC160" s="336"/>
    </row>
    <row r="161" ht="47.1" customHeight="1" spans="1:29">
      <c r="A161" s="336"/>
      <c r="B161" s="516"/>
      <c r="C161" s="429"/>
      <c r="D161" s="429"/>
      <c r="E161" s="12" t="s">
        <v>917</v>
      </c>
      <c r="F161" s="500" t="s">
        <v>879</v>
      </c>
      <c r="G161" s="429"/>
      <c r="H161" s="429"/>
      <c r="I161" s="322"/>
      <c r="J161" s="322"/>
      <c r="K161" s="327"/>
      <c r="L161" s="336"/>
      <c r="M161" s="336"/>
      <c r="N161" s="336"/>
      <c r="O161" s="336"/>
      <c r="P161" s="336"/>
      <c r="Q161" s="336"/>
      <c r="R161" s="336"/>
      <c r="S161" s="336"/>
      <c r="T161" s="336"/>
      <c r="U161" s="336"/>
      <c r="V161" s="336"/>
      <c r="W161" s="336"/>
      <c r="X161" s="336"/>
      <c r="Y161" s="336"/>
      <c r="Z161" s="336"/>
      <c r="AA161" s="336"/>
      <c r="AB161" s="336"/>
      <c r="AC161" s="336"/>
    </row>
    <row r="162" ht="36" customHeight="1" spans="1:29">
      <c r="A162" s="336"/>
      <c r="B162" s="516"/>
      <c r="C162" s="426" t="s">
        <v>178</v>
      </c>
      <c r="D162" s="12" t="s">
        <v>179</v>
      </c>
      <c r="E162" s="12" t="s">
        <v>918</v>
      </c>
      <c r="F162" s="500">
        <v>50000</v>
      </c>
      <c r="G162" s="500">
        <v>10000</v>
      </c>
      <c r="H162" s="500">
        <v>5000</v>
      </c>
      <c r="I162" s="322"/>
      <c r="J162" s="322" t="str">
        <f>IFERROR(IF(VLOOKUP(D162,期货合约要素!$D:$Q,12,0)=0,"",VLOOKUP(D162,期货合约要素!$D:$Q,12,0)),IF(VLOOKUP(D162,期权合约要素!$D:$V,17,0)=0,"",VLOOKUP(D162,期权合约要素!$D:$V,17,0)))</f>
        <v>√</v>
      </c>
      <c r="K162" s="327" t="str">
        <f>IFERROR(IF(VLOOKUP(D162,期货合约要素!$D:$Q,14,0)=0,"",VLOOKUP(D162,期货合约要素!$D:$Q,14,0)),IF(VLOOKUP(D162,期权合约要素!$D:$V,19,0)=0,"",VLOOKUP(D162,期权合约要素!$D:$V,19,0)))</f>
        <v>√</v>
      </c>
      <c r="L162" s="336"/>
      <c r="M162" s="336"/>
      <c r="N162" s="336"/>
      <c r="O162" s="336"/>
      <c r="P162" s="336"/>
      <c r="Q162" s="336"/>
      <c r="R162" s="336"/>
      <c r="S162" s="336"/>
      <c r="T162" s="336"/>
      <c r="U162" s="336"/>
      <c r="V162" s="336"/>
      <c r="W162" s="336"/>
      <c r="X162" s="336"/>
      <c r="Y162" s="336"/>
      <c r="Z162" s="336"/>
      <c r="AA162" s="336"/>
      <c r="AB162" s="336"/>
      <c r="AC162" s="336"/>
    </row>
    <row r="163" ht="36" customHeight="1" spans="1:29">
      <c r="A163" s="336"/>
      <c r="B163" s="516"/>
      <c r="C163" s="429"/>
      <c r="D163" s="429"/>
      <c r="E163" s="12" t="s">
        <v>919</v>
      </c>
      <c r="F163" s="500" t="s">
        <v>879</v>
      </c>
      <c r="G163" s="429"/>
      <c r="H163" s="429"/>
      <c r="I163" s="322"/>
      <c r="J163" s="322" t="e">
        <f>IFERROR(IF(VLOOKUP(D163,期货合约要素!$D:$Q,12,0)=0,"",VLOOKUP(D163,期货合约要素!$D:$Q,12,0)),IF(VLOOKUP(D163,期权合约要素!$D:$V,17,0)=0,"",VLOOKUP(D163,期权合约要素!$D:$V,17,0)))</f>
        <v>#N/A</v>
      </c>
      <c r="K163" s="327" t="e">
        <f>IFERROR(IF(VLOOKUP(D163,期货合约要素!$D:$Q,14,0)=0,"",VLOOKUP(D163,期货合约要素!$D:$Q,14,0)),IF(VLOOKUP(D163,期权合约要素!$D:$V,19,0)=0,"",VLOOKUP(D163,期权合约要素!$D:$V,19,0)))</f>
        <v>#N/A</v>
      </c>
      <c r="L163" s="336"/>
      <c r="M163" s="336"/>
      <c r="N163" s="336"/>
      <c r="O163" s="336"/>
      <c r="P163" s="336"/>
      <c r="Q163" s="336"/>
      <c r="R163" s="336"/>
      <c r="S163" s="336"/>
      <c r="T163" s="336"/>
      <c r="U163" s="336"/>
      <c r="V163" s="336"/>
      <c r="W163" s="336"/>
      <c r="X163" s="336"/>
      <c r="Y163" s="336"/>
      <c r="Z163" s="336"/>
      <c r="AA163" s="336"/>
      <c r="AB163" s="336"/>
      <c r="AC163" s="336"/>
    </row>
    <row r="164" ht="36" customHeight="1" spans="1:29">
      <c r="A164" s="336"/>
      <c r="B164" s="516"/>
      <c r="C164" s="426" t="s">
        <v>180</v>
      </c>
      <c r="D164" s="12" t="s">
        <v>181</v>
      </c>
      <c r="E164" s="12" t="s">
        <v>920</v>
      </c>
      <c r="F164" s="500">
        <v>10000</v>
      </c>
      <c r="G164" s="500">
        <v>1500</v>
      </c>
      <c r="H164" s="500">
        <v>300</v>
      </c>
      <c r="I164" s="322"/>
      <c r="J164" s="322" t="str">
        <f>IFERROR(IF(VLOOKUP(D164,期货合约要素!$D:$Q,12,0)=0,"",VLOOKUP(D164,期货合约要素!$D:$Q,12,0)),IF(VLOOKUP(D164,期权合约要素!$D:$V,17,0)=0,"",VLOOKUP(D164,期权合约要素!$D:$V,17,0)))</f>
        <v>√</v>
      </c>
      <c r="K164" s="327" t="str">
        <f>IFERROR(IF(VLOOKUP(D164,期货合约要素!$D:$Q,14,0)=0,"",VLOOKUP(D164,期货合约要素!$D:$Q,14,0)),IF(VLOOKUP(D164,期权合约要素!$D:$V,19,0)=0,"",VLOOKUP(D164,期权合约要素!$D:$V,19,0)))</f>
        <v>√</v>
      </c>
      <c r="L164" s="336"/>
      <c r="M164" s="336"/>
      <c r="N164" s="336"/>
      <c r="O164" s="336"/>
      <c r="P164" s="336"/>
      <c r="Q164" s="336"/>
      <c r="R164" s="336"/>
      <c r="S164" s="336"/>
      <c r="T164" s="336"/>
      <c r="U164" s="336"/>
      <c r="V164" s="336"/>
      <c r="W164" s="336"/>
      <c r="X164" s="336"/>
      <c r="Y164" s="336"/>
      <c r="Z164" s="336"/>
      <c r="AA164" s="336"/>
      <c r="AB164" s="336"/>
      <c r="AC164" s="336"/>
    </row>
    <row r="165" ht="20.1" customHeight="1" spans="1:29">
      <c r="A165" s="336"/>
      <c r="B165" s="516"/>
      <c r="C165" s="429"/>
      <c r="D165" s="429"/>
      <c r="E165" s="12" t="s">
        <v>921</v>
      </c>
      <c r="F165" s="500" t="s">
        <v>879</v>
      </c>
      <c r="G165" s="429"/>
      <c r="H165" s="429"/>
      <c r="I165" s="322"/>
      <c r="J165" s="322" t="e">
        <f>IFERROR(IF(VLOOKUP(D165,期货合约要素!$D:$Q,12,0)=0,"",VLOOKUP(D165,期货合约要素!$D:$Q,12,0)),IF(VLOOKUP(D165,期权合约要素!$D:$V,17,0)=0,"",VLOOKUP(D165,期权合约要素!$D:$V,17,0)))</f>
        <v>#N/A</v>
      </c>
      <c r="K165" s="327" t="e">
        <f>IFERROR(IF(VLOOKUP(D165,期货合约要素!$D:$Q,14,0)=0,"",VLOOKUP(D165,期货合约要素!$D:$Q,14,0)),IF(VLOOKUP(D165,期权合约要素!$D:$V,19,0)=0,"",VLOOKUP(D165,期权合约要素!$D:$V,19,0)))</f>
        <v>#N/A</v>
      </c>
      <c r="L165" s="336"/>
      <c r="M165" s="336"/>
      <c r="N165" s="336"/>
      <c r="O165" s="336"/>
      <c r="P165" s="336"/>
      <c r="Q165" s="336"/>
      <c r="R165" s="336"/>
      <c r="S165" s="336"/>
      <c r="T165" s="336"/>
      <c r="U165" s="336"/>
      <c r="V165" s="336"/>
      <c r="W165" s="336"/>
      <c r="X165" s="336"/>
      <c r="Y165" s="336"/>
      <c r="Z165" s="336"/>
      <c r="AA165" s="336"/>
      <c r="AB165" s="336"/>
      <c r="AC165" s="336"/>
    </row>
    <row r="166" ht="20.1" customHeight="1" spans="1:29">
      <c r="A166" s="336"/>
      <c r="B166" s="516"/>
      <c r="C166" s="426" t="s">
        <v>385</v>
      </c>
      <c r="D166" s="12" t="s">
        <v>183</v>
      </c>
      <c r="E166" s="12" t="s">
        <v>920</v>
      </c>
      <c r="F166" s="500">
        <v>10000</v>
      </c>
      <c r="G166" s="500">
        <v>3000</v>
      </c>
      <c r="H166" s="500">
        <v>1000</v>
      </c>
      <c r="I166" s="322"/>
      <c r="J166" s="322" t="str">
        <f>IFERROR(IF(VLOOKUP(D166,期货合约要素!$D:$Q,12,0)=0,"",VLOOKUP(D166,期货合约要素!$D:$Q,12,0)),IF(VLOOKUP(D166,期权合约要素!$D:$V,17,0)=0,"",VLOOKUP(D166,期权合约要素!$D:$V,17,0)))</f>
        <v>√</v>
      </c>
      <c r="K166" s="327" t="str">
        <f>IFERROR(IF(VLOOKUP(D166,期货合约要素!$D:$Q,14,0)=0,"",VLOOKUP(D166,期货合约要素!$D:$Q,14,0)),IF(VLOOKUP(D166,期权合约要素!$D:$V,19,0)=0,"",VLOOKUP(D166,期权合约要素!$D:$V,19,0)))</f>
        <v>√</v>
      </c>
      <c r="L166" s="336"/>
      <c r="M166" s="336"/>
      <c r="N166" s="336"/>
      <c r="O166" s="336"/>
      <c r="P166" s="336"/>
      <c r="Q166" s="336"/>
      <c r="R166" s="336"/>
      <c r="S166" s="336"/>
      <c r="T166" s="336"/>
      <c r="U166" s="336"/>
      <c r="V166" s="336"/>
      <c r="W166" s="336"/>
      <c r="X166" s="336"/>
      <c r="Y166" s="336"/>
      <c r="Z166" s="336"/>
      <c r="AA166" s="336"/>
      <c r="AB166" s="336"/>
      <c r="AC166" s="336"/>
    </row>
    <row r="167" ht="20.1" customHeight="1" spans="1:29">
      <c r="A167" s="336"/>
      <c r="B167" s="516"/>
      <c r="C167" s="429"/>
      <c r="D167" s="429"/>
      <c r="E167" s="12" t="s">
        <v>921</v>
      </c>
      <c r="F167" s="500" t="s">
        <v>879</v>
      </c>
      <c r="G167" s="429"/>
      <c r="H167" s="429"/>
      <c r="I167" s="322"/>
      <c r="J167" s="322" t="e">
        <f>IFERROR(IF(VLOOKUP(D167,期货合约要素!$D:$Q,12,0)=0,"",VLOOKUP(D167,期货合约要素!$D:$Q,12,0)),IF(VLOOKUP(D167,期权合约要素!$D:$V,17,0)=0,"",VLOOKUP(D167,期权合约要素!$D:$V,17,0)))</f>
        <v>#N/A</v>
      </c>
      <c r="K167" s="327" t="e">
        <f>IFERROR(IF(VLOOKUP(D167,期货合约要素!$D:$Q,14,0)=0,"",VLOOKUP(D167,期货合约要素!$D:$Q,14,0)),IF(VLOOKUP(D167,期权合约要素!$D:$V,19,0)=0,"",VLOOKUP(D167,期权合约要素!$D:$V,19,0)))</f>
        <v>#N/A</v>
      </c>
      <c r="L167" s="336"/>
      <c r="M167" s="336"/>
      <c r="N167" s="336"/>
      <c r="O167" s="336"/>
      <c r="P167" s="336"/>
      <c r="Q167" s="336"/>
      <c r="R167" s="336"/>
      <c r="S167" s="336"/>
      <c r="T167" s="336"/>
      <c r="U167" s="336"/>
      <c r="V167" s="336"/>
      <c r="W167" s="336"/>
      <c r="X167" s="336"/>
      <c r="Y167" s="336"/>
      <c r="Z167" s="336"/>
      <c r="AA167" s="336"/>
      <c r="AB167" s="336"/>
      <c r="AC167" s="336"/>
    </row>
    <row r="168" ht="20.1" customHeight="1" spans="1:29">
      <c r="A168" s="336"/>
      <c r="B168" s="516"/>
      <c r="C168" s="426" t="s">
        <v>176</v>
      </c>
      <c r="D168" s="12" t="s">
        <v>177</v>
      </c>
      <c r="E168" s="12" t="s">
        <v>922</v>
      </c>
      <c r="F168" s="500">
        <v>30000</v>
      </c>
      <c r="G168" s="500">
        <v>3000</v>
      </c>
      <c r="H168" s="500">
        <v>1000</v>
      </c>
      <c r="I168" s="322"/>
      <c r="J168" s="322" t="str">
        <f>IFERROR(IF(VLOOKUP(D168,期货合约要素!$D:$Q,12,0)=0,"",VLOOKUP(D168,期货合约要素!$D:$Q,12,0)),IF(VLOOKUP(D168,期权合约要素!$D:$V,17,0)=0,"",VLOOKUP(D168,期权合约要素!$D:$V,17,0)))</f>
        <v>√</v>
      </c>
      <c r="K168" s="327" t="str">
        <f>IFERROR(IF(VLOOKUP(D168,期货合约要素!$D:$Q,14,0)=0,"",VLOOKUP(D168,期货合约要素!$D:$Q,14,0)),IF(VLOOKUP(D168,期权合约要素!$D:$V,19,0)=0,"",VLOOKUP(D168,期权合约要素!$D:$V,19,0)))</f>
        <v/>
      </c>
      <c r="L168" s="336"/>
      <c r="M168" s="336"/>
      <c r="N168" s="336"/>
      <c r="O168" s="336"/>
      <c r="P168" s="336"/>
      <c r="Q168" s="336"/>
      <c r="R168" s="336"/>
      <c r="S168" s="336"/>
      <c r="T168" s="336"/>
      <c r="U168" s="336"/>
      <c r="V168" s="336"/>
      <c r="W168" s="336"/>
      <c r="X168" s="336"/>
      <c r="Y168" s="336"/>
      <c r="Z168" s="336"/>
      <c r="AA168" s="336"/>
      <c r="AB168" s="336"/>
      <c r="AC168" s="336"/>
    </row>
    <row r="169" ht="20.1" customHeight="1" spans="1:29">
      <c r="A169" s="336"/>
      <c r="B169" s="516"/>
      <c r="C169" s="429"/>
      <c r="D169" s="429"/>
      <c r="E169" s="12" t="s">
        <v>923</v>
      </c>
      <c r="F169" s="500" t="s">
        <v>879</v>
      </c>
      <c r="G169" s="429"/>
      <c r="H169" s="429"/>
      <c r="I169" s="322"/>
      <c r="J169" s="322" t="e">
        <f>IFERROR(IF(VLOOKUP(D169,期货合约要素!$D:$Q,12,0)=0,"",VLOOKUP(D169,期货合约要素!$D:$Q,12,0)),IF(VLOOKUP(D169,期权合约要素!$D:$V,17,0)=0,"",VLOOKUP(D169,期权合约要素!$D:$V,17,0)))</f>
        <v>#N/A</v>
      </c>
      <c r="K169" s="327" t="e">
        <f>IFERROR(IF(VLOOKUP(D169,期货合约要素!$D:$Q,14,0)=0,"",VLOOKUP(D169,期货合约要素!$D:$Q,14,0)),IF(VLOOKUP(D169,期权合约要素!$D:$V,19,0)=0,"",VLOOKUP(D169,期权合约要素!$D:$V,19,0)))</f>
        <v>#N/A</v>
      </c>
      <c r="L169" s="336"/>
      <c r="M169" s="336"/>
      <c r="N169" s="336"/>
      <c r="O169" s="336"/>
      <c r="P169" s="336"/>
      <c r="Q169" s="336"/>
      <c r="R169" s="336"/>
      <c r="S169" s="336"/>
      <c r="T169" s="336"/>
      <c r="U169" s="336"/>
      <c r="V169" s="336"/>
      <c r="W169" s="336"/>
      <c r="X169" s="336"/>
      <c r="Y169" s="336"/>
      <c r="Z169" s="336"/>
      <c r="AA169" s="336"/>
      <c r="AB169" s="336"/>
      <c r="AC169" s="336"/>
    </row>
    <row r="170" ht="20.1" customHeight="1" spans="1:29">
      <c r="A170" s="336"/>
      <c r="B170" s="516"/>
      <c r="C170" s="426" t="s">
        <v>172</v>
      </c>
      <c r="D170" s="12" t="s">
        <v>173</v>
      </c>
      <c r="E170" s="12" t="s">
        <v>916</v>
      </c>
      <c r="F170" s="500">
        <v>20000</v>
      </c>
      <c r="G170" s="500">
        <v>5000</v>
      </c>
      <c r="H170" s="500">
        <v>1000</v>
      </c>
      <c r="I170" s="322"/>
      <c r="J170" s="322" t="str">
        <f>IFERROR(IF(VLOOKUP(D170,期货合约要素!$D:$Q,12,0)=0,"",VLOOKUP(D170,期货合约要素!$D:$Q,12,0)),IF(VLOOKUP(D170,期权合约要素!$D:$V,17,0)=0,"",VLOOKUP(D170,期权合约要素!$D:$V,17,0)))</f>
        <v>√</v>
      </c>
      <c r="K170" s="327" t="str">
        <f>IFERROR(IF(VLOOKUP(D170,期货合约要素!$D:$Q,14,0)=0,"",VLOOKUP(D170,期货合约要素!$D:$Q,14,0)),IF(VLOOKUP(D170,期权合约要素!$D:$V,19,0)=0,"",VLOOKUP(D170,期权合约要素!$D:$V,19,0)))</f>
        <v/>
      </c>
      <c r="L170" s="336"/>
      <c r="M170" s="336"/>
      <c r="N170" s="336"/>
      <c r="O170" s="336"/>
      <c r="P170" s="336"/>
      <c r="Q170" s="336"/>
      <c r="R170" s="336"/>
      <c r="S170" s="336"/>
      <c r="T170" s="336"/>
      <c r="U170" s="336"/>
      <c r="V170" s="336"/>
      <c r="W170" s="336"/>
      <c r="X170" s="336"/>
      <c r="Y170" s="336"/>
      <c r="Z170" s="336"/>
      <c r="AA170" s="336"/>
      <c r="AB170" s="336"/>
      <c r="AC170" s="336"/>
    </row>
    <row r="171" ht="20.1" customHeight="1" spans="1:29">
      <c r="A171" s="336"/>
      <c r="B171" s="516"/>
      <c r="C171" s="429"/>
      <c r="D171" s="429"/>
      <c r="E171" s="12" t="s">
        <v>917</v>
      </c>
      <c r="F171" s="500" t="s">
        <v>879</v>
      </c>
      <c r="G171" s="429"/>
      <c r="H171" s="429"/>
      <c r="I171" s="322"/>
      <c r="J171" s="322" t="e">
        <f>IFERROR(IF(VLOOKUP(D171,期货合约要素!$D:$Q,12,0)=0,"",VLOOKUP(D171,期货合约要素!$D:$Q,12,0)),IF(VLOOKUP(D171,期权合约要素!$D:$V,17,0)=0,"",VLOOKUP(D171,期权合约要素!$D:$V,17,0)))</f>
        <v>#N/A</v>
      </c>
      <c r="K171" s="327" t="e">
        <f>IFERROR(IF(VLOOKUP(D171,期货合约要素!$D:$Q,14,0)=0,"",VLOOKUP(D171,期货合约要素!$D:$Q,14,0)),IF(VLOOKUP(D171,期权合约要素!$D:$V,19,0)=0,"",VLOOKUP(D171,期权合约要素!$D:$V,19,0)))</f>
        <v>#N/A</v>
      </c>
      <c r="L171" s="336"/>
      <c r="M171" s="336"/>
      <c r="N171" s="336"/>
      <c r="O171" s="336"/>
      <c r="P171" s="336"/>
      <c r="Q171" s="336"/>
      <c r="R171" s="336"/>
      <c r="S171" s="336"/>
      <c r="T171" s="336"/>
      <c r="U171" s="336"/>
      <c r="V171" s="336"/>
      <c r="W171" s="336"/>
      <c r="X171" s="336"/>
      <c r="Y171" s="336"/>
      <c r="Z171" s="336"/>
      <c r="AA171" s="336"/>
      <c r="AB171" s="336"/>
      <c r="AC171" s="336"/>
    </row>
    <row r="172" ht="20.1" customHeight="1" spans="1:29">
      <c r="A172" s="336"/>
      <c r="B172" s="516"/>
      <c r="C172" s="426" t="s">
        <v>184</v>
      </c>
      <c r="D172" s="12" t="s">
        <v>185</v>
      </c>
      <c r="E172" s="12" t="s">
        <v>916</v>
      </c>
      <c r="F172" s="500">
        <v>20000</v>
      </c>
      <c r="G172" s="500">
        <v>2000</v>
      </c>
      <c r="H172" s="500">
        <v>1000</v>
      </c>
      <c r="I172" s="322"/>
      <c r="J172" s="322" t="str">
        <f>IFERROR(IF(VLOOKUP(D172,期货合约要素!$D:$Q,12,0)=0,"",VLOOKUP(D172,期货合约要素!$D:$Q,12,0)),IF(VLOOKUP(D172,期权合约要素!$D:$V,17,0)=0,"",VLOOKUP(D172,期权合约要素!$D:$V,17,0)))</f>
        <v>√</v>
      </c>
      <c r="K172" s="327" t="str">
        <f>IFERROR(IF(VLOOKUP(D172,期货合约要素!$D:$Q,14,0)=0,"",VLOOKUP(D172,期货合约要素!$D:$Q,14,0)),IF(VLOOKUP(D172,期权合约要素!$D:$V,19,0)=0,"",VLOOKUP(D172,期权合约要素!$D:$V,19,0)))</f>
        <v>√</v>
      </c>
      <c r="L172" s="336"/>
      <c r="M172" s="336"/>
      <c r="N172" s="336"/>
      <c r="O172" s="336"/>
      <c r="P172" s="336"/>
      <c r="Q172" s="336"/>
      <c r="R172" s="336"/>
      <c r="S172" s="336"/>
      <c r="T172" s="336"/>
      <c r="U172" s="336"/>
      <c r="V172" s="336"/>
      <c r="W172" s="336"/>
      <c r="X172" s="336"/>
      <c r="Y172" s="336"/>
      <c r="Z172" s="336"/>
      <c r="AA172" s="336"/>
      <c r="AB172" s="336"/>
      <c r="AC172" s="336"/>
    </row>
    <row r="173" ht="20.1" customHeight="1" spans="1:29">
      <c r="A173" s="336"/>
      <c r="B173" s="516"/>
      <c r="C173" s="429"/>
      <c r="D173" s="429"/>
      <c r="E173" s="12" t="s">
        <v>917</v>
      </c>
      <c r="F173" s="500" t="s">
        <v>879</v>
      </c>
      <c r="G173" s="429"/>
      <c r="H173" s="429"/>
      <c r="I173" s="322"/>
      <c r="J173" s="322" t="e">
        <f>IFERROR(IF(VLOOKUP(D173,期货合约要素!$D:$Q,12,0)=0,"",VLOOKUP(D173,期货合约要素!$D:$Q,12,0)),IF(VLOOKUP(D173,期权合约要素!$D:$V,17,0)=0,"",VLOOKUP(D173,期权合约要素!$D:$V,17,0)))</f>
        <v>#N/A</v>
      </c>
      <c r="K173" s="327" t="e">
        <f>IFERROR(IF(VLOOKUP(D173,期货合约要素!$D:$Q,14,0)=0,"",VLOOKUP(D173,期货合约要素!$D:$Q,14,0)),IF(VLOOKUP(D173,期权合约要素!$D:$V,19,0)=0,"",VLOOKUP(D173,期权合约要素!$D:$V,19,0)))</f>
        <v>#N/A</v>
      </c>
      <c r="L173" s="336"/>
      <c r="M173" s="336"/>
      <c r="N173" s="336"/>
      <c r="O173" s="336"/>
      <c r="P173" s="336"/>
      <c r="Q173" s="336"/>
      <c r="R173" s="336"/>
      <c r="S173" s="336"/>
      <c r="T173" s="336"/>
      <c r="U173" s="336"/>
      <c r="V173" s="336"/>
      <c r="W173" s="336"/>
      <c r="X173" s="336"/>
      <c r="Y173" s="336"/>
      <c r="Z173" s="336"/>
      <c r="AA173" s="336"/>
      <c r="AB173" s="336"/>
      <c r="AC173" s="336"/>
    </row>
    <row r="174" ht="20.1" customHeight="1" spans="1:29">
      <c r="A174" s="336"/>
      <c r="B174" s="516"/>
      <c r="C174" s="426" t="s">
        <v>170</v>
      </c>
      <c r="D174" s="12" t="s">
        <v>171</v>
      </c>
      <c r="E174" s="12" t="s">
        <v>922</v>
      </c>
      <c r="F174" s="500">
        <v>30000</v>
      </c>
      <c r="G174" s="500">
        <v>6000</v>
      </c>
      <c r="H174" s="500">
        <v>1000</v>
      </c>
      <c r="I174" s="322"/>
      <c r="J174" s="322" t="str">
        <f>IFERROR(IF(VLOOKUP(D174,期货合约要素!$D:$Q,12,0)=0,"",VLOOKUP(D174,期货合约要素!$D:$Q,12,0)),IF(VLOOKUP(D174,期权合约要素!$D:$V,17,0)=0,"",VLOOKUP(D174,期权合约要素!$D:$V,17,0)))</f>
        <v>√</v>
      </c>
      <c r="K174" s="327" t="str">
        <f>IFERROR(IF(VLOOKUP(D174,期货合约要素!$D:$Q,14,0)=0,"",VLOOKUP(D174,期货合约要素!$D:$Q,14,0)),IF(VLOOKUP(D174,期权合约要素!$D:$V,19,0)=0,"",VLOOKUP(D174,期权合约要素!$D:$V,19,0)))</f>
        <v/>
      </c>
      <c r="L174" s="336"/>
      <c r="M174" s="336"/>
      <c r="N174" s="336"/>
      <c r="O174" s="336"/>
      <c r="P174" s="336"/>
      <c r="Q174" s="336"/>
      <c r="R174" s="336"/>
      <c r="S174" s="336"/>
      <c r="T174" s="336"/>
      <c r="U174" s="336"/>
      <c r="V174" s="336"/>
      <c r="W174" s="336"/>
      <c r="X174" s="336"/>
      <c r="Y174" s="336"/>
      <c r="Z174" s="336"/>
      <c r="AA174" s="336"/>
      <c r="AB174" s="336"/>
      <c r="AC174" s="336"/>
    </row>
    <row r="175" ht="20.1" customHeight="1" spans="1:29">
      <c r="A175" s="336"/>
      <c r="B175" s="516"/>
      <c r="C175" s="429"/>
      <c r="D175" s="429"/>
      <c r="E175" s="12" t="s">
        <v>923</v>
      </c>
      <c r="F175" s="500" t="s">
        <v>879</v>
      </c>
      <c r="G175" s="429"/>
      <c r="H175" s="429"/>
      <c r="I175" s="322"/>
      <c r="J175" s="322" t="e">
        <f>IFERROR(IF(VLOOKUP(D175,期货合约要素!$D:$Q,12,0)=0,"",VLOOKUP(D175,期货合约要素!$D:$Q,12,0)),IF(VLOOKUP(D175,期权合约要素!$D:$V,17,0)=0,"",VLOOKUP(D175,期权合约要素!$D:$V,17,0)))</f>
        <v>#N/A</v>
      </c>
      <c r="K175" s="327" t="e">
        <f>IFERROR(IF(VLOOKUP(D175,期货合约要素!$D:$Q,14,0)=0,"",VLOOKUP(D175,期货合约要素!$D:$Q,14,0)),IF(VLOOKUP(D175,期权合约要素!$D:$V,19,0)=0,"",VLOOKUP(D175,期权合约要素!$D:$V,19,0)))</f>
        <v>#N/A</v>
      </c>
      <c r="L175" s="336"/>
      <c r="M175" s="336"/>
      <c r="N175" s="336"/>
      <c r="O175" s="336"/>
      <c r="P175" s="336"/>
      <c r="Q175" s="336"/>
      <c r="R175" s="336"/>
      <c r="S175" s="336"/>
      <c r="T175" s="336"/>
      <c r="U175" s="336"/>
      <c r="V175" s="336"/>
      <c r="W175" s="336"/>
      <c r="X175" s="336"/>
      <c r="Y175" s="336"/>
      <c r="Z175" s="336"/>
      <c r="AA175" s="336"/>
      <c r="AB175" s="336"/>
      <c r="AC175" s="336"/>
    </row>
    <row r="176" ht="20.1" customHeight="1" spans="1:29">
      <c r="A176" s="336"/>
      <c r="B176" s="516"/>
      <c r="C176" s="426" t="s">
        <v>190</v>
      </c>
      <c r="D176" s="12" t="s">
        <v>191</v>
      </c>
      <c r="E176" s="12" t="s">
        <v>924</v>
      </c>
      <c r="F176" s="500">
        <v>3000</v>
      </c>
      <c r="G176" s="500">
        <v>500</v>
      </c>
      <c r="H176" s="500">
        <v>200</v>
      </c>
      <c r="I176" s="322"/>
      <c r="J176" s="322" t="str">
        <f>IFERROR(IF(VLOOKUP(D176,期货合约要素!$D:$Q,12,0)=0,"",VLOOKUP(D176,期货合约要素!$D:$Q,12,0)),IF(VLOOKUP(D176,期权合约要素!$D:$V,17,0)=0,"",VLOOKUP(D176,期权合约要素!$D:$V,17,0)))</f>
        <v>√</v>
      </c>
      <c r="K176" s="327" t="str">
        <f>IFERROR(IF(VLOOKUP(D176,期货合约要素!$D:$Q,14,0)=0,"",VLOOKUP(D176,期货合约要素!$D:$Q,14,0)),IF(VLOOKUP(D176,期权合约要素!$D:$V,19,0)=0,"",VLOOKUP(D176,期权合约要素!$D:$V,19,0)))</f>
        <v>√</v>
      </c>
      <c r="L176" s="336"/>
      <c r="M176" s="336"/>
      <c r="N176" s="336"/>
      <c r="O176" s="336"/>
      <c r="P176" s="336"/>
      <c r="Q176" s="336"/>
      <c r="R176" s="336"/>
      <c r="S176" s="336"/>
      <c r="T176" s="336"/>
      <c r="U176" s="336"/>
      <c r="V176" s="336"/>
      <c r="W176" s="336"/>
      <c r="X176" s="336"/>
      <c r="Y176" s="336"/>
      <c r="Z176" s="336"/>
      <c r="AA176" s="336"/>
      <c r="AB176" s="336"/>
      <c r="AC176" s="336"/>
    </row>
    <row r="177" ht="20.1" customHeight="1" spans="1:29">
      <c r="A177" s="336"/>
      <c r="B177" s="516"/>
      <c r="C177" s="429"/>
      <c r="D177" s="429"/>
      <c r="E177" s="12" t="s">
        <v>925</v>
      </c>
      <c r="F177" s="500" t="s">
        <v>879</v>
      </c>
      <c r="G177" s="429"/>
      <c r="H177" s="429"/>
      <c r="I177" s="322"/>
      <c r="J177" s="322" t="e">
        <f>IFERROR(IF(VLOOKUP(D177,期货合约要素!$D:$Q,12,0)=0,"",VLOOKUP(D177,期货合约要素!$D:$Q,12,0)),IF(VLOOKUP(D177,期权合约要素!$D:$V,17,0)=0,"",VLOOKUP(D177,期权合约要素!$D:$V,17,0)))</f>
        <v>#N/A</v>
      </c>
      <c r="K177" s="327" t="e">
        <f>IFERROR(IF(VLOOKUP(D177,期货合约要素!$D:$Q,14,0)=0,"",VLOOKUP(D177,期货合约要素!$D:$Q,14,0)),IF(VLOOKUP(D177,期权合约要素!$D:$V,19,0)=0,"",VLOOKUP(D177,期权合约要素!$D:$V,19,0)))</f>
        <v>#N/A</v>
      </c>
      <c r="L177" s="336"/>
      <c r="M177" s="336"/>
      <c r="N177" s="336"/>
      <c r="O177" s="336"/>
      <c r="P177" s="336"/>
      <c r="Q177" s="336"/>
      <c r="R177" s="336"/>
      <c r="S177" s="336"/>
      <c r="T177" s="336"/>
      <c r="U177" s="336"/>
      <c r="V177" s="336"/>
      <c r="W177" s="336"/>
      <c r="X177" s="336"/>
      <c r="Y177" s="336"/>
      <c r="Z177" s="336"/>
      <c r="AA177" s="336"/>
      <c r="AB177" s="336"/>
      <c r="AC177" s="336"/>
    </row>
    <row r="178" ht="20.1" customHeight="1" spans="1:29">
      <c r="A178" s="336"/>
      <c r="B178" s="516"/>
      <c r="C178" s="423" t="s">
        <v>36</v>
      </c>
      <c r="D178" s="423" t="s">
        <v>37</v>
      </c>
      <c r="E178" s="431" t="s">
        <v>926</v>
      </c>
      <c r="F178" s="431" t="s">
        <v>927</v>
      </c>
      <c r="G178" s="431" t="s">
        <v>913</v>
      </c>
      <c r="H178" s="518" t="s">
        <v>866</v>
      </c>
      <c r="I178" s="431" t="s">
        <v>794</v>
      </c>
      <c r="J178" s="431" t="s">
        <v>40</v>
      </c>
      <c r="K178" s="456" t="s">
        <v>41</v>
      </c>
      <c r="L178" s="336"/>
      <c r="M178" s="336"/>
      <c r="N178" s="336"/>
      <c r="O178" s="336"/>
      <c r="P178" s="336"/>
      <c r="Q178" s="336"/>
      <c r="R178" s="336"/>
      <c r="S178" s="336"/>
      <c r="T178" s="336"/>
      <c r="U178" s="336"/>
      <c r="V178" s="336"/>
      <c r="W178" s="336"/>
      <c r="X178" s="336"/>
      <c r="Y178" s="336"/>
      <c r="Z178" s="336"/>
      <c r="AA178" s="336"/>
      <c r="AB178" s="336"/>
      <c r="AC178" s="336"/>
    </row>
    <row r="179" ht="20.1" customHeight="1" spans="1:29">
      <c r="A179" s="336"/>
      <c r="B179" s="516"/>
      <c r="C179" s="426" t="s">
        <v>192</v>
      </c>
      <c r="D179" s="12" t="s">
        <v>193</v>
      </c>
      <c r="E179" s="12">
        <v>2000</v>
      </c>
      <c r="F179" s="12">
        <v>1000</v>
      </c>
      <c r="G179" s="12">
        <v>400</v>
      </c>
      <c r="H179" s="12">
        <v>200</v>
      </c>
      <c r="I179" s="322" t="s">
        <v>914</v>
      </c>
      <c r="J179" s="322" t="str">
        <f>IFERROR(IF(VLOOKUP(D179,期货合约要素!$D:$Q,12,0)=0,"",VLOOKUP(D179,期货合约要素!$D:$Q,12,0)),IF(VLOOKUP(D179,期权合约要素!$D:$V,17,0)=0,"",VLOOKUP(D179,期权合约要素!$D:$V,17,0)))</f>
        <v/>
      </c>
      <c r="K179" s="323" t="str">
        <f>IFERROR(IF(VLOOKUP(D179,期货合约要素!$D:$Q,14,0)=0,"",VLOOKUP(D179,期货合约要素!$D:$Q,14,0)),IF(VLOOKUP(D179,期权合约要素!$D:$V,19,0)=0,"",VLOOKUP(D179,期权合约要素!$D:$V,19,0)))</f>
        <v/>
      </c>
      <c r="L179" s="336"/>
      <c r="M179" s="336"/>
      <c r="N179" s="336"/>
      <c r="O179" s="336"/>
      <c r="P179" s="336"/>
      <c r="Q179" s="336"/>
      <c r="R179" s="336"/>
      <c r="S179" s="336"/>
      <c r="T179" s="336"/>
      <c r="U179" s="336"/>
      <c r="V179" s="336"/>
      <c r="W179" s="336"/>
      <c r="X179" s="336"/>
      <c r="Y179" s="336"/>
      <c r="Z179" s="336"/>
      <c r="AA179" s="336"/>
      <c r="AB179" s="336"/>
      <c r="AC179" s="336"/>
    </row>
    <row r="180" ht="45.95" customHeight="1" spans="1:29">
      <c r="A180" s="336"/>
      <c r="B180" s="516"/>
      <c r="C180" s="426" t="s">
        <v>208</v>
      </c>
      <c r="D180" s="12" t="s">
        <v>209</v>
      </c>
      <c r="E180" s="12">
        <v>600</v>
      </c>
      <c r="F180" s="12">
        <v>200</v>
      </c>
      <c r="G180" s="500">
        <v>40</v>
      </c>
      <c r="H180" s="12">
        <v>10</v>
      </c>
      <c r="I180" s="322"/>
      <c r="J180" s="322" t="str">
        <f>IFERROR(IF(VLOOKUP(D180,期货合约要素!$D:$Q,12,0)=0,"",VLOOKUP(D180,期货合约要素!$D:$Q,12,0)),IF(VLOOKUP(D180,期权合约要素!$D:$V,17,0)=0,"",VLOOKUP(D180,期权合约要素!$D:$V,17,0)))</f>
        <v/>
      </c>
      <c r="K180" s="323" t="str">
        <f>IFERROR(IF(VLOOKUP(D180,期货合约要素!$D:$Q,14,0)=0,"",VLOOKUP(D180,期货合约要素!$D:$Q,14,0)),IF(VLOOKUP(D180,期权合约要素!$D:$V,19,0)=0,"",VLOOKUP(D180,期权合约要素!$D:$V,19,0)))</f>
        <v/>
      </c>
      <c r="L180" s="336"/>
      <c r="M180" s="336"/>
      <c r="N180" s="336"/>
      <c r="O180" s="336"/>
      <c r="P180" s="336"/>
      <c r="Q180" s="336"/>
      <c r="R180" s="336"/>
      <c r="S180" s="336"/>
      <c r="T180" s="336"/>
      <c r="U180" s="336"/>
      <c r="V180" s="336"/>
      <c r="W180" s="336"/>
      <c r="X180" s="336"/>
      <c r="Y180" s="336"/>
      <c r="Z180" s="336"/>
      <c r="AA180" s="336"/>
      <c r="AB180" s="336"/>
      <c r="AC180" s="336"/>
    </row>
    <row r="181" ht="30" customHeight="1" spans="1:29">
      <c r="A181" s="336"/>
      <c r="B181" s="516"/>
      <c r="C181" s="426" t="s">
        <v>204</v>
      </c>
      <c r="D181" s="12" t="s">
        <v>205</v>
      </c>
      <c r="E181" s="12">
        <v>1000</v>
      </c>
      <c r="F181" s="12">
        <v>200</v>
      </c>
      <c r="G181" s="500">
        <v>40</v>
      </c>
      <c r="H181" s="12">
        <v>20</v>
      </c>
      <c r="I181" s="322"/>
      <c r="J181" s="322" t="str">
        <f>IFERROR(IF(VLOOKUP(D181,期货合约要素!$D:$Q,12,0)=0,"",VLOOKUP(D181,期货合约要素!$D:$Q,12,0)),IF(VLOOKUP(D181,期权合约要素!$D:$V,17,0)=0,"",VLOOKUP(D181,期权合约要素!$D:$V,17,0)))</f>
        <v/>
      </c>
      <c r="K181" s="323" t="str">
        <f>IFERROR(IF(VLOOKUP(D181,期货合约要素!$D:$Q,14,0)=0,"",VLOOKUP(D181,期货合约要素!$D:$Q,14,0)),IF(VLOOKUP(D181,期权合约要素!$D:$V,19,0)=0,"",VLOOKUP(D181,期权合约要素!$D:$V,19,0)))</f>
        <v/>
      </c>
      <c r="L181" s="336"/>
      <c r="M181" s="336"/>
      <c r="N181" s="336"/>
      <c r="O181" s="336"/>
      <c r="P181" s="336"/>
      <c r="Q181" s="336"/>
      <c r="R181" s="336"/>
      <c r="S181" s="336"/>
      <c r="T181" s="336"/>
      <c r="U181" s="336"/>
      <c r="V181" s="336"/>
      <c r="W181" s="336"/>
      <c r="X181" s="336"/>
      <c r="Y181" s="336"/>
      <c r="Z181" s="336"/>
      <c r="AA181" s="336"/>
      <c r="AB181" s="336"/>
      <c r="AC181" s="336"/>
    </row>
    <row r="182" ht="30" customHeight="1" spans="1:29">
      <c r="A182" s="336"/>
      <c r="B182" s="516"/>
      <c r="C182" s="426" t="s">
        <v>186</v>
      </c>
      <c r="D182" s="12" t="s">
        <v>187</v>
      </c>
      <c r="E182" s="12">
        <v>6000</v>
      </c>
      <c r="F182" s="12">
        <v>4000</v>
      </c>
      <c r="G182" s="12">
        <v>3000</v>
      </c>
      <c r="H182" s="12">
        <v>2000</v>
      </c>
      <c r="I182" s="322"/>
      <c r="J182" s="322" t="str">
        <f>IFERROR(IF(VLOOKUP(D182,期货合约要素!$D:$Q,12,0)=0,"",VLOOKUP(D182,期货合约要素!$D:$Q,12,0)),IF(VLOOKUP(D182,期权合约要素!$D:$V,17,0)=0,"",VLOOKUP(D182,期权合约要素!$D:$V,17,0)))</f>
        <v>√</v>
      </c>
      <c r="K182" s="327" t="str">
        <f>IFERROR(IF(VLOOKUP(D182,期货合约要素!$D:$Q,14,0)=0,"",VLOOKUP(D182,期货合约要素!$D:$Q,14,0)),IF(VLOOKUP(D182,期权合约要素!$D:$V,19,0)=0,"",VLOOKUP(D182,期权合约要素!$D:$V,19,0)))</f>
        <v>√</v>
      </c>
      <c r="L182" s="336"/>
      <c r="M182" s="336"/>
      <c r="N182" s="336"/>
      <c r="O182" s="336"/>
      <c r="P182" s="336"/>
      <c r="Q182" s="336"/>
      <c r="R182" s="336"/>
      <c r="S182" s="336"/>
      <c r="T182" s="336"/>
      <c r="U182" s="336"/>
      <c r="V182" s="336"/>
      <c r="W182" s="336"/>
      <c r="X182" s="336"/>
      <c r="Y182" s="336"/>
      <c r="Z182" s="336"/>
      <c r="AA182" s="336"/>
      <c r="AB182" s="336"/>
      <c r="AC182" s="336"/>
    </row>
    <row r="183" ht="30" customHeight="1" spans="1:29">
      <c r="A183" s="336"/>
      <c r="B183" s="516"/>
      <c r="C183" s="423" t="s">
        <v>36</v>
      </c>
      <c r="D183" s="423" t="s">
        <v>37</v>
      </c>
      <c r="E183" s="431" t="s">
        <v>928</v>
      </c>
      <c r="F183" s="434"/>
      <c r="G183" s="434"/>
      <c r="H183" s="434"/>
      <c r="I183" s="431" t="s">
        <v>794</v>
      </c>
      <c r="J183" s="431" t="s">
        <v>40</v>
      </c>
      <c r="K183" s="456" t="s">
        <v>41</v>
      </c>
      <c r="L183" s="336"/>
      <c r="M183" s="336"/>
      <c r="N183" s="336"/>
      <c r="O183" s="336"/>
      <c r="P183" s="336"/>
      <c r="Q183" s="336"/>
      <c r="R183" s="336"/>
      <c r="S183" s="336"/>
      <c r="T183" s="336"/>
      <c r="U183" s="336"/>
      <c r="V183" s="336"/>
      <c r="W183" s="336"/>
      <c r="X183" s="336"/>
      <c r="Y183" s="336"/>
      <c r="Z183" s="336"/>
      <c r="AA183" s="336"/>
      <c r="AB183" s="336"/>
      <c r="AC183" s="336"/>
    </row>
    <row r="184" ht="30" customHeight="1" spans="1:29">
      <c r="A184" s="336"/>
      <c r="B184" s="516"/>
      <c r="C184" s="426" t="s">
        <v>585</v>
      </c>
      <c r="D184" s="12" t="s">
        <v>929</v>
      </c>
      <c r="E184" s="12">
        <v>30000</v>
      </c>
      <c r="F184" s="427"/>
      <c r="G184" s="427"/>
      <c r="H184" s="427"/>
      <c r="I184" s="11" t="s">
        <v>930</v>
      </c>
      <c r="J184" s="322" t="s">
        <v>281</v>
      </c>
      <c r="K184" s="323"/>
      <c r="L184" s="336"/>
      <c r="M184" s="336"/>
      <c r="N184" s="336"/>
      <c r="O184" s="336"/>
      <c r="P184" s="336"/>
      <c r="Q184" s="336"/>
      <c r="R184" s="336"/>
      <c r="S184" s="336"/>
      <c r="T184" s="336"/>
      <c r="U184" s="336"/>
      <c r="V184" s="336"/>
      <c r="W184" s="336"/>
      <c r="X184" s="336"/>
      <c r="Y184" s="336"/>
      <c r="Z184" s="336"/>
      <c r="AA184" s="336"/>
      <c r="AB184" s="336"/>
      <c r="AC184" s="336"/>
    </row>
    <row r="185" ht="36" customHeight="1" spans="1:29">
      <c r="A185" s="336"/>
      <c r="B185" s="516"/>
      <c r="C185" s="426" t="s">
        <v>591</v>
      </c>
      <c r="D185" s="12" t="s">
        <v>592</v>
      </c>
      <c r="E185" s="12">
        <v>20000</v>
      </c>
      <c r="F185" s="427"/>
      <c r="G185" s="427"/>
      <c r="H185" s="427"/>
      <c r="I185" s="11"/>
      <c r="J185" s="322" t="str">
        <f>IFERROR(IF(VLOOKUP(D185,期货合约要素!$D:$Q,12,0)=0,"",VLOOKUP(D185,期货合约要素!$D:$Q,12,0)),IF(VLOOKUP(D185,期权合约要素!$D:$V,17,0)=0,"",VLOOKUP(D185,期权合约要素!$D:$V,17,0)))</f>
        <v/>
      </c>
      <c r="K185" s="323" t="str">
        <f>IFERROR(IF(VLOOKUP(D185,期货合约要素!$D:$Q,14,0)=0,"",VLOOKUP(D185,期货合约要素!$D:$Q,14,0)),IF(VLOOKUP(D185,期权合约要素!$D:$V,19,0)=0,"",VLOOKUP(D185,期权合约要素!$D:$V,19,0)))</f>
        <v/>
      </c>
      <c r="L185" s="336"/>
      <c r="M185" s="336"/>
      <c r="N185" s="336"/>
      <c r="O185" s="336"/>
      <c r="P185" s="336"/>
      <c r="Q185" s="336"/>
      <c r="R185" s="336"/>
      <c r="S185" s="336"/>
      <c r="T185" s="336"/>
      <c r="U185" s="336"/>
      <c r="V185" s="336"/>
      <c r="W185" s="336"/>
      <c r="X185" s="336"/>
      <c r="Y185" s="336"/>
      <c r="Z185" s="336"/>
      <c r="AA185" s="336"/>
      <c r="AB185" s="336"/>
      <c r="AC185" s="336"/>
    </row>
    <row r="186" ht="30" customHeight="1" spans="1:29">
      <c r="A186" s="336"/>
      <c r="B186" s="516"/>
      <c r="C186" s="426" t="s">
        <v>600</v>
      </c>
      <c r="D186" s="12" t="s">
        <v>601</v>
      </c>
      <c r="E186" s="12">
        <v>30000</v>
      </c>
      <c r="F186" s="427"/>
      <c r="G186" s="427"/>
      <c r="H186" s="427"/>
      <c r="I186" s="11"/>
      <c r="J186" s="324" t="str">
        <f>IFERROR(IF(VLOOKUP(D186,期货合约要素!$D:$Q,12,0)=0,"",VLOOKUP(D186,期货合约要素!$D:$Q,12,0)),IF(VLOOKUP(D186,期权合约要素!$D:$V,17,0)=0,"",VLOOKUP(D186,期权合约要素!$D:$V,17,0)))</f>
        <v>√</v>
      </c>
      <c r="K186" s="327" t="str">
        <f>IFERROR(IF(VLOOKUP(D186,期货合约要素!$D:$Q,14,0)=0,"",VLOOKUP(D186,期货合约要素!$D:$Q,14,0)),IF(VLOOKUP(D186,期权合约要素!$D:$V,19,0)=0,"",VLOOKUP(D186,期权合约要素!$D:$V,19,0)))</f>
        <v/>
      </c>
      <c r="L186" s="336"/>
      <c r="M186" s="336"/>
      <c r="N186" s="336"/>
      <c r="O186" s="336"/>
      <c r="P186" s="336"/>
      <c r="Q186" s="336"/>
      <c r="R186" s="336"/>
      <c r="S186" s="336"/>
      <c r="T186" s="336"/>
      <c r="U186" s="336"/>
      <c r="V186" s="336"/>
      <c r="W186" s="336"/>
      <c r="X186" s="336"/>
      <c r="Y186" s="336"/>
      <c r="Z186" s="336"/>
      <c r="AA186" s="336"/>
      <c r="AB186" s="336"/>
      <c r="AC186" s="336"/>
    </row>
    <row r="187" ht="30" customHeight="1" spans="1:29">
      <c r="A187" s="336"/>
      <c r="B187" s="516"/>
      <c r="C187" s="426" t="s">
        <v>596</v>
      </c>
      <c r="D187" s="12" t="s">
        <v>597</v>
      </c>
      <c r="E187" s="12">
        <v>30000</v>
      </c>
      <c r="F187" s="427"/>
      <c r="G187" s="427"/>
      <c r="H187" s="427"/>
      <c r="I187" s="11"/>
      <c r="J187" s="324" t="str">
        <f>IFERROR(IF(VLOOKUP(D187,期货合约要素!$D:$Q,12,0)=0,"",VLOOKUP(D187,期货合约要素!$D:$Q,12,0)),IF(VLOOKUP(D187,期权合约要素!$D:$V,17,0)=0,"",VLOOKUP(D187,期权合约要素!$D:$V,17,0)))</f>
        <v>√</v>
      </c>
      <c r="K187" s="327" t="str">
        <f>IFERROR(IF(VLOOKUP(D187,期货合约要素!$D:$Q,14,0)=0,"",VLOOKUP(D187,期货合约要素!$D:$Q,14,0)),IF(VLOOKUP(D187,期权合约要素!$D:$V,19,0)=0,"",VLOOKUP(D187,期权合约要素!$D:$V,19,0)))</f>
        <v>√</v>
      </c>
      <c r="L187" s="336"/>
      <c r="M187" s="336"/>
      <c r="N187" s="336"/>
      <c r="O187" s="336"/>
      <c r="P187" s="336"/>
      <c r="Q187" s="336"/>
      <c r="R187" s="336"/>
      <c r="S187" s="336"/>
      <c r="T187" s="336"/>
      <c r="U187" s="336"/>
      <c r="V187" s="336"/>
      <c r="W187" s="336"/>
      <c r="X187" s="336"/>
      <c r="Y187" s="336"/>
      <c r="Z187" s="336"/>
      <c r="AA187" s="336"/>
      <c r="AB187" s="336"/>
      <c r="AC187" s="336"/>
    </row>
    <row r="188" ht="30" customHeight="1" spans="1:29">
      <c r="A188" s="336"/>
      <c r="B188" s="516"/>
      <c r="C188" s="426" t="s">
        <v>603</v>
      </c>
      <c r="D188" s="12" t="s">
        <v>604</v>
      </c>
      <c r="E188" s="12">
        <v>20000</v>
      </c>
      <c r="F188" s="427"/>
      <c r="G188" s="427"/>
      <c r="H188" s="427"/>
      <c r="I188" s="11"/>
      <c r="J188" s="324" t="str">
        <f>IFERROR(IF(VLOOKUP(D188,期货合约要素!$D:$Q,12,0)=0,"",VLOOKUP(D188,期货合约要素!$D:$Q,12,0)),IF(VLOOKUP(D188,期权合约要素!$D:$V,17,0)=0,"",VLOOKUP(D188,期权合约要素!$D:$V,17,0)))</f>
        <v>√</v>
      </c>
      <c r="K188" s="327" t="str">
        <f>IFERROR(IF(VLOOKUP(D188,期货合约要素!$D:$Q,14,0)=0,"",VLOOKUP(D188,期货合约要素!$D:$Q,14,0)),IF(VLOOKUP(D188,期权合约要素!$D:$V,19,0)=0,"",VLOOKUP(D188,期权合约要素!$D:$V,19,0)))</f>
        <v>√</v>
      </c>
      <c r="L188" s="336"/>
      <c r="M188" s="336"/>
      <c r="N188" s="336"/>
      <c r="O188" s="336"/>
      <c r="P188" s="336"/>
      <c r="Q188" s="336"/>
      <c r="R188" s="336"/>
      <c r="S188" s="336"/>
      <c r="T188" s="336"/>
      <c r="U188" s="336"/>
      <c r="V188" s="336"/>
      <c r="W188" s="336"/>
      <c r="X188" s="336"/>
      <c r="Y188" s="336"/>
      <c r="Z188" s="336"/>
      <c r="AA188" s="336"/>
      <c r="AB188" s="336"/>
      <c r="AC188" s="336"/>
    </row>
    <row r="189" ht="30" customHeight="1" spans="1:29">
      <c r="A189" s="336"/>
      <c r="B189" s="516"/>
      <c r="C189" s="426" t="s">
        <v>606</v>
      </c>
      <c r="D189" s="12" t="s">
        <v>607</v>
      </c>
      <c r="E189" s="12">
        <v>10000</v>
      </c>
      <c r="F189" s="427"/>
      <c r="G189" s="427"/>
      <c r="H189" s="427"/>
      <c r="I189" s="11"/>
      <c r="J189" s="324" t="str">
        <f>IFERROR(IF(VLOOKUP(D189,期货合约要素!$D:$Q,12,0)=0,"",VLOOKUP(D189,期货合约要素!$D:$Q,12,0)),IF(VLOOKUP(D189,期权合约要素!$D:$V,17,0)=0,"",VLOOKUP(D189,期权合约要素!$D:$V,17,0)))</f>
        <v>√</v>
      </c>
      <c r="K189" s="327" t="str">
        <f>IFERROR(IF(VLOOKUP(D189,期货合约要素!$D:$Q,14,0)=0,"",VLOOKUP(D189,期货合约要素!$D:$Q,14,0)),IF(VLOOKUP(D189,期权合约要素!$D:$V,19,0)=0,"",VLOOKUP(D189,期权合约要素!$D:$V,19,0)))</f>
        <v>√</v>
      </c>
      <c r="L189" s="336"/>
      <c r="M189" s="336"/>
      <c r="N189" s="336"/>
      <c r="O189" s="336"/>
      <c r="P189" s="336"/>
      <c r="Q189" s="336"/>
      <c r="R189" s="336"/>
      <c r="S189" s="336"/>
      <c r="T189" s="336"/>
      <c r="U189" s="336"/>
      <c r="V189" s="336"/>
      <c r="W189" s="336"/>
      <c r="X189" s="336"/>
      <c r="Y189" s="336"/>
      <c r="Z189" s="336"/>
      <c r="AA189" s="336"/>
      <c r="AB189" s="336"/>
      <c r="AC189" s="336"/>
    </row>
    <row r="190" ht="30" customHeight="1" spans="1:29">
      <c r="A190" s="336"/>
      <c r="B190" s="516"/>
      <c r="C190" s="426" t="s">
        <v>609</v>
      </c>
      <c r="D190" s="12" t="s">
        <v>610</v>
      </c>
      <c r="E190" s="12">
        <v>3000</v>
      </c>
      <c r="F190" s="427"/>
      <c r="G190" s="427"/>
      <c r="H190" s="427"/>
      <c r="I190" s="11"/>
      <c r="J190" s="324" t="str">
        <f>IFERROR(IF(VLOOKUP(D190,期货合约要素!$D:$Q,12,0)=0,"",VLOOKUP(D190,期货合约要素!$D:$Q,12,0)),IF(VLOOKUP(D190,期权合约要素!$D:$V,17,0)=0,"",VLOOKUP(D190,期权合约要素!$D:$V,17,0)))</f>
        <v>√</v>
      </c>
      <c r="K190" s="327" t="str">
        <f>IFERROR(IF(VLOOKUP(D190,期货合约要素!$D:$Q,14,0)=0,"",VLOOKUP(D190,期货合约要素!$D:$Q,14,0)),IF(VLOOKUP(D190,期权合约要素!$D:$V,19,0)=0,"",VLOOKUP(D190,期权合约要素!$D:$V,19,0)))</f>
        <v>√</v>
      </c>
      <c r="L190" s="336"/>
      <c r="M190" s="336"/>
      <c r="N190" s="336"/>
      <c r="O190" s="336"/>
      <c r="P190" s="336"/>
      <c r="Q190" s="336"/>
      <c r="R190" s="336"/>
      <c r="S190" s="336"/>
      <c r="T190" s="336"/>
      <c r="U190" s="336"/>
      <c r="V190" s="336"/>
      <c r="W190" s="336"/>
      <c r="X190" s="336"/>
      <c r="Y190" s="336"/>
      <c r="Z190" s="336"/>
      <c r="AA190" s="336"/>
      <c r="AB190" s="336"/>
      <c r="AC190" s="336"/>
    </row>
    <row r="191" ht="30" customHeight="1" spans="1:29">
      <c r="A191" s="336"/>
      <c r="B191" s="516"/>
      <c r="C191" s="426" t="s">
        <v>643</v>
      </c>
      <c r="D191" s="12" t="s">
        <v>644</v>
      </c>
      <c r="E191" s="12">
        <v>5000</v>
      </c>
      <c r="F191" s="427"/>
      <c r="G191" s="427"/>
      <c r="H191" s="427"/>
      <c r="I191" s="11"/>
      <c r="J191" s="324" t="str">
        <f>IFERROR(IF(VLOOKUP(D191,期货合约要素!$D:$Q,12,0)=0,"",VLOOKUP(D191,期货合约要素!$D:$Q,12,0)),IF(VLOOKUP(D191,期权合约要素!$D:$V,17,0)=0,"",VLOOKUP(D191,期权合约要素!$D:$V,17,0)))</f>
        <v>√</v>
      </c>
      <c r="K191" s="327" t="str">
        <f>IFERROR(IF(VLOOKUP(D191,期货合约要素!$D:$Q,14,0)=0,"",VLOOKUP(D191,期货合约要素!$D:$Q,14,0)),IF(VLOOKUP(D191,期权合约要素!$D:$V,19,0)=0,"",VLOOKUP(D191,期权合约要素!$D:$V,19,0)))</f>
        <v>√</v>
      </c>
      <c r="L191" s="336"/>
      <c r="M191" s="336"/>
      <c r="N191" s="336"/>
      <c r="O191" s="336"/>
      <c r="P191" s="336"/>
      <c r="Q191" s="336"/>
      <c r="R191" s="336"/>
      <c r="S191" s="336"/>
      <c r="T191" s="336"/>
      <c r="U191" s="336"/>
      <c r="V191" s="336"/>
      <c r="W191" s="336"/>
      <c r="X191" s="336"/>
      <c r="Y191" s="336"/>
      <c r="Z191" s="336"/>
      <c r="AA191" s="336"/>
      <c r="AB191" s="336"/>
      <c r="AC191" s="336"/>
    </row>
    <row r="192" ht="30" customHeight="1" spans="1:29">
      <c r="A192" s="336"/>
      <c r="B192" s="516"/>
      <c r="C192" s="426" t="s">
        <v>615</v>
      </c>
      <c r="D192" s="12" t="s">
        <v>616</v>
      </c>
      <c r="E192" s="12">
        <v>3000</v>
      </c>
      <c r="F192" s="427"/>
      <c r="G192" s="427"/>
      <c r="H192" s="427"/>
      <c r="I192" s="11"/>
      <c r="J192" s="324" t="str">
        <f>IFERROR(IF(VLOOKUP(D192,期货合约要素!$D:$Q,12,0)=0,"",VLOOKUP(D192,期货合约要素!$D:$Q,12,0)),IF(VLOOKUP(D192,期权合约要素!$D:$V,17,0)=0,"",VLOOKUP(D192,期权合约要素!$D:$V,17,0)))</f>
        <v/>
      </c>
      <c r="K192" s="327" t="str">
        <f>IFERROR(IF(VLOOKUP(D192,期货合约要素!$D:$Q,14,0)=0,"",VLOOKUP(D192,期货合约要素!$D:$Q,14,0)),IF(VLOOKUP(D192,期权合约要素!$D:$V,19,0)=0,"",VLOOKUP(D192,期权合约要素!$D:$V,19,0)))</f>
        <v/>
      </c>
      <c r="L192" s="336"/>
      <c r="M192" s="336"/>
      <c r="N192" s="336"/>
      <c r="O192" s="336"/>
      <c r="P192" s="336"/>
      <c r="Q192" s="336"/>
      <c r="R192" s="336"/>
      <c r="S192" s="336"/>
      <c r="T192" s="336"/>
      <c r="U192" s="336"/>
      <c r="V192" s="336"/>
      <c r="W192" s="336"/>
      <c r="X192" s="336"/>
      <c r="Y192" s="336"/>
      <c r="Z192" s="336"/>
      <c r="AA192" s="336"/>
      <c r="AB192" s="336"/>
      <c r="AC192" s="336"/>
    </row>
    <row r="193" ht="30" customHeight="1" spans="1:29">
      <c r="A193" s="336"/>
      <c r="B193" s="516"/>
      <c r="C193" s="426" t="s">
        <v>612</v>
      </c>
      <c r="D193" s="12" t="s">
        <v>613</v>
      </c>
      <c r="E193" s="12">
        <v>2000</v>
      </c>
      <c r="F193" s="427"/>
      <c r="G193" s="427"/>
      <c r="H193" s="427"/>
      <c r="I193" s="11"/>
      <c r="J193" s="324" t="str">
        <f>IFERROR(IF(VLOOKUP(D193,期货合约要素!$D:$Q,12,0)=0,"",VLOOKUP(D193,期货合约要素!$D:$Q,12,0)),IF(VLOOKUP(D193,期权合约要素!$D:$V,17,0)=0,"",VLOOKUP(D193,期权合约要素!$D:$V,17,0)))</f>
        <v/>
      </c>
      <c r="K193" s="327" t="str">
        <f>IFERROR(IF(VLOOKUP(D193,期货合约要素!$D:$Q,14,0)=0,"",VLOOKUP(D193,期货合约要素!$D:$Q,14,0)),IF(VLOOKUP(D193,期权合约要素!$D:$V,19,0)=0,"",VLOOKUP(D193,期权合约要素!$D:$V,19,0)))</f>
        <v/>
      </c>
      <c r="L193" s="336"/>
      <c r="M193" s="336"/>
      <c r="N193" s="336"/>
      <c r="O193" s="336"/>
      <c r="P193" s="336"/>
      <c r="Q193" s="336"/>
      <c r="R193" s="336"/>
      <c r="S193" s="336"/>
      <c r="T193" s="336"/>
      <c r="U193" s="336"/>
      <c r="V193" s="336"/>
      <c r="W193" s="336"/>
      <c r="X193" s="336"/>
      <c r="Y193" s="336"/>
      <c r="Z193" s="336"/>
      <c r="AA193" s="336"/>
      <c r="AB193" s="336"/>
      <c r="AC193" s="336"/>
    </row>
    <row r="194" ht="30" customHeight="1" spans="1:29">
      <c r="A194" s="336"/>
      <c r="B194" s="516"/>
      <c r="C194" s="426" t="s">
        <v>618</v>
      </c>
      <c r="D194" s="12" t="s">
        <v>619</v>
      </c>
      <c r="E194" s="12">
        <v>10000</v>
      </c>
      <c r="F194" s="427"/>
      <c r="G194" s="427"/>
      <c r="H194" s="427"/>
      <c r="I194" s="11"/>
      <c r="J194" s="324" t="str">
        <f>IFERROR(IF(VLOOKUP(D194,期货合约要素!$D:$Q,12,0)=0,"",VLOOKUP(D194,期货合约要素!$D:$Q,12,0)),IF(VLOOKUP(D194,期权合约要素!$D:$V,17,0)=0,"",VLOOKUP(D194,期权合约要素!$D:$V,17,0)))</f>
        <v>√</v>
      </c>
      <c r="K194" s="327" t="str">
        <f>IFERROR(IF(VLOOKUP(D194,期货合约要素!$D:$Q,14,0)=0,"",VLOOKUP(D194,期货合约要素!$D:$Q,14,0)),IF(VLOOKUP(D194,期权合约要素!$D:$V,19,0)=0,"",VLOOKUP(D194,期权合约要素!$D:$V,19,0)))</f>
        <v>√</v>
      </c>
      <c r="L194" s="336"/>
      <c r="M194" s="336"/>
      <c r="N194" s="336"/>
      <c r="O194" s="336"/>
      <c r="P194" s="336"/>
      <c r="Q194" s="336"/>
      <c r="R194" s="336"/>
      <c r="S194" s="336"/>
      <c r="T194" s="336"/>
      <c r="U194" s="336"/>
      <c r="V194" s="336"/>
      <c r="W194" s="336"/>
      <c r="X194" s="336"/>
      <c r="Y194" s="336"/>
      <c r="Z194" s="336"/>
      <c r="AA194" s="336"/>
      <c r="AB194" s="336"/>
      <c r="AC194" s="336"/>
    </row>
    <row r="195" ht="30" customHeight="1" spans="1:29">
      <c r="A195" s="336"/>
      <c r="B195" s="516"/>
      <c r="C195" s="426" t="s">
        <v>621</v>
      </c>
      <c r="D195" s="12" t="s">
        <v>622</v>
      </c>
      <c r="E195" s="12">
        <v>20000</v>
      </c>
      <c r="F195" s="427"/>
      <c r="G195" s="427"/>
      <c r="H195" s="427"/>
      <c r="I195" s="11"/>
      <c r="J195" s="324" t="str">
        <f>IFERROR(IF(VLOOKUP(D195,期货合约要素!$D:$Q,12,0)=0,"",VLOOKUP(D195,期货合约要素!$D:$Q,12,0)),IF(VLOOKUP(D195,期权合约要素!$D:$V,17,0)=0,"",VLOOKUP(D195,期权合约要素!$D:$V,17,0)))</f>
        <v>√</v>
      </c>
      <c r="K195" s="327" t="str">
        <f>IFERROR(IF(VLOOKUP(D195,期货合约要素!$D:$Q,14,0)=0,"",VLOOKUP(D195,期货合约要素!$D:$Q,14,0)),IF(VLOOKUP(D195,期权合约要素!$D:$V,19,0)=0,"",VLOOKUP(D195,期权合约要素!$D:$V,19,0)))</f>
        <v/>
      </c>
      <c r="L195" s="336"/>
      <c r="M195" s="336"/>
      <c r="N195" s="336"/>
      <c r="O195" s="336"/>
      <c r="P195" s="336"/>
      <c r="Q195" s="336"/>
      <c r="R195" s="336"/>
      <c r="S195" s="336"/>
      <c r="T195" s="336"/>
      <c r="U195" s="336"/>
      <c r="V195" s="336"/>
      <c r="W195" s="336"/>
      <c r="X195" s="336"/>
      <c r="Y195" s="336"/>
      <c r="Z195" s="336"/>
      <c r="AA195" s="336"/>
      <c r="AB195" s="336"/>
      <c r="AC195" s="336"/>
    </row>
    <row r="196" ht="30" customHeight="1" spans="1:29">
      <c r="A196" s="336"/>
      <c r="B196" s="516"/>
      <c r="C196" s="426" t="s">
        <v>624</v>
      </c>
      <c r="D196" s="12" t="s">
        <v>625</v>
      </c>
      <c r="E196" s="12">
        <v>30000</v>
      </c>
      <c r="F196" s="427"/>
      <c r="G196" s="427"/>
      <c r="H196" s="427"/>
      <c r="I196" s="11"/>
      <c r="J196" s="324" t="str">
        <f>IFERROR(IF(VLOOKUP(D196,期货合约要素!$D:$Q,12,0)=0,"",VLOOKUP(D196,期货合约要素!$D:$Q,12,0)),IF(VLOOKUP(D196,期权合约要素!$D:$V,17,0)=0,"",VLOOKUP(D196,期权合约要素!$D:$V,17,0)))</f>
        <v>√</v>
      </c>
      <c r="K196" s="327" t="str">
        <f>IFERROR(IF(VLOOKUP(D196,期货合约要素!$D:$Q,14,0)=0,"",VLOOKUP(D196,期货合约要素!$D:$Q,14,0)),IF(VLOOKUP(D196,期权合约要素!$D:$V,19,0)=0,"",VLOOKUP(D196,期权合约要素!$D:$V,19,0)))</f>
        <v/>
      </c>
      <c r="L196" s="336"/>
      <c r="M196" s="336"/>
      <c r="N196" s="336"/>
      <c r="O196" s="336"/>
      <c r="P196" s="336"/>
      <c r="Q196" s="336"/>
      <c r="R196" s="336"/>
      <c r="S196" s="336"/>
      <c r="T196" s="336"/>
      <c r="U196" s="336"/>
      <c r="V196" s="336"/>
      <c r="W196" s="336"/>
      <c r="X196" s="336"/>
      <c r="Y196" s="336"/>
      <c r="Z196" s="336"/>
      <c r="AA196" s="336"/>
      <c r="AB196" s="336"/>
      <c r="AC196" s="336"/>
    </row>
    <row r="197" ht="30" customHeight="1" spans="1:29">
      <c r="A197" s="336"/>
      <c r="B197" s="516"/>
      <c r="C197" s="426" t="s">
        <v>627</v>
      </c>
      <c r="D197" s="12" t="s">
        <v>628</v>
      </c>
      <c r="E197" s="12">
        <v>10000</v>
      </c>
      <c r="F197" s="427"/>
      <c r="G197" s="427"/>
      <c r="H197" s="427"/>
      <c r="I197" s="11"/>
      <c r="J197" s="324" t="str">
        <f>IFERROR(IF(VLOOKUP(D197,期货合约要素!$D:$Q,12,0)=0,"",VLOOKUP(D197,期货合约要素!$D:$Q,12,0)),IF(VLOOKUP(D197,期权合约要素!$D:$V,17,0)=0,"",VLOOKUP(D197,期权合约要素!$D:$V,17,0)))</f>
        <v>√</v>
      </c>
      <c r="K197" s="327" t="str">
        <f>IFERROR(IF(VLOOKUP(D197,期货合约要素!$D:$Q,14,0)=0,"",VLOOKUP(D197,期货合约要素!$D:$Q,14,0)),IF(VLOOKUP(D197,期权合约要素!$D:$V,19,0)=0,"",VLOOKUP(D197,期权合约要素!$D:$V,19,0)))</f>
        <v/>
      </c>
      <c r="L197" s="336"/>
      <c r="M197" s="336"/>
      <c r="N197" s="336"/>
      <c r="O197" s="336"/>
      <c r="P197" s="336"/>
      <c r="Q197" s="336"/>
      <c r="R197" s="336"/>
      <c r="S197" s="336"/>
      <c r="T197" s="336"/>
      <c r="U197" s="336"/>
      <c r="V197" s="336"/>
      <c r="W197" s="336"/>
      <c r="X197" s="336"/>
      <c r="Y197" s="336"/>
      <c r="Z197" s="336"/>
      <c r="AA197" s="336"/>
      <c r="AB197" s="336"/>
      <c r="AC197" s="336"/>
    </row>
    <row r="198" ht="30" customHeight="1" spans="1:29">
      <c r="A198" s="336"/>
      <c r="B198" s="516"/>
      <c r="C198" s="426" t="s">
        <v>630</v>
      </c>
      <c r="D198" s="12" t="s">
        <v>631</v>
      </c>
      <c r="E198" s="12">
        <v>10000</v>
      </c>
      <c r="F198" s="427"/>
      <c r="G198" s="427"/>
      <c r="H198" s="427"/>
      <c r="I198" s="11"/>
      <c r="J198" s="324" t="str">
        <f>IFERROR(IF(VLOOKUP(D198,期货合约要素!$D:$Q,12,0)=0,"",VLOOKUP(D198,期货合约要素!$D:$Q,12,0)),IF(VLOOKUP(D198,期权合约要素!$D:$V,17,0)=0,"",VLOOKUP(D198,期权合约要素!$D:$V,17,0)))</f>
        <v/>
      </c>
      <c r="K198" s="327" t="str">
        <f>IFERROR(IF(VLOOKUP(D198,期货合约要素!$D:$Q,14,0)=0,"",VLOOKUP(D198,期货合约要素!$D:$Q,14,0)),IF(VLOOKUP(D198,期权合约要素!$D:$V,19,0)=0,"",VLOOKUP(D198,期权合约要素!$D:$V,19,0)))</f>
        <v/>
      </c>
      <c r="L198" s="336"/>
      <c r="M198" s="336"/>
      <c r="N198" s="336"/>
      <c r="O198" s="336"/>
      <c r="P198" s="336"/>
      <c r="Q198" s="336"/>
      <c r="R198" s="336"/>
      <c r="S198" s="336"/>
      <c r="T198" s="336"/>
      <c r="U198" s="336"/>
      <c r="V198" s="336"/>
      <c r="W198" s="336"/>
      <c r="X198" s="336"/>
      <c r="Y198" s="336"/>
      <c r="Z198" s="336"/>
      <c r="AA198" s="336"/>
      <c r="AB198" s="336"/>
      <c r="AC198" s="336"/>
    </row>
    <row r="199" ht="30" customHeight="1" spans="1:29">
      <c r="A199" s="336"/>
      <c r="B199" s="516"/>
      <c r="C199" s="426" t="s">
        <v>647</v>
      </c>
      <c r="D199" s="12" t="s">
        <v>648</v>
      </c>
      <c r="E199" s="12">
        <v>1000</v>
      </c>
      <c r="F199" s="427"/>
      <c r="G199" s="427"/>
      <c r="H199" s="427"/>
      <c r="I199" s="11"/>
      <c r="J199" s="324" t="str">
        <f>IFERROR(IF(VLOOKUP(D199,期货合约要素!$D:$Q,12,0)=0,"",VLOOKUP(D199,期货合约要素!$D:$Q,12,0)),IF(VLOOKUP(D199,期权合约要素!$D:$V,17,0)=0,"",VLOOKUP(D199,期权合约要素!$D:$V,17,0)))</f>
        <v/>
      </c>
      <c r="K199" s="327" t="str">
        <f>IFERROR(IF(VLOOKUP(D199,期货合约要素!$D:$Q,14,0)=0,"",VLOOKUP(D199,期货合约要素!$D:$Q,14,0)),IF(VLOOKUP(D199,期权合约要素!$D:$V,19,0)=0,"",VLOOKUP(D199,期权合约要素!$D:$V,19,0)))</f>
        <v/>
      </c>
      <c r="L199" s="336"/>
      <c r="M199" s="336"/>
      <c r="N199" s="336"/>
      <c r="O199" s="336"/>
      <c r="P199" s="336"/>
      <c r="Q199" s="336"/>
      <c r="R199" s="336"/>
      <c r="S199" s="336"/>
      <c r="T199" s="336"/>
      <c r="U199" s="336"/>
      <c r="V199" s="336"/>
      <c r="W199" s="336"/>
      <c r="X199" s="336"/>
      <c r="Y199" s="336"/>
      <c r="Z199" s="336"/>
      <c r="AA199" s="336"/>
      <c r="AB199" s="336"/>
      <c r="AC199" s="336"/>
    </row>
    <row r="200" ht="30" customHeight="1" spans="1:29">
      <c r="A200" s="336"/>
      <c r="B200" s="516"/>
      <c r="C200" s="426" t="s">
        <v>633</v>
      </c>
      <c r="D200" s="12" t="s">
        <v>634</v>
      </c>
      <c r="E200" s="12">
        <v>20000</v>
      </c>
      <c r="F200" s="429"/>
      <c r="G200" s="429"/>
      <c r="H200" s="429"/>
      <c r="I200" s="11"/>
      <c r="J200" s="324" t="str">
        <f>IFERROR(IF(VLOOKUP(D200,期货合约要素!$D:$Q,12,0)=0,"",VLOOKUP(D200,期货合约要素!$D:$Q,12,0)),IF(VLOOKUP(D200,期权合约要素!$D:$V,17,0)=0,"",VLOOKUP(D200,期权合约要素!$D:$V,17,0)))</f>
        <v>√</v>
      </c>
      <c r="K200" s="327" t="str">
        <f>IFERROR(IF(VLOOKUP(D200,期货合约要素!$D:$Q,14,0)=0,"",VLOOKUP(D200,期货合约要素!$D:$Q,14,0)),IF(VLOOKUP(D200,期权合约要素!$D:$V,19,0)=0,"",VLOOKUP(D200,期权合约要素!$D:$V,19,0)))</f>
        <v/>
      </c>
      <c r="L200" s="336"/>
      <c r="M200" s="336"/>
      <c r="N200" s="336"/>
      <c r="O200" s="336"/>
      <c r="P200" s="336"/>
      <c r="Q200" s="336"/>
      <c r="R200" s="336"/>
      <c r="S200" s="336"/>
      <c r="T200" s="336"/>
      <c r="U200" s="336"/>
      <c r="V200" s="336"/>
      <c r="W200" s="336"/>
      <c r="X200" s="336"/>
      <c r="Y200" s="336"/>
      <c r="Z200" s="336"/>
      <c r="AA200" s="336"/>
      <c r="AB200" s="336"/>
      <c r="AC200" s="336"/>
    </row>
    <row r="201" ht="30" customHeight="1" spans="1:29">
      <c r="A201" s="336"/>
      <c r="B201" s="516"/>
      <c r="C201" s="426" t="s">
        <v>650</v>
      </c>
      <c r="D201" s="12" t="s">
        <v>651</v>
      </c>
      <c r="E201" s="12">
        <v>600</v>
      </c>
      <c r="F201" s="429"/>
      <c r="G201" s="429"/>
      <c r="H201" s="429"/>
      <c r="I201" s="11"/>
      <c r="J201" s="324" t="str">
        <f>IFERROR(IF(VLOOKUP(D201,期货合约要素!$D:$Q,12,0)=0,"",VLOOKUP(D201,期货合约要素!$D:$Q,12,0)),IF(VLOOKUP(D201,期权合约要素!$D:$V,17,0)=0,"",VLOOKUP(D201,期权合约要素!$D:$V,17,0)))</f>
        <v/>
      </c>
      <c r="K201" s="327" t="str">
        <f>IFERROR(IF(VLOOKUP(D201,期货合约要素!$D:$Q,14,0)=0,"",VLOOKUP(D201,期货合约要素!$D:$Q,14,0)),IF(VLOOKUP(D201,期权合约要素!$D:$V,19,0)=0,"",VLOOKUP(D201,期权合约要素!$D:$V,19,0)))</f>
        <v/>
      </c>
      <c r="L201" s="336"/>
      <c r="M201" s="336"/>
      <c r="N201" s="336"/>
      <c r="O201" s="336"/>
      <c r="P201" s="336"/>
      <c r="Q201" s="336"/>
      <c r="R201" s="336"/>
      <c r="S201" s="336"/>
      <c r="T201" s="336"/>
      <c r="U201" s="336"/>
      <c r="V201" s="336"/>
      <c r="W201" s="336"/>
      <c r="X201" s="336"/>
      <c r="Y201" s="336"/>
      <c r="Z201" s="336"/>
      <c r="AA201" s="336"/>
      <c r="AB201" s="336"/>
      <c r="AC201" s="336"/>
    </row>
    <row r="202" ht="30" customHeight="1" spans="1:29">
      <c r="A202" s="336"/>
      <c r="B202" s="516"/>
      <c r="C202" s="426" t="s">
        <v>636</v>
      </c>
      <c r="D202" s="12" t="s">
        <v>637</v>
      </c>
      <c r="E202" s="12">
        <v>3000</v>
      </c>
      <c r="F202" s="12"/>
      <c r="G202" s="12"/>
      <c r="H202" s="12"/>
      <c r="I202" s="11"/>
      <c r="J202" s="324" t="str">
        <f>IFERROR(IF(VLOOKUP(D202,期货合约要素!$D:$Q,12,0)=0,"",VLOOKUP(D202,期货合约要素!$D:$Q,12,0)),IF(VLOOKUP(D202,期权合约要素!$D:$V,17,0)=0,"",VLOOKUP(D202,期权合约要素!$D:$V,17,0)))</f>
        <v>√</v>
      </c>
      <c r="K202" s="327" t="str">
        <f>IFERROR(IF(VLOOKUP(D202,期货合约要素!$D:$Q,14,0)=0,"",VLOOKUP(D202,期货合约要素!$D:$Q,14,0)),IF(VLOOKUP(D202,期权合约要素!$D:$V,19,0)=0,"",VLOOKUP(D202,期权合约要素!$D:$V,19,0)))</f>
        <v>√</v>
      </c>
      <c r="L202" s="336"/>
      <c r="M202" s="336"/>
      <c r="N202" s="336"/>
      <c r="O202" s="336"/>
      <c r="P202" s="336"/>
      <c r="Q202" s="336"/>
      <c r="R202" s="336"/>
      <c r="S202" s="336"/>
      <c r="T202" s="336"/>
      <c r="U202" s="336"/>
      <c r="V202" s="336"/>
      <c r="W202" s="336"/>
      <c r="X202" s="336"/>
      <c r="Y202" s="336"/>
      <c r="Z202" s="336"/>
      <c r="AA202" s="336"/>
      <c r="AB202" s="336"/>
      <c r="AC202" s="336"/>
    </row>
    <row r="203" ht="30" customHeight="1" spans="1:29">
      <c r="A203" s="336"/>
      <c r="B203" s="520"/>
      <c r="C203" s="510" t="s">
        <v>640</v>
      </c>
      <c r="D203" s="450" t="s">
        <v>641</v>
      </c>
      <c r="E203" s="450">
        <v>2000</v>
      </c>
      <c r="F203" s="450"/>
      <c r="G203" s="450"/>
      <c r="H203" s="450"/>
      <c r="I203" s="534"/>
      <c r="J203" s="535" t="str">
        <f>IFERROR(IF(VLOOKUP(D203,期货合约要素!$D:$Q,12,0)=0,"",VLOOKUP(D203,期货合约要素!$D:$Q,12,0)),IF(VLOOKUP(D203,期权合约要素!$D:$V,17,0)=0,"",VLOOKUP(D203,期权合约要素!$D:$V,17,0)))</f>
        <v/>
      </c>
      <c r="K203" s="536" t="str">
        <f>IFERROR(IF(VLOOKUP(D203,期货合约要素!$D:$Q,14,0)=0,"",VLOOKUP(D203,期货合约要素!$D:$Q,14,0)),IF(VLOOKUP(D203,期权合约要素!$D:$V,19,0)=0,"",VLOOKUP(D203,期权合约要素!$D:$V,19,0)))</f>
        <v/>
      </c>
      <c r="L203" s="336"/>
      <c r="M203" s="336"/>
      <c r="N203" s="336"/>
      <c r="O203" s="336"/>
      <c r="P203" s="336"/>
      <c r="Q203" s="336"/>
      <c r="R203" s="336"/>
      <c r="S203" s="336"/>
      <c r="T203" s="336"/>
      <c r="U203" s="336"/>
      <c r="V203" s="336"/>
      <c r="W203" s="336"/>
      <c r="X203" s="336"/>
      <c r="Y203" s="336"/>
      <c r="Z203" s="336"/>
      <c r="AA203" s="336"/>
      <c r="AB203" s="336"/>
      <c r="AC203" s="336"/>
    </row>
    <row r="204" ht="30" customHeight="1" spans="1:29">
      <c r="A204" s="336"/>
      <c r="B204" s="521" t="s">
        <v>220</v>
      </c>
      <c r="C204" s="317" t="s">
        <v>36</v>
      </c>
      <c r="D204" s="317" t="s">
        <v>37</v>
      </c>
      <c r="E204" s="497" t="s">
        <v>931</v>
      </c>
      <c r="F204" s="498"/>
      <c r="G204" s="497" t="s">
        <v>865</v>
      </c>
      <c r="H204" s="515" t="s">
        <v>866</v>
      </c>
      <c r="I204" s="497" t="s">
        <v>794</v>
      </c>
      <c r="J204" s="497" t="s">
        <v>40</v>
      </c>
      <c r="K204" s="507" t="s">
        <v>41</v>
      </c>
      <c r="L204" s="336"/>
      <c r="M204" s="336"/>
      <c r="N204" s="336"/>
      <c r="O204" s="336"/>
      <c r="P204" s="336"/>
      <c r="Q204" s="336"/>
      <c r="R204" s="336"/>
      <c r="S204" s="336"/>
      <c r="T204" s="336"/>
      <c r="U204" s="336"/>
      <c r="V204" s="336"/>
      <c r="W204" s="336"/>
      <c r="X204" s="336"/>
      <c r="Y204" s="336"/>
      <c r="Z204" s="336"/>
      <c r="AA204" s="336"/>
      <c r="AB204" s="336"/>
      <c r="AC204" s="336"/>
    </row>
    <row r="205" s="419" customFormat="1" ht="30" customHeight="1" spans="1:29">
      <c r="A205" s="522"/>
      <c r="B205" s="523"/>
      <c r="C205" s="426" t="s">
        <v>221</v>
      </c>
      <c r="D205" s="12" t="s">
        <v>222</v>
      </c>
      <c r="E205" s="12" t="s">
        <v>895</v>
      </c>
      <c r="F205" s="500">
        <v>3000</v>
      </c>
      <c r="G205" s="501">
        <v>900</v>
      </c>
      <c r="H205" s="501">
        <v>200</v>
      </c>
      <c r="I205" s="501" t="s">
        <v>914</v>
      </c>
      <c r="J205" s="322" t="str">
        <f>IFERROR(IF(VLOOKUP(D205,期货合约要素!$D:$Q,12,0)=0,"",VLOOKUP(D205,期货合约要素!$D:$Q,12,0)),IF(VLOOKUP(D205,期权合约要素!$D:$V,17,0)=0,"",VLOOKUP(D205,期权合约要素!$D:$V,17,0)))</f>
        <v>√</v>
      </c>
      <c r="K205" s="323" t="str">
        <f>IFERROR(IF(VLOOKUP(D205,期货合约要素!$D:$Q,14,0)=0,"",VLOOKUP(D205,期货合约要素!$D:$Q,14,0)),IF(VLOOKUP(D205,期权合约要素!$D:$V,19,0)=0,"",VLOOKUP(D205,期权合约要素!$D:$V,19,0)))</f>
        <v/>
      </c>
      <c r="L205" s="522"/>
      <c r="M205" s="522"/>
      <c r="N205" s="522"/>
      <c r="O205" s="522"/>
      <c r="P205" s="522"/>
      <c r="Q205" s="522"/>
      <c r="R205" s="522"/>
      <c r="S205" s="522"/>
      <c r="T205" s="522"/>
      <c r="U205" s="522"/>
      <c r="V205" s="522"/>
      <c r="W205" s="522"/>
      <c r="X205" s="522"/>
      <c r="Y205" s="522"/>
      <c r="Z205" s="522"/>
      <c r="AA205" s="522"/>
      <c r="AB205" s="522"/>
      <c r="AC205" s="522"/>
    </row>
    <row r="206" ht="36" customHeight="1" spans="1:29">
      <c r="A206" s="336"/>
      <c r="B206" s="523"/>
      <c r="C206" s="427"/>
      <c r="D206" s="429"/>
      <c r="E206" s="12" t="s">
        <v>896</v>
      </c>
      <c r="F206" s="500" t="s">
        <v>879</v>
      </c>
      <c r="G206" s="501"/>
      <c r="H206" s="427"/>
      <c r="I206" s="501"/>
      <c r="J206" s="322" t="e">
        <f>IFERROR(IF(VLOOKUP(D206,期货合约要素!$D:$Q,12,0)=0,"",VLOOKUP(D206,期货合约要素!$D:$Q,12,0)),IF(VLOOKUP(D206,期权合约要素!$D:$V,17,0)=0,"",VLOOKUP(D206,期权合约要素!$D:$V,17,0)))</f>
        <v>#N/A</v>
      </c>
      <c r="K206" s="323" t="e">
        <f>IFERROR(IF(VLOOKUP(D206,期货合约要素!$D:$Q,14,0)=0,"",VLOOKUP(D206,期货合约要素!$D:$Q,14,0)),IF(VLOOKUP(D206,期权合约要素!$D:$V,19,0)=0,"",VLOOKUP(D206,期权合约要素!$D:$V,19,0)))</f>
        <v>#N/A</v>
      </c>
      <c r="L206" s="336"/>
      <c r="M206" s="336"/>
      <c r="N206" s="336"/>
      <c r="O206" s="336"/>
      <c r="P206" s="336"/>
      <c r="Q206" s="336"/>
      <c r="R206" s="336"/>
      <c r="S206" s="336"/>
      <c r="T206" s="336"/>
      <c r="U206" s="336"/>
      <c r="V206" s="336"/>
      <c r="W206" s="336"/>
      <c r="X206" s="336"/>
      <c r="Y206" s="336"/>
      <c r="Z206" s="336"/>
      <c r="AA206" s="336"/>
      <c r="AB206" s="336"/>
      <c r="AC206" s="336"/>
    </row>
    <row r="207" ht="36" customHeight="1" spans="1:29">
      <c r="A207" s="336"/>
      <c r="B207" s="523"/>
      <c r="C207" s="423" t="s">
        <v>36</v>
      </c>
      <c r="D207" s="423" t="s">
        <v>37</v>
      </c>
      <c r="E207" s="431" t="s">
        <v>932</v>
      </c>
      <c r="F207" s="434"/>
      <c r="G207" s="431" t="s">
        <v>903</v>
      </c>
      <c r="H207" s="518" t="s">
        <v>866</v>
      </c>
      <c r="I207" s="431" t="s">
        <v>794</v>
      </c>
      <c r="J207" s="322" t="str">
        <f>IFERROR(IF(VLOOKUP(D208,期货合约要素!$D:$Q,12,0)=0,"",VLOOKUP(D208,期货合约要素!$D:$Q,12,0)),IF(VLOOKUP(D208,期权合约要素!$D:$V,17,0)=0,"",VLOOKUP(D208,期权合约要素!$D:$V,17,0)))</f>
        <v>√</v>
      </c>
      <c r="K207" s="323" t="str">
        <f>IFERROR(IF(VLOOKUP(D208,期货合约要素!$D:$Q,14,0)=0,"",VLOOKUP(D208,期货合约要素!$D:$Q,14,0)),IF(VLOOKUP(D208,期权合约要素!$D:$V,19,0)=0,"",VLOOKUP(D208,期权合约要素!$D:$V,19,0)))</f>
        <v>√</v>
      </c>
      <c r="L207" s="336"/>
      <c r="M207" s="336"/>
      <c r="N207" s="336"/>
      <c r="O207" s="336"/>
      <c r="P207" s="336"/>
      <c r="Q207" s="336"/>
      <c r="R207" s="336"/>
      <c r="S207" s="336"/>
      <c r="T207" s="336"/>
      <c r="U207" s="336"/>
      <c r="V207" s="336"/>
      <c r="W207" s="336"/>
      <c r="X207" s="336"/>
      <c r="Y207" s="336"/>
      <c r="Z207" s="336"/>
      <c r="AA207" s="336"/>
      <c r="AB207" s="336"/>
      <c r="AC207" s="336"/>
    </row>
    <row r="208" ht="36" customHeight="1" spans="1:29">
      <c r="A208" s="336"/>
      <c r="B208" s="523"/>
      <c r="C208" s="491" t="s">
        <v>223</v>
      </c>
      <c r="D208" s="492" t="s">
        <v>224</v>
      </c>
      <c r="E208" s="12" t="s">
        <v>895</v>
      </c>
      <c r="F208" s="500">
        <v>3000</v>
      </c>
      <c r="G208" s="501">
        <v>1000</v>
      </c>
      <c r="H208" s="501">
        <v>300</v>
      </c>
      <c r="I208" s="502" t="s">
        <v>914</v>
      </c>
      <c r="J208" s="322"/>
      <c r="K208" s="323"/>
      <c r="L208" s="336"/>
      <c r="M208" s="336"/>
      <c r="N208" s="336"/>
      <c r="O208" s="336"/>
      <c r="P208" s="336"/>
      <c r="Q208" s="336"/>
      <c r="R208" s="336"/>
      <c r="S208" s="336"/>
      <c r="T208" s="336"/>
      <c r="U208" s="336"/>
      <c r="V208" s="336"/>
      <c r="W208" s="336"/>
      <c r="X208" s="336"/>
      <c r="Y208" s="336"/>
      <c r="Z208" s="336"/>
      <c r="AA208" s="336"/>
      <c r="AB208" s="336"/>
      <c r="AC208" s="336"/>
    </row>
    <row r="209" ht="36" customHeight="1" spans="1:29">
      <c r="A209" s="336"/>
      <c r="B209" s="523"/>
      <c r="C209" s="503"/>
      <c r="D209" s="445"/>
      <c r="E209" s="12" t="s">
        <v>896</v>
      </c>
      <c r="F209" s="500" t="s">
        <v>879</v>
      </c>
      <c r="G209" s="501"/>
      <c r="H209" s="427"/>
      <c r="I209" s="537"/>
      <c r="J209" s="322"/>
      <c r="K209" s="323"/>
      <c r="L209" s="336"/>
      <c r="M209" s="336"/>
      <c r="N209" s="336"/>
      <c r="O209" s="336"/>
      <c r="P209" s="336"/>
      <c r="Q209" s="336"/>
      <c r="R209" s="336"/>
      <c r="S209" s="336"/>
      <c r="T209" s="336"/>
      <c r="U209" s="336"/>
      <c r="V209" s="336"/>
      <c r="W209" s="336"/>
      <c r="X209" s="336"/>
      <c r="Y209" s="336"/>
      <c r="Z209" s="336"/>
      <c r="AA209" s="336"/>
      <c r="AB209" s="336"/>
      <c r="AC209" s="336"/>
    </row>
    <row r="210" ht="36" customHeight="1" spans="1:29">
      <c r="A210" s="336"/>
      <c r="B210" s="523"/>
      <c r="C210" s="491" t="s">
        <v>933</v>
      </c>
      <c r="D210" s="492" t="s">
        <v>224</v>
      </c>
      <c r="E210" s="12" t="s">
        <v>934</v>
      </c>
      <c r="F210" s="500">
        <v>3000</v>
      </c>
      <c r="G210" s="502">
        <v>1000</v>
      </c>
      <c r="H210" s="502">
        <v>300</v>
      </c>
      <c r="I210" s="537"/>
      <c r="J210" s="324" t="str">
        <f>IFERROR(IF(VLOOKUP(D210,期货合约要素!$D:$Q,12,0)=0,"",VLOOKUP(D210,期货合约要素!$D:$Q,12,0)),IF(VLOOKUP(D210,期权合约要素!$D:$V,17,0)=0,"",VLOOKUP(D210,期权合约要素!$D:$V,17,0)))</f>
        <v>√</v>
      </c>
      <c r="K210" s="331" t="s">
        <v>281</v>
      </c>
      <c r="L210" s="336"/>
      <c r="M210" s="336"/>
      <c r="N210" s="336"/>
      <c r="O210" s="336"/>
      <c r="P210" s="336"/>
      <c r="Q210" s="336"/>
      <c r="R210" s="336"/>
      <c r="S210" s="336"/>
      <c r="T210" s="336"/>
      <c r="U210" s="336"/>
      <c r="V210" s="336"/>
      <c r="W210" s="336"/>
      <c r="X210" s="336"/>
      <c r="Y210" s="336"/>
      <c r="Z210" s="336"/>
      <c r="AA210" s="336"/>
      <c r="AB210" s="336"/>
      <c r="AC210" s="336"/>
    </row>
    <row r="211" ht="36" customHeight="1" spans="1:29">
      <c r="A211" s="336"/>
      <c r="B211" s="523"/>
      <c r="C211" s="503"/>
      <c r="D211" s="445"/>
      <c r="E211" s="12" t="s">
        <v>935</v>
      </c>
      <c r="F211" s="500" t="s">
        <v>870</v>
      </c>
      <c r="G211" s="504"/>
      <c r="H211" s="504"/>
      <c r="I211" s="537"/>
      <c r="J211" s="324" t="e">
        <f>IFERROR(IF(VLOOKUP(#REF!,期货合约要素!$D:$Q,12,0)=0,"",VLOOKUP(#REF!,期货合约要素!$D:$Q,12,0)),IF(VLOOKUP(#REF!,期权合约要素!$D:$V,17,0)=0,"",VLOOKUP(#REF!,期权合约要素!$D:$V,17,0)))</f>
        <v>#REF!</v>
      </c>
      <c r="K211" s="538"/>
      <c r="L211" s="336"/>
      <c r="M211" s="336"/>
      <c r="N211" s="336"/>
      <c r="O211" s="336"/>
      <c r="P211" s="336"/>
      <c r="Q211" s="336"/>
      <c r="R211" s="336"/>
      <c r="S211" s="336"/>
      <c r="T211" s="336"/>
      <c r="U211" s="336"/>
      <c r="V211" s="336"/>
      <c r="W211" s="336"/>
      <c r="X211" s="336"/>
      <c r="Y211" s="336"/>
      <c r="Z211" s="336"/>
      <c r="AA211" s="336"/>
      <c r="AB211" s="336"/>
      <c r="AC211" s="336"/>
    </row>
    <row r="212" ht="36" customHeight="1" spans="1:29">
      <c r="A212" s="336"/>
      <c r="B212" s="523"/>
      <c r="C212" s="491" t="s">
        <v>225</v>
      </c>
      <c r="D212" s="492" t="s">
        <v>226</v>
      </c>
      <c r="E212" s="12" t="s">
        <v>934</v>
      </c>
      <c r="F212" s="500">
        <v>3000</v>
      </c>
      <c r="G212" s="502">
        <v>500</v>
      </c>
      <c r="H212" s="502">
        <v>100</v>
      </c>
      <c r="I212" s="537"/>
      <c r="J212" s="322" t="str">
        <f>IFERROR(IF(VLOOKUP(D212,期货合约要素!$D:$Q,12,0)=0,"",VLOOKUP(D212,期货合约要素!$D:$Q,12,0)),IF(VLOOKUP(D212,期权合约要素!$D:$V,17,0)=0,"",VLOOKUP(D212,期权合约要素!$D:$V,17,0)))</f>
        <v>√</v>
      </c>
      <c r="K212" s="323" t="str">
        <f>IFERROR(IF(VLOOKUP(D212,期货合约要素!$D:$Q,14,0)=0,"",VLOOKUP(D212,期货合约要素!$D:$Q,14,0)),IF(VLOOKUP(D212,期权合约要素!$D:$V,19,0)=0,"",VLOOKUP(D212,期权合约要素!$D:$V,19,0)))</f>
        <v/>
      </c>
      <c r="L212" s="336"/>
      <c r="M212" s="336"/>
      <c r="N212" s="336"/>
      <c r="O212" s="336"/>
      <c r="P212" s="336"/>
      <c r="Q212" s="336"/>
      <c r="R212" s="336"/>
      <c r="S212" s="336"/>
      <c r="T212" s="336"/>
      <c r="U212" s="336"/>
      <c r="V212" s="336"/>
      <c r="W212" s="336"/>
      <c r="X212" s="336"/>
      <c r="Y212" s="336"/>
      <c r="Z212" s="336"/>
      <c r="AA212" s="336"/>
      <c r="AB212" s="336"/>
      <c r="AC212" s="336"/>
    </row>
    <row r="213" ht="36" customHeight="1" spans="1:29">
      <c r="A213" s="336"/>
      <c r="B213" s="523"/>
      <c r="C213" s="503"/>
      <c r="D213" s="445"/>
      <c r="E213" s="12" t="s">
        <v>935</v>
      </c>
      <c r="F213" s="500" t="s">
        <v>870</v>
      </c>
      <c r="G213" s="504"/>
      <c r="H213" s="504"/>
      <c r="I213" s="537"/>
      <c r="J213" s="322" t="e">
        <f>IFERROR(IF(VLOOKUP(D213,期货合约要素!$D:$Q,12,0)=0,"",VLOOKUP(D213,期货合约要素!$D:$Q,12,0)),IF(VLOOKUP(D213,期权合约要素!$D:$V,17,0)=0,"",VLOOKUP(D213,期权合约要素!$D:$V,17,0)))</f>
        <v>#N/A</v>
      </c>
      <c r="K213" s="323" t="e">
        <f>IFERROR(IF(VLOOKUP(D213,期货合约要素!$D:$Q,14,0)=0,"",VLOOKUP(D213,期货合约要素!$D:$Q,14,0)),IF(VLOOKUP(D213,期权合约要素!$D:$V,19,0)=0,"",VLOOKUP(D213,期权合约要素!$D:$V,19,0)))</f>
        <v>#N/A</v>
      </c>
      <c r="L213" s="336"/>
      <c r="M213" s="336"/>
      <c r="N213" s="336"/>
      <c r="O213" s="336"/>
      <c r="P213" s="336"/>
      <c r="Q213" s="336"/>
      <c r="R213" s="336"/>
      <c r="S213" s="336"/>
      <c r="T213" s="336"/>
      <c r="U213" s="336"/>
      <c r="V213" s="336"/>
      <c r="W213" s="336"/>
      <c r="X213" s="336"/>
      <c r="Y213" s="336"/>
      <c r="Z213" s="336"/>
      <c r="AA213" s="336"/>
      <c r="AB213" s="336"/>
      <c r="AC213" s="336"/>
    </row>
    <row r="214" ht="36" customHeight="1" spans="1:29">
      <c r="A214" s="336"/>
      <c r="B214" s="523"/>
      <c r="C214" s="426" t="s">
        <v>227</v>
      </c>
      <c r="D214" s="12" t="s">
        <v>228</v>
      </c>
      <c r="E214" s="12" t="s">
        <v>936</v>
      </c>
      <c r="F214" s="500">
        <v>600</v>
      </c>
      <c r="G214" s="501">
        <v>180</v>
      </c>
      <c r="H214" s="501">
        <v>60</v>
      </c>
      <c r="I214" s="537"/>
      <c r="J214" s="322" t="str">
        <f>IFERROR(IF(VLOOKUP(D214,期货合约要素!$D:$Q,12,0)=0,"",VLOOKUP(D214,期货合约要素!$D:$Q,12,0)),IF(VLOOKUP(D214,期权合约要素!$D:$V,17,0)=0,"",VLOOKUP(D214,期权合约要素!$D:$V,17,0)))</f>
        <v/>
      </c>
      <c r="K214" s="323" t="str">
        <f>IFERROR(IF(VLOOKUP(D214,期货合约要素!$D:$Q,14,0)=0,"",VLOOKUP(D214,期货合约要素!$D:$Q,14,0)),IF(VLOOKUP(D214,期权合约要素!$D:$V,19,0)=0,"",VLOOKUP(D214,期权合约要素!$D:$V,19,0)))</f>
        <v/>
      </c>
      <c r="L214" s="336"/>
      <c r="M214" s="336"/>
      <c r="N214" s="336"/>
      <c r="O214" s="336"/>
      <c r="P214" s="336"/>
      <c r="Q214" s="336"/>
      <c r="R214" s="336"/>
      <c r="S214" s="336"/>
      <c r="T214" s="336"/>
      <c r="U214" s="336"/>
      <c r="V214" s="336"/>
      <c r="W214" s="336"/>
      <c r="X214" s="336"/>
      <c r="Y214" s="336"/>
      <c r="Z214" s="336"/>
      <c r="AA214" s="336"/>
      <c r="AB214" s="336"/>
      <c r="AC214" s="336"/>
    </row>
    <row r="215" s="418" customFormat="1" ht="42" customHeight="1" spans="1:29">
      <c r="A215" s="430"/>
      <c r="B215" s="523"/>
      <c r="C215" s="426"/>
      <c r="D215" s="12"/>
      <c r="E215" s="12" t="s">
        <v>937</v>
      </c>
      <c r="F215" s="500" t="s">
        <v>870</v>
      </c>
      <c r="G215" s="501"/>
      <c r="H215" s="501"/>
      <c r="I215" s="537"/>
      <c r="J215" s="322"/>
      <c r="K215" s="323"/>
      <c r="L215" s="430"/>
      <c r="M215" s="430"/>
      <c r="N215" s="430"/>
      <c r="O215" s="430"/>
      <c r="P215" s="430"/>
      <c r="Q215" s="430"/>
      <c r="R215" s="430"/>
      <c r="S215" s="430"/>
      <c r="T215" s="430"/>
      <c r="U215" s="430"/>
      <c r="V215" s="430"/>
      <c r="W215" s="430"/>
      <c r="X215" s="430"/>
      <c r="Y215" s="430"/>
      <c r="Z215" s="430"/>
      <c r="AA215" s="430"/>
      <c r="AB215" s="430"/>
      <c r="AC215" s="430"/>
    </row>
    <row r="216" s="418" customFormat="1" ht="42" customHeight="1" spans="1:29">
      <c r="A216" s="430"/>
      <c r="B216" s="523"/>
      <c r="C216" s="426" t="s">
        <v>229</v>
      </c>
      <c r="D216" s="12" t="s">
        <v>230</v>
      </c>
      <c r="E216" s="12" t="s">
        <v>938</v>
      </c>
      <c r="F216" s="500">
        <v>300</v>
      </c>
      <c r="G216" s="501">
        <v>90</v>
      </c>
      <c r="H216" s="501">
        <v>30</v>
      </c>
      <c r="I216" s="537"/>
      <c r="J216" s="322" t="str">
        <f>IFERROR(IF(VLOOKUP(D216,期货合约要素!$D:$Q,12,0)=0,"",VLOOKUP(D216,期货合约要素!$D:$Q,12,0)),IF(VLOOKUP(D216,期权合约要素!$D:$V,17,0)=0,"",VLOOKUP(D216,期权合约要素!$D:$V,17,0)))</f>
        <v/>
      </c>
      <c r="K216" s="323" t="str">
        <f>IFERROR(IF(VLOOKUP(D216,期货合约要素!$D:$Q,14,0)=0,"",VLOOKUP(D216,期货合约要素!$D:$Q,14,0)),IF(VLOOKUP(D216,期权合约要素!$D:$V,19,0)=0,"",VLOOKUP(D216,期权合约要素!$D:$V,19,0)))</f>
        <v/>
      </c>
      <c r="L216" s="430"/>
      <c r="M216" s="430"/>
      <c r="N216" s="430"/>
      <c r="O216" s="430"/>
      <c r="P216" s="430"/>
      <c r="Q216" s="430"/>
      <c r="R216" s="430"/>
      <c r="S216" s="430"/>
      <c r="T216" s="430"/>
      <c r="U216" s="430"/>
      <c r="V216" s="430"/>
      <c r="W216" s="430"/>
      <c r="X216" s="430"/>
      <c r="Y216" s="430"/>
      <c r="Z216" s="430"/>
      <c r="AA216" s="430"/>
      <c r="AB216" s="430"/>
      <c r="AC216" s="430"/>
    </row>
    <row r="217" ht="42" customHeight="1" spans="1:29">
      <c r="A217" s="336"/>
      <c r="B217" s="523"/>
      <c r="C217" s="426"/>
      <c r="D217" s="12"/>
      <c r="E217" s="12" t="s">
        <v>939</v>
      </c>
      <c r="F217" s="500" t="s">
        <v>870</v>
      </c>
      <c r="G217" s="501"/>
      <c r="H217" s="501"/>
      <c r="I217" s="504"/>
      <c r="J217" s="322"/>
      <c r="K217" s="323"/>
      <c r="L217" s="336"/>
      <c r="M217" s="336"/>
      <c r="N217" s="336"/>
      <c r="O217" s="336"/>
      <c r="P217" s="336"/>
      <c r="Q217" s="336"/>
      <c r="R217" s="336"/>
      <c r="S217" s="336"/>
      <c r="T217" s="336"/>
      <c r="U217" s="336"/>
      <c r="V217" s="336"/>
      <c r="W217" s="336"/>
      <c r="X217" s="336"/>
      <c r="Y217" s="336"/>
      <c r="Z217" s="336"/>
      <c r="AA217" s="336"/>
      <c r="AB217" s="336"/>
      <c r="AC217" s="336"/>
    </row>
    <row r="218" ht="42" customHeight="1" spans="1:29">
      <c r="A218" s="336"/>
      <c r="B218" s="523"/>
      <c r="C218" s="423" t="s">
        <v>36</v>
      </c>
      <c r="D218" s="423" t="s">
        <v>37</v>
      </c>
      <c r="E218" s="431" t="s">
        <v>940</v>
      </c>
      <c r="F218" s="431"/>
      <c r="G218" s="431"/>
      <c r="H218" s="431"/>
      <c r="I218" s="431" t="s">
        <v>794</v>
      </c>
      <c r="J218" s="431" t="s">
        <v>40</v>
      </c>
      <c r="K218" s="456" t="s">
        <v>41</v>
      </c>
      <c r="L218" s="336"/>
      <c r="M218" s="336"/>
      <c r="N218" s="336"/>
      <c r="O218" s="336"/>
      <c r="P218" s="336"/>
      <c r="Q218" s="336"/>
      <c r="R218" s="336"/>
      <c r="S218" s="336"/>
      <c r="T218" s="336"/>
      <c r="U218" s="336"/>
      <c r="V218" s="336"/>
      <c r="W218" s="336"/>
      <c r="X218" s="336"/>
      <c r="Y218" s="336"/>
      <c r="Z218" s="336"/>
      <c r="AA218" s="336"/>
      <c r="AB218" s="336"/>
      <c r="AC218" s="336"/>
    </row>
    <row r="219" ht="42" customHeight="1" spans="1:29">
      <c r="A219" s="336"/>
      <c r="B219" s="523"/>
      <c r="C219" s="426" t="s">
        <v>653</v>
      </c>
      <c r="D219" s="12" t="s">
        <v>654</v>
      </c>
      <c r="E219" s="501">
        <v>3000</v>
      </c>
      <c r="F219" s="501"/>
      <c r="G219" s="501"/>
      <c r="H219" s="501"/>
      <c r="I219" s="458" t="s">
        <v>930</v>
      </c>
      <c r="J219" s="322" t="str">
        <f>IFERROR(IF(VLOOKUP(D219,期货合约要素!$D:$Q,12,0)=0,"",VLOOKUP(D219,期货合约要素!$D:$Q,12,0)),IF(VLOOKUP(D219,期权合约要素!$D:$V,17,0)=0,"",VLOOKUP(D219,期权合约要素!$D:$V,17,0)))</f>
        <v>√</v>
      </c>
      <c r="K219" s="323" t="str">
        <f>IFERROR(IF(VLOOKUP(D219,期货合约要素!$D:$Q,14,0)=0,"",VLOOKUP(D219,期货合约要素!$D:$Q,14,0)),IF(VLOOKUP(D219,期权合约要素!$D:$V,19,0)=0,"",VLOOKUP(D219,期权合约要素!$D:$V,19,0)))</f>
        <v/>
      </c>
      <c r="L219" s="336"/>
      <c r="M219" s="336"/>
      <c r="N219" s="336"/>
      <c r="O219" s="336"/>
      <c r="P219" s="336"/>
      <c r="Q219" s="336"/>
      <c r="R219" s="336"/>
      <c r="S219" s="336"/>
      <c r="T219" s="336"/>
      <c r="U219" s="336"/>
      <c r="V219" s="336"/>
      <c r="W219" s="336"/>
      <c r="X219" s="336"/>
      <c r="Y219" s="336"/>
      <c r="Z219" s="336"/>
      <c r="AA219" s="336"/>
      <c r="AB219" s="336"/>
      <c r="AC219" s="336"/>
    </row>
    <row r="220" ht="42" customHeight="1" spans="1:29">
      <c r="A220" s="336"/>
      <c r="B220" s="523"/>
      <c r="C220" s="426" t="s">
        <v>657</v>
      </c>
      <c r="D220" s="12" t="s">
        <v>658</v>
      </c>
      <c r="E220" s="501">
        <v>3000</v>
      </c>
      <c r="F220" s="501"/>
      <c r="G220" s="501"/>
      <c r="H220" s="501"/>
      <c r="I220" s="461"/>
      <c r="J220" s="322" t="str">
        <f>IFERROR(IF(VLOOKUP(D220,期货合约要素!$D:$Q,12,0)=0,"",VLOOKUP(D220,期货合约要素!$D:$Q,12,0)),IF(VLOOKUP(D220,期权合约要素!$D:$V,17,0)=0,"",VLOOKUP(D220,期权合约要素!$D:$V,17,0)))</f>
        <v>√</v>
      </c>
      <c r="K220" s="323" t="str">
        <f>IFERROR(IF(VLOOKUP(D220,期货合约要素!$D:$Q,14,0)=0,"",VLOOKUP(D220,期货合约要素!$D:$Q,14,0)),IF(VLOOKUP(D220,期权合约要素!$D:$V,19,0)=0,"",VLOOKUP(D220,期权合约要素!$D:$V,19,0)))</f>
        <v>√</v>
      </c>
      <c r="L220" s="336"/>
      <c r="M220" s="336"/>
      <c r="N220" s="336"/>
      <c r="O220" s="336"/>
      <c r="P220" s="336"/>
      <c r="Q220" s="336"/>
      <c r="R220" s="336"/>
      <c r="S220" s="336"/>
      <c r="T220" s="336"/>
      <c r="U220" s="336"/>
      <c r="V220" s="336"/>
      <c r="W220" s="336"/>
      <c r="X220" s="336"/>
      <c r="Y220" s="336"/>
      <c r="Z220" s="336"/>
      <c r="AA220" s="336"/>
      <c r="AB220" s="336"/>
      <c r="AC220" s="336"/>
    </row>
    <row r="221" ht="42" customHeight="1" spans="1:29">
      <c r="A221" s="336"/>
      <c r="B221" s="523"/>
      <c r="C221" s="426" t="s">
        <v>660</v>
      </c>
      <c r="D221" s="12" t="s">
        <v>661</v>
      </c>
      <c r="E221" s="501">
        <v>3000</v>
      </c>
      <c r="F221" s="501"/>
      <c r="G221" s="501"/>
      <c r="H221" s="501"/>
      <c r="I221" s="461"/>
      <c r="J221" s="322" t="str">
        <f>IFERROR(IF(VLOOKUP(D221,期货合约要素!$D:$Q,12,0)=0,"",VLOOKUP(D221,期货合约要素!$D:$Q,12,0)),IF(VLOOKUP(D221,期权合约要素!$D:$V,17,0)=0,"",VLOOKUP(D221,期权合约要素!$D:$V,17,0)))</f>
        <v>√</v>
      </c>
      <c r="K221" s="323" t="str">
        <f>IFERROR(IF(VLOOKUP(D221,期货合约要素!$D:$Q,14,0)=0,"",VLOOKUP(D221,期货合约要素!$D:$Q,14,0)),IF(VLOOKUP(D221,期权合约要素!$D:$V,19,0)=0,"",VLOOKUP(D221,期权合约要素!$D:$V,19,0)))</f>
        <v/>
      </c>
      <c r="L221" s="336"/>
      <c r="M221" s="336"/>
      <c r="N221" s="336"/>
      <c r="O221" s="336"/>
      <c r="P221" s="336"/>
      <c r="Q221" s="336"/>
      <c r="R221" s="336"/>
      <c r="S221" s="336"/>
      <c r="T221" s="336"/>
      <c r="U221" s="336"/>
      <c r="V221" s="336"/>
      <c r="W221" s="336"/>
      <c r="X221" s="336"/>
      <c r="Y221" s="336"/>
      <c r="Z221" s="336"/>
      <c r="AA221" s="336"/>
      <c r="AB221" s="336"/>
      <c r="AC221" s="336"/>
    </row>
    <row r="222" ht="42" customHeight="1" spans="1:29">
      <c r="A222" s="336"/>
      <c r="B222" s="523"/>
      <c r="C222" s="426" t="s">
        <v>663</v>
      </c>
      <c r="D222" s="524" t="s">
        <v>664</v>
      </c>
      <c r="E222" s="501">
        <v>600</v>
      </c>
      <c r="F222" s="501"/>
      <c r="G222" s="501"/>
      <c r="H222" s="501"/>
      <c r="I222" s="461"/>
      <c r="J222" s="322" t="str">
        <f>IFERROR(IF(VLOOKUP(D222,期货合约要素!$D:$Q,12,0)=0,"",VLOOKUP(D222,期货合约要素!$D:$Q,12,0)),IF(VLOOKUP(D222,期权合约要素!$D:$V,17,0)=0,"",VLOOKUP(D222,期权合约要素!$D:$V,17,0)))</f>
        <v/>
      </c>
      <c r="K222" s="323" t="str">
        <f>IFERROR(IF(VLOOKUP(D222,期货合约要素!$D:$Q,14,0)=0,"",VLOOKUP(D222,期货合约要素!$D:$Q,14,0)),IF(VLOOKUP(D222,期权合约要素!$D:$V,19,0)=0,"",VLOOKUP(D222,期权合约要素!$D:$V,19,0)))</f>
        <v/>
      </c>
      <c r="L222" s="336"/>
      <c r="M222" s="336"/>
      <c r="N222" s="336"/>
      <c r="O222" s="336"/>
      <c r="P222" s="336"/>
      <c r="Q222" s="336"/>
      <c r="R222" s="336"/>
      <c r="S222" s="336"/>
      <c r="T222" s="336"/>
      <c r="U222" s="336"/>
      <c r="V222" s="336"/>
      <c r="W222" s="336"/>
      <c r="X222" s="336"/>
      <c r="Y222" s="336"/>
      <c r="Z222" s="336"/>
      <c r="AA222" s="336"/>
      <c r="AB222" s="336"/>
      <c r="AC222" s="336"/>
    </row>
    <row r="223" ht="42" customHeight="1" spans="1:29">
      <c r="A223" s="336"/>
      <c r="B223" s="525"/>
      <c r="C223" s="510" t="s">
        <v>666</v>
      </c>
      <c r="D223" s="526" t="s">
        <v>667</v>
      </c>
      <c r="E223" s="527">
        <v>300</v>
      </c>
      <c r="F223" s="527"/>
      <c r="G223" s="527"/>
      <c r="H223" s="527"/>
      <c r="I223" s="539"/>
      <c r="J223" s="388" t="str">
        <f>IFERROR(IF(VLOOKUP(D223,期货合约要素!$D:$Q,12,0)=0,"",VLOOKUP(D223,期货合约要素!$D:$Q,12,0)),IF(VLOOKUP(D223,期权合约要素!$D:$V,17,0)=0,"",VLOOKUP(D223,期权合约要素!$D:$V,17,0)))</f>
        <v/>
      </c>
      <c r="K223" s="389" t="str">
        <f>IFERROR(IF(VLOOKUP(D223,期货合约要素!$D:$Q,14,0)=0,"",VLOOKUP(D223,期货合约要素!$D:$Q,14,0)),IF(VLOOKUP(D223,期权合约要素!$D:$V,19,0)=0,"",VLOOKUP(D223,期权合约要素!$D:$V,19,0)))</f>
        <v/>
      </c>
      <c r="L223" s="336"/>
      <c r="M223" s="336"/>
      <c r="N223" s="336"/>
      <c r="O223" s="336"/>
      <c r="P223" s="336"/>
      <c r="Q223" s="336"/>
      <c r="R223" s="336"/>
      <c r="S223" s="336"/>
      <c r="T223" s="336"/>
      <c r="U223" s="336"/>
      <c r="V223" s="336"/>
      <c r="W223" s="336"/>
      <c r="X223" s="336"/>
      <c r="Y223" s="336"/>
      <c r="Z223" s="336"/>
      <c r="AA223" s="336"/>
      <c r="AB223" s="336"/>
      <c r="AC223" s="336"/>
    </row>
    <row r="224" ht="36" customHeight="1" spans="1:29">
      <c r="A224" s="336"/>
      <c r="B224" s="528" t="s">
        <v>231</v>
      </c>
      <c r="C224" s="497" t="s">
        <v>941</v>
      </c>
      <c r="D224" s="497" t="s">
        <v>942</v>
      </c>
      <c r="E224" s="497" t="s">
        <v>943</v>
      </c>
      <c r="F224" s="498"/>
      <c r="G224" s="497" t="s">
        <v>944</v>
      </c>
      <c r="H224" s="498"/>
      <c r="I224" s="540" t="s">
        <v>794</v>
      </c>
      <c r="J224" s="541" t="s">
        <v>40</v>
      </c>
      <c r="K224" s="542" t="s">
        <v>41</v>
      </c>
      <c r="L224" s="336"/>
      <c r="M224" s="336"/>
      <c r="N224" s="336"/>
      <c r="O224" s="336"/>
      <c r="P224" s="336"/>
      <c r="Q224" s="336"/>
      <c r="R224" s="336"/>
      <c r="S224" s="336"/>
      <c r="T224" s="336"/>
      <c r="U224" s="336"/>
      <c r="V224" s="336"/>
      <c r="W224" s="336"/>
      <c r="X224" s="336"/>
      <c r="Y224" s="336"/>
      <c r="Z224" s="336"/>
      <c r="AA224" s="336"/>
      <c r="AB224" s="336"/>
      <c r="AC224" s="336"/>
    </row>
    <row r="225" ht="36" customHeight="1" spans="1:29">
      <c r="A225" s="336"/>
      <c r="B225" s="529"/>
      <c r="C225" s="434" t="s">
        <v>36</v>
      </c>
      <c r="D225" s="434" t="s">
        <v>37</v>
      </c>
      <c r="E225" s="431" t="s">
        <v>945</v>
      </c>
      <c r="F225" s="134"/>
      <c r="G225" s="134"/>
      <c r="H225" s="134"/>
      <c r="I225" s="434"/>
      <c r="J225" s="543"/>
      <c r="K225" s="544"/>
      <c r="L225" s="336"/>
      <c r="M225" s="336"/>
      <c r="N225" s="336"/>
      <c r="O225" s="336"/>
      <c r="P225" s="336"/>
      <c r="Q225" s="336"/>
      <c r="R225" s="336"/>
      <c r="S225" s="336"/>
      <c r="T225" s="336"/>
      <c r="U225" s="336"/>
      <c r="V225" s="336"/>
      <c r="W225" s="336"/>
      <c r="X225" s="336"/>
      <c r="Y225" s="336"/>
      <c r="Z225" s="336"/>
      <c r="AA225" s="336"/>
      <c r="AB225" s="336"/>
      <c r="AC225" s="336"/>
    </row>
    <row r="226" ht="35.1" customHeight="1" spans="1:29">
      <c r="A226" s="336"/>
      <c r="B226" s="529"/>
      <c r="C226" s="426" t="s">
        <v>242</v>
      </c>
      <c r="D226" s="12" t="s">
        <v>243</v>
      </c>
      <c r="E226" s="12" t="s">
        <v>946</v>
      </c>
      <c r="F226" s="427"/>
      <c r="G226" s="12" t="s">
        <v>947</v>
      </c>
      <c r="H226" s="427"/>
      <c r="I226" s="545" t="s">
        <v>948</v>
      </c>
      <c r="J226" s="322" t="str">
        <f>IFERROR(IF(VLOOKUP(D226,期货合约要素!$D:$Q,12,0)=0,"",VLOOKUP(D226,期货合约要素!$D:$Q,12,0)),IF(VLOOKUP(D226,期权合约要素!$D:$V,17,0)=0,"",VLOOKUP(D226,期权合约要素!$D:$V,17,0)))</f>
        <v>√</v>
      </c>
      <c r="K226" s="323" t="str">
        <f>IFERROR(IF(VLOOKUP(D226,期货合约要素!$D:$Q,14,0)=0,"",VLOOKUP(D226,期货合约要素!$D:$Q,14,0)),IF(VLOOKUP(D226,期权合约要素!$D:$V,19,0)=0,"",VLOOKUP(D226,期权合约要素!$D:$V,19,0)))</f>
        <v/>
      </c>
      <c r="L226" s="336"/>
      <c r="M226" s="336"/>
      <c r="N226" s="336"/>
      <c r="O226" s="336"/>
      <c r="P226" s="336"/>
      <c r="Q226" s="336"/>
      <c r="R226" s="336"/>
      <c r="S226" s="336"/>
      <c r="T226" s="336"/>
      <c r="U226" s="336"/>
      <c r="V226" s="336"/>
      <c r="W226" s="336"/>
      <c r="X226" s="336"/>
      <c r="Y226" s="336"/>
      <c r="Z226" s="336"/>
      <c r="AA226" s="336"/>
      <c r="AB226" s="336"/>
      <c r="AC226" s="336"/>
    </row>
    <row r="227" ht="35.1" customHeight="1" spans="1:29">
      <c r="A227" s="336"/>
      <c r="B227" s="529"/>
      <c r="C227" s="426" t="s">
        <v>245</v>
      </c>
      <c r="D227" s="12" t="s">
        <v>246</v>
      </c>
      <c r="E227" s="12" t="s">
        <v>949</v>
      </c>
      <c r="F227" s="322"/>
      <c r="G227" s="12" t="s">
        <v>950</v>
      </c>
      <c r="H227" s="322"/>
      <c r="I227" s="546"/>
      <c r="J227" s="322" t="str">
        <f>IFERROR(IF(VLOOKUP(D227,期货合约要素!$D:$Q,12,0)=0,"",VLOOKUP(D227,期货合约要素!$D:$Q,12,0)),IF(VLOOKUP(D227,期权合约要素!$D:$V,17,0)=0,"",VLOOKUP(D227,期权合约要素!$D:$V,17,0)))</f>
        <v>√</v>
      </c>
      <c r="K227" s="323" t="str">
        <f>IFERROR(IF(VLOOKUP(D227,期货合约要素!$D:$Q,14,0)=0,"",VLOOKUP(D227,期货合约要素!$D:$Q,14,0)),IF(VLOOKUP(D227,期权合约要素!$D:$V,19,0)=0,"",VLOOKUP(D227,期权合约要素!$D:$V,19,0)))</f>
        <v/>
      </c>
      <c r="L227" s="336"/>
      <c r="M227" s="336"/>
      <c r="N227" s="336"/>
      <c r="O227" s="336"/>
      <c r="P227" s="336"/>
      <c r="Q227" s="336"/>
      <c r="R227" s="336"/>
      <c r="S227" s="336"/>
      <c r="T227" s="336"/>
      <c r="U227" s="336"/>
      <c r="V227" s="336"/>
      <c r="W227" s="336"/>
      <c r="X227" s="336"/>
      <c r="Y227" s="336"/>
      <c r="Z227" s="336"/>
      <c r="AA227" s="336"/>
      <c r="AB227" s="336"/>
      <c r="AC227" s="336"/>
    </row>
    <row r="228" ht="35.1" customHeight="1" spans="1:29">
      <c r="A228" s="336"/>
      <c r="B228" s="529"/>
      <c r="C228" s="426" t="s">
        <v>247</v>
      </c>
      <c r="D228" s="12" t="s">
        <v>248</v>
      </c>
      <c r="E228" s="12" t="s">
        <v>949</v>
      </c>
      <c r="F228" s="322"/>
      <c r="G228" s="12" t="s">
        <v>950</v>
      </c>
      <c r="H228" s="322"/>
      <c r="I228" s="546"/>
      <c r="J228" s="322" t="str">
        <f>IFERROR(IF(VLOOKUP(D228,期货合约要素!$D:$Q,12,0)=0,"",VLOOKUP(D228,期货合约要素!$D:$Q,12,0)),IF(VLOOKUP(D228,期权合约要素!$D:$V,17,0)=0,"",VLOOKUP(D228,期权合约要素!$D:$V,17,0)))</f>
        <v>√</v>
      </c>
      <c r="K228" s="323" t="str">
        <f>IFERROR(IF(VLOOKUP(D228,期货合约要素!$D:$Q,14,0)=0,"",VLOOKUP(D228,期货合约要素!$D:$Q,14,0)),IF(VLOOKUP(D228,期权合约要素!$D:$V,19,0)=0,"",VLOOKUP(D228,期权合约要素!$D:$V,19,0)))</f>
        <v/>
      </c>
      <c r="L228" s="336"/>
      <c r="M228" s="336"/>
      <c r="N228" s="336"/>
      <c r="O228" s="336"/>
      <c r="P228" s="336"/>
      <c r="Q228" s="336"/>
      <c r="R228" s="336"/>
      <c r="S228" s="336"/>
      <c r="T228" s="336"/>
      <c r="U228" s="336"/>
      <c r="V228" s="336"/>
      <c r="W228" s="336"/>
      <c r="X228" s="336"/>
      <c r="Y228" s="336"/>
      <c r="Z228" s="336"/>
      <c r="AA228" s="336"/>
      <c r="AB228" s="336"/>
      <c r="AC228" s="336"/>
    </row>
    <row r="229" ht="35.1" customHeight="1" spans="1:29">
      <c r="A229" s="336"/>
      <c r="B229" s="529"/>
      <c r="C229" s="426" t="s">
        <v>249</v>
      </c>
      <c r="D229" s="12" t="s">
        <v>250</v>
      </c>
      <c r="E229" s="12" t="s">
        <v>949</v>
      </c>
      <c r="F229" s="322"/>
      <c r="G229" s="12" t="s">
        <v>950</v>
      </c>
      <c r="H229" s="322"/>
      <c r="I229" s="546"/>
      <c r="J229" s="322" t="str">
        <f>IFERROR(IF(VLOOKUP(D229,期货合约要素!$D:$Q,12,0)=0,"",VLOOKUP(D229,期货合约要素!$D:$Q,12,0)),IF(VLOOKUP(D229,期权合约要素!$D:$V,17,0)=0,"",VLOOKUP(D229,期权合约要素!$D:$V,17,0)))</f>
        <v>√</v>
      </c>
      <c r="K229" s="323" t="str">
        <f>IFERROR(IF(VLOOKUP(D229,期货合约要素!$D:$Q,14,0)=0,"",VLOOKUP(D229,期货合约要素!$D:$Q,14,0)),IF(VLOOKUP(D229,期权合约要素!$D:$V,19,0)=0,"",VLOOKUP(D229,期权合约要素!$D:$V,19,0)))</f>
        <v/>
      </c>
      <c r="L229" s="336"/>
      <c r="M229" s="336"/>
      <c r="N229" s="336"/>
      <c r="O229" s="336"/>
      <c r="P229" s="336"/>
      <c r="Q229" s="336"/>
      <c r="R229" s="336"/>
      <c r="S229" s="336"/>
      <c r="T229" s="336"/>
      <c r="U229" s="336"/>
      <c r="V229" s="336"/>
      <c r="W229" s="336"/>
      <c r="X229" s="336"/>
      <c r="Y229" s="336"/>
      <c r="Z229" s="336"/>
      <c r="AA229" s="336"/>
      <c r="AB229" s="336"/>
      <c r="AC229" s="336"/>
    </row>
    <row r="230" ht="35.1" customHeight="1" spans="1:29">
      <c r="A230" s="336"/>
      <c r="B230" s="529"/>
      <c r="C230" s="431" t="s">
        <v>951</v>
      </c>
      <c r="D230" s="431" t="s">
        <v>952</v>
      </c>
      <c r="E230" s="431" t="s">
        <v>945</v>
      </c>
      <c r="F230" s="517"/>
      <c r="G230" s="517"/>
      <c r="H230" s="517"/>
      <c r="I230" s="431" t="s">
        <v>794</v>
      </c>
      <c r="J230" s="431" t="s">
        <v>40</v>
      </c>
      <c r="K230" s="456" t="s">
        <v>41</v>
      </c>
      <c r="L230" s="336"/>
      <c r="M230" s="336"/>
      <c r="N230" s="336"/>
      <c r="O230" s="336"/>
      <c r="P230" s="336"/>
      <c r="Q230" s="336"/>
      <c r="R230" s="336"/>
      <c r="S230" s="336"/>
      <c r="T230" s="336"/>
      <c r="U230" s="336"/>
      <c r="V230" s="336"/>
      <c r="W230" s="336"/>
      <c r="X230" s="336"/>
      <c r="Y230" s="336"/>
      <c r="Z230" s="336"/>
      <c r="AA230" s="336"/>
      <c r="AB230" s="336"/>
      <c r="AC230" s="336"/>
    </row>
    <row r="231" ht="90.95" customHeight="1" spans="1:29">
      <c r="A231" s="336"/>
      <c r="B231" s="529"/>
      <c r="C231" s="426" t="s">
        <v>413</v>
      </c>
      <c r="D231" s="12" t="s">
        <v>252</v>
      </c>
      <c r="E231" s="324" t="s">
        <v>953</v>
      </c>
      <c r="F231" s="427"/>
      <c r="G231" s="324" t="s">
        <v>954</v>
      </c>
      <c r="H231" s="427"/>
      <c r="I231" s="545" t="s">
        <v>955</v>
      </c>
      <c r="J231" s="322" t="str">
        <f>IFERROR(IF(VLOOKUP(D231,期货合约要素!$D:$Q,12,0)=0,"",VLOOKUP(D231,期货合约要素!$D:$Q,12,0)),IF(VLOOKUP(D231,期权合约要素!$D:$V,17,0)=0,"",VLOOKUP(D231,期权合约要素!$D:$V,17,0)))</f>
        <v>√</v>
      </c>
      <c r="K231" s="323" t="str">
        <f>IFERROR(IF(VLOOKUP(D231,期货合约要素!$D:$Q,14,0)=0,"",VLOOKUP(D231,期货合约要素!$D:$Q,14,0)),IF(VLOOKUP(D231,期权合约要素!$D:$V,19,0)=0,"",VLOOKUP(D231,期权合约要素!$D:$V,19,0)))</f>
        <v/>
      </c>
      <c r="L231" s="336"/>
      <c r="M231" s="336"/>
      <c r="N231" s="336"/>
      <c r="O231" s="336"/>
      <c r="P231" s="336"/>
      <c r="Q231" s="336"/>
      <c r="R231" s="336"/>
      <c r="S231" s="336"/>
      <c r="T231" s="336"/>
      <c r="U231" s="336"/>
      <c r="V231" s="336"/>
      <c r="W231" s="336"/>
      <c r="X231" s="336"/>
      <c r="Y231" s="336"/>
      <c r="Z231" s="336"/>
      <c r="AA231" s="336"/>
      <c r="AB231" s="336"/>
      <c r="AC231" s="336"/>
    </row>
    <row r="232" ht="105" customHeight="1" spans="1:29">
      <c r="A232" s="336"/>
      <c r="B232" s="529"/>
      <c r="C232" s="426" t="s">
        <v>426</v>
      </c>
      <c r="D232" s="12" t="s">
        <v>258</v>
      </c>
      <c r="E232" s="324" t="s">
        <v>956</v>
      </c>
      <c r="F232" s="322"/>
      <c r="G232" s="324" t="s">
        <v>957</v>
      </c>
      <c r="H232" s="322"/>
      <c r="I232" s="546"/>
      <c r="J232" s="322" t="str">
        <f>IFERROR(IF(VLOOKUP(D232,期货合约要素!$D:$Q,12,0)=0,"",VLOOKUP(D232,期货合约要素!$D:$Q,12,0)),IF(VLOOKUP(D232,期权合约要素!$D:$V,17,0)=0,"",VLOOKUP(D232,期权合约要素!$D:$V,17,0)))</f>
        <v>√</v>
      </c>
      <c r="K232" s="323" t="str">
        <f>IFERROR(IF(VLOOKUP(D232,期货合约要素!$D:$Q,14,0)=0,"",VLOOKUP(D232,期货合约要素!$D:$Q,14,0)),IF(VLOOKUP(D232,期权合约要素!$D:$V,19,0)=0,"",VLOOKUP(D232,期权合约要素!$D:$V,19,0)))</f>
        <v/>
      </c>
      <c r="L232" s="336"/>
      <c r="M232" s="336"/>
      <c r="N232" s="336"/>
      <c r="O232" s="336"/>
      <c r="P232" s="336"/>
      <c r="Q232" s="336"/>
      <c r="R232" s="336"/>
      <c r="S232" s="336"/>
      <c r="T232" s="336"/>
      <c r="U232" s="336"/>
      <c r="V232" s="336"/>
      <c r="W232" s="336"/>
      <c r="X232" s="336"/>
      <c r="Y232" s="336"/>
      <c r="Z232" s="336"/>
      <c r="AA232" s="336"/>
      <c r="AB232" s="336"/>
      <c r="AC232" s="336"/>
    </row>
    <row r="233" ht="105" customHeight="1" spans="1:29">
      <c r="A233" s="336"/>
      <c r="B233" s="529"/>
      <c r="C233" s="426" t="s">
        <v>424</v>
      </c>
      <c r="D233" s="12" t="s">
        <v>256</v>
      </c>
      <c r="E233" s="324" t="s">
        <v>956</v>
      </c>
      <c r="F233" s="322"/>
      <c r="G233" s="324" t="s">
        <v>957</v>
      </c>
      <c r="H233" s="322"/>
      <c r="I233" s="546"/>
      <c r="J233" s="322" t="str">
        <f>IFERROR(IF(VLOOKUP(D233,期货合约要素!$D:$Q,12,0)=0,"",VLOOKUP(D233,期货合约要素!$D:$Q,12,0)),IF(VLOOKUP(D233,期权合约要素!$D:$V,17,0)=0,"",VLOOKUP(D233,期权合约要素!$D:$V,17,0)))</f>
        <v>√</v>
      </c>
      <c r="K233" s="323" t="str">
        <f>IFERROR(IF(VLOOKUP(D233,期货合约要素!$D:$Q,14,0)=0,"",VLOOKUP(D233,期货合约要素!$D:$Q,14,0)),IF(VLOOKUP(D233,期权合约要素!$D:$V,19,0)=0,"",VLOOKUP(D233,期权合约要素!$D:$V,19,0)))</f>
        <v/>
      </c>
      <c r="L233" s="336"/>
      <c r="M233" s="336"/>
      <c r="N233" s="336"/>
      <c r="O233" s="336"/>
      <c r="P233" s="336"/>
      <c r="Q233" s="336"/>
      <c r="R233" s="336"/>
      <c r="S233" s="336"/>
      <c r="T233" s="336"/>
      <c r="U233" s="336"/>
      <c r="V233" s="336"/>
      <c r="W233" s="336"/>
      <c r="X233" s="336"/>
      <c r="Y233" s="336"/>
      <c r="Z233" s="336"/>
      <c r="AA233" s="336"/>
      <c r="AB233" s="336"/>
      <c r="AC233" s="336"/>
    </row>
    <row r="234" ht="65.1" customHeight="1" spans="1:29">
      <c r="A234" s="336"/>
      <c r="B234" s="529"/>
      <c r="C234" s="431" t="s">
        <v>958</v>
      </c>
      <c r="D234" s="431" t="s">
        <v>959</v>
      </c>
      <c r="E234" s="431" t="s">
        <v>960</v>
      </c>
      <c r="F234" s="431" t="s">
        <v>961</v>
      </c>
      <c r="G234" s="431" t="s">
        <v>962</v>
      </c>
      <c r="H234" s="431" t="s">
        <v>963</v>
      </c>
      <c r="I234" s="431" t="s">
        <v>794</v>
      </c>
      <c r="J234" s="431" t="s">
        <v>40</v>
      </c>
      <c r="K234" s="456" t="s">
        <v>41</v>
      </c>
      <c r="L234" s="336"/>
      <c r="M234" s="336"/>
      <c r="N234" s="336"/>
      <c r="O234" s="336"/>
      <c r="P234" s="336"/>
      <c r="Q234" s="336"/>
      <c r="R234" s="336"/>
      <c r="S234" s="336"/>
      <c r="T234" s="336"/>
      <c r="U234" s="336"/>
      <c r="V234" s="336"/>
      <c r="W234" s="336"/>
      <c r="X234" s="336"/>
      <c r="Y234" s="336"/>
      <c r="Z234" s="336"/>
      <c r="AA234" s="336"/>
      <c r="AB234" s="336"/>
      <c r="AC234" s="336"/>
    </row>
    <row r="235" ht="80.1" customHeight="1" spans="1:29">
      <c r="A235" s="336"/>
      <c r="B235" s="529"/>
      <c r="C235" s="530" t="s">
        <v>964</v>
      </c>
      <c r="D235" s="12" t="s">
        <v>233</v>
      </c>
      <c r="E235" s="11" t="s">
        <v>965</v>
      </c>
      <c r="F235" s="11" t="s">
        <v>966</v>
      </c>
      <c r="G235" s="11" t="s">
        <v>967</v>
      </c>
      <c r="H235" s="11" t="s">
        <v>968</v>
      </c>
      <c r="I235" s="545" t="s">
        <v>969</v>
      </c>
      <c r="J235" s="322" t="str">
        <f>IFERROR(IF(VLOOKUP(D235,期货合约要素!$D:$Q,12,0)=0,"",VLOOKUP(D235,期货合约要素!$D:$Q,12,0)),IF(VLOOKUP(D235,期权合约要素!$D:$V,17,0)=0,"",VLOOKUP(D235,期权合约要素!$D:$V,17,0)))</f>
        <v>√</v>
      </c>
      <c r="K235" s="323" t="str">
        <f>IFERROR(IF(VLOOKUP(D235,期货合约要素!$D:$Q,14,0)=0,"",VLOOKUP(D235,期货合约要素!$D:$Q,14,0)),IF(VLOOKUP(D235,期权合约要素!$D:$V,19,0)=0,"",VLOOKUP(D235,期权合约要素!$D:$V,19,0)))</f>
        <v/>
      </c>
      <c r="L235" s="336"/>
      <c r="M235" s="336"/>
      <c r="N235" s="336"/>
      <c r="O235" s="336"/>
      <c r="P235" s="336"/>
      <c r="Q235" s="336"/>
      <c r="R235" s="336"/>
      <c r="S235" s="336"/>
      <c r="T235" s="336"/>
      <c r="U235" s="336"/>
      <c r="V235" s="336"/>
      <c r="W235" s="336"/>
      <c r="X235" s="336"/>
      <c r="Y235" s="336"/>
      <c r="Z235" s="336"/>
      <c r="AA235" s="336"/>
      <c r="AB235" s="336"/>
      <c r="AC235" s="336"/>
    </row>
    <row r="236" ht="81" customHeight="1" spans="1:29">
      <c r="A236" s="336"/>
      <c r="B236" s="529"/>
      <c r="C236" s="530" t="s">
        <v>970</v>
      </c>
      <c r="D236" s="12" t="s">
        <v>237</v>
      </c>
      <c r="E236" s="11" t="s">
        <v>965</v>
      </c>
      <c r="F236" s="11" t="s">
        <v>966</v>
      </c>
      <c r="G236" s="11" t="s">
        <v>967</v>
      </c>
      <c r="H236" s="11" t="s">
        <v>968</v>
      </c>
      <c r="I236" s="545"/>
      <c r="J236" s="322" t="str">
        <f>IFERROR(IF(VLOOKUP(D236,期货合约要素!$D:$Q,12,0)=0,"",VLOOKUP(D236,期货合约要素!$D:$Q,12,0)),IF(VLOOKUP(D236,期权合约要素!$D:$V,17,0)=0,"",VLOOKUP(D236,期权合约要素!$D:$V,17,0)))</f>
        <v>√</v>
      </c>
      <c r="K236" s="323" t="str">
        <f>IFERROR(IF(VLOOKUP(D236,期货合约要素!$D:$Q,14,0)=0,"",VLOOKUP(D236,期货合约要素!$D:$Q,14,0)),IF(VLOOKUP(D236,期权合约要素!$D:$V,19,0)=0,"",VLOOKUP(D236,期权合约要素!$D:$V,19,0)))</f>
        <v/>
      </c>
      <c r="L236" s="336"/>
      <c r="M236" s="336"/>
      <c r="N236" s="336"/>
      <c r="O236" s="336"/>
      <c r="P236" s="336"/>
      <c r="Q236" s="336"/>
      <c r="R236" s="336"/>
      <c r="S236" s="336"/>
      <c r="T236" s="336"/>
      <c r="U236" s="336"/>
      <c r="V236" s="336"/>
      <c r="W236" s="336"/>
      <c r="X236" s="336"/>
      <c r="Y236" s="336"/>
      <c r="Z236" s="336"/>
      <c r="AA236" s="336"/>
      <c r="AB236" s="336"/>
      <c r="AC236" s="336"/>
    </row>
    <row r="237" ht="81" customHeight="1" spans="1:29">
      <c r="A237" s="336"/>
      <c r="B237" s="529"/>
      <c r="C237" s="530" t="s">
        <v>971</v>
      </c>
      <c r="D237" s="12" t="s">
        <v>241</v>
      </c>
      <c r="E237" s="11" t="s">
        <v>965</v>
      </c>
      <c r="F237" s="11" t="s">
        <v>966</v>
      </c>
      <c r="G237" s="11" t="s">
        <v>967</v>
      </c>
      <c r="H237" s="11" t="s">
        <v>968</v>
      </c>
      <c r="I237" s="545"/>
      <c r="J237" s="322" t="str">
        <f>IFERROR(IF(VLOOKUP(D237,期货合约要素!$D:$Q,12,0)=0,"",VLOOKUP(D237,期货合约要素!$D:$Q,12,0)),IF(VLOOKUP(D237,期权合约要素!$D:$V,17,0)=0,"",VLOOKUP(D237,期权合约要素!$D:$V,17,0)))</f>
        <v>√</v>
      </c>
      <c r="K237" s="323" t="str">
        <f>IFERROR(IF(VLOOKUP(D237,期货合约要素!$D:$Q,14,0)=0,"",VLOOKUP(D237,期货合约要素!$D:$Q,14,0)),IF(VLOOKUP(D237,期权合约要素!$D:$V,19,0)=0,"",VLOOKUP(D237,期权合约要素!$D:$V,19,0)))</f>
        <v/>
      </c>
      <c r="L237" s="336"/>
      <c r="M237" s="336"/>
      <c r="N237" s="336"/>
      <c r="O237" s="336"/>
      <c r="P237" s="336"/>
      <c r="Q237" s="336"/>
      <c r="R237" s="336"/>
      <c r="S237" s="336"/>
      <c r="T237" s="336"/>
      <c r="U237" s="336"/>
      <c r="V237" s="336"/>
      <c r="W237" s="336"/>
      <c r="X237" s="336"/>
      <c r="Y237" s="336"/>
      <c r="Z237" s="336"/>
      <c r="AA237" s="336"/>
      <c r="AB237" s="336"/>
      <c r="AC237" s="336"/>
    </row>
    <row r="238" ht="81" customHeight="1" spans="1:29">
      <c r="A238" s="336"/>
      <c r="B238" s="531"/>
      <c r="C238" s="532" t="s">
        <v>972</v>
      </c>
      <c r="D238" s="450" t="s">
        <v>239</v>
      </c>
      <c r="E238" s="533" t="s">
        <v>973</v>
      </c>
      <c r="F238" s="533" t="s">
        <v>974</v>
      </c>
      <c r="G238" s="533" t="s">
        <v>975</v>
      </c>
      <c r="H238" s="533" t="s">
        <v>976</v>
      </c>
      <c r="I238" s="127"/>
      <c r="J238" s="388" t="str">
        <f>IFERROR(IF(VLOOKUP(D238,期货合约要素!$D:$Q,12,0)=0,"",VLOOKUP(D238,期货合约要素!$D:$Q,12,0)),IF(VLOOKUP(D238,期权合约要素!$D:$V,17,0)=0,"",VLOOKUP(D238,期权合约要素!$D:$V,17,0)))</f>
        <v>√</v>
      </c>
      <c r="K238" s="389" t="str">
        <f>IFERROR(IF(VLOOKUP(D238,期货合约要素!$D:$Q,14,0)=0,"",VLOOKUP(D238,期货合约要素!$D:$Q,14,0)),IF(VLOOKUP(D238,期权合约要素!$D:$V,19,0)=0,"",VLOOKUP(D238,期权合约要素!$D:$V,19,0)))</f>
        <v/>
      </c>
      <c r="L238" s="336"/>
      <c r="M238" s="336"/>
      <c r="N238" s="336"/>
      <c r="O238" s="336"/>
      <c r="P238" s="336"/>
      <c r="Q238" s="336"/>
      <c r="R238" s="336"/>
      <c r="S238" s="336"/>
      <c r="T238" s="336"/>
      <c r="U238" s="336"/>
      <c r="V238" s="336"/>
      <c r="W238" s="336"/>
      <c r="X238" s="336"/>
      <c r="Y238" s="336"/>
      <c r="Z238" s="336"/>
      <c r="AA238" s="336"/>
      <c r="AB238" s="336"/>
      <c r="AC238" s="336"/>
    </row>
    <row r="239" ht="69" customHeight="1"/>
    <row r="240" ht="69" customHeight="1"/>
    <row r="241" ht="42" customHeight="1"/>
    <row r="242" ht="42" customHeight="1"/>
    <row r="243" ht="39" customHeight="1"/>
  </sheetData>
  <mergeCells count="577">
    <mergeCell ref="A1:C1"/>
    <mergeCell ref="B2:K2"/>
    <mergeCell ref="M2:Q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M21:Q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G38:H38"/>
    <mergeCell ref="E39:F39"/>
    <mergeCell ref="G39:H39"/>
    <mergeCell ref="M39:Q39"/>
    <mergeCell ref="E40:F40"/>
    <mergeCell ref="G40:H40"/>
    <mergeCell ref="E41:F41"/>
    <mergeCell ref="G41:H41"/>
    <mergeCell ref="E42:F42"/>
    <mergeCell ref="G42:H42"/>
    <mergeCell ref="E43:F43"/>
    <mergeCell ref="G43:H43"/>
    <mergeCell ref="E44:F44"/>
    <mergeCell ref="G44:H44"/>
    <mergeCell ref="E45:F45"/>
    <mergeCell ref="G45:H45"/>
    <mergeCell ref="E46:F46"/>
    <mergeCell ref="G46:H46"/>
    <mergeCell ref="E47:F47"/>
    <mergeCell ref="G47:H47"/>
    <mergeCell ref="E48:F48"/>
    <mergeCell ref="G48:H48"/>
    <mergeCell ref="E49:F49"/>
    <mergeCell ref="G49:H49"/>
    <mergeCell ref="E50:F50"/>
    <mergeCell ref="G50:H50"/>
    <mergeCell ref="E51:F51"/>
    <mergeCell ref="G51:H51"/>
    <mergeCell ref="E52:F52"/>
    <mergeCell ref="G52:H52"/>
    <mergeCell ref="E53:F53"/>
    <mergeCell ref="G53:H53"/>
    <mergeCell ref="E54:F54"/>
    <mergeCell ref="G54:H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G69"/>
    <mergeCell ref="E70:G70"/>
    <mergeCell ref="E71:G71"/>
    <mergeCell ref="E72:F72"/>
    <mergeCell ref="E124:H124"/>
    <mergeCell ref="E125:H125"/>
    <mergeCell ref="E126:H126"/>
    <mergeCell ref="E127:H127"/>
    <mergeCell ref="E128:H128"/>
    <mergeCell ref="E129:H129"/>
    <mergeCell ref="E130:H130"/>
    <mergeCell ref="E131:H131"/>
    <mergeCell ref="E132:H132"/>
    <mergeCell ref="E133:H133"/>
    <mergeCell ref="E134:H134"/>
    <mergeCell ref="E135:H135"/>
    <mergeCell ref="E136:H136"/>
    <mergeCell ref="E137:H137"/>
    <mergeCell ref="E138:H138"/>
    <mergeCell ref="E139:H139"/>
    <mergeCell ref="E140:H140"/>
    <mergeCell ref="E141:H141"/>
    <mergeCell ref="E142:H142"/>
    <mergeCell ref="E143:H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83:H183"/>
    <mergeCell ref="E184:H184"/>
    <mergeCell ref="E185:H185"/>
    <mergeCell ref="E186:H186"/>
    <mergeCell ref="E187:H187"/>
    <mergeCell ref="E188:H188"/>
    <mergeCell ref="E189:H189"/>
    <mergeCell ref="E190:H190"/>
    <mergeCell ref="E191:H191"/>
    <mergeCell ref="E192:H192"/>
    <mergeCell ref="E193:H193"/>
    <mergeCell ref="E194:H194"/>
    <mergeCell ref="E195:H195"/>
    <mergeCell ref="E196:H196"/>
    <mergeCell ref="E197:H197"/>
    <mergeCell ref="E198:H198"/>
    <mergeCell ref="E199:H199"/>
    <mergeCell ref="E200:H200"/>
    <mergeCell ref="E201:H201"/>
    <mergeCell ref="E202:H202"/>
    <mergeCell ref="E203:H203"/>
    <mergeCell ref="E204:F204"/>
    <mergeCell ref="E207:F207"/>
    <mergeCell ref="E218:H218"/>
    <mergeCell ref="E219:H219"/>
    <mergeCell ref="E220:H220"/>
    <mergeCell ref="E221:H221"/>
    <mergeCell ref="E222:H222"/>
    <mergeCell ref="E223:H223"/>
    <mergeCell ref="E224:F224"/>
    <mergeCell ref="G224:H224"/>
    <mergeCell ref="E225:H225"/>
    <mergeCell ref="E226:F226"/>
    <mergeCell ref="G226:H226"/>
    <mergeCell ref="E227:F227"/>
    <mergeCell ref="G227:H227"/>
    <mergeCell ref="E228:F228"/>
    <mergeCell ref="G228:H228"/>
    <mergeCell ref="E229:F229"/>
    <mergeCell ref="G229:H229"/>
    <mergeCell ref="E230:H230"/>
    <mergeCell ref="E231:F231"/>
    <mergeCell ref="G231:H231"/>
    <mergeCell ref="E232:F232"/>
    <mergeCell ref="G232:H232"/>
    <mergeCell ref="E233:F233"/>
    <mergeCell ref="G233:H233"/>
    <mergeCell ref="B4:B56"/>
    <mergeCell ref="B57:B71"/>
    <mergeCell ref="B72:B143"/>
    <mergeCell ref="B144:B203"/>
    <mergeCell ref="B204:B223"/>
    <mergeCell ref="B224:B238"/>
    <mergeCell ref="C4:C5"/>
    <mergeCell ref="C6:C7"/>
    <mergeCell ref="C8:C9"/>
    <mergeCell ref="C10:C11"/>
    <mergeCell ref="C12:C13"/>
    <mergeCell ref="C14:C15"/>
    <mergeCell ref="C16:C17"/>
    <mergeCell ref="C19:C20"/>
    <mergeCell ref="C21:C22"/>
    <mergeCell ref="C23:C24"/>
    <mergeCell ref="C25:C26"/>
    <mergeCell ref="C30:C31"/>
    <mergeCell ref="C34:C35"/>
    <mergeCell ref="C59:C60"/>
    <mergeCell ref="C63:C64"/>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C111:C112"/>
    <mergeCell ref="C113:C114"/>
    <mergeCell ref="C115:C116"/>
    <mergeCell ref="C117:C118"/>
    <mergeCell ref="C160:C161"/>
    <mergeCell ref="C162:C163"/>
    <mergeCell ref="C164:C165"/>
    <mergeCell ref="C166:C167"/>
    <mergeCell ref="C168:C169"/>
    <mergeCell ref="C170:C171"/>
    <mergeCell ref="C172:C173"/>
    <mergeCell ref="C174:C175"/>
    <mergeCell ref="C176:C177"/>
    <mergeCell ref="C205:C206"/>
    <mergeCell ref="C208:C209"/>
    <mergeCell ref="C210:C211"/>
    <mergeCell ref="C212:C213"/>
    <mergeCell ref="C214:C215"/>
    <mergeCell ref="C216:C217"/>
    <mergeCell ref="C224:C225"/>
    <mergeCell ref="D4:D5"/>
    <mergeCell ref="D6:D7"/>
    <mergeCell ref="D8:D9"/>
    <mergeCell ref="D10:D11"/>
    <mergeCell ref="D12:D13"/>
    <mergeCell ref="D14:D15"/>
    <mergeCell ref="D16:D17"/>
    <mergeCell ref="D19:D20"/>
    <mergeCell ref="D21:D22"/>
    <mergeCell ref="D23:D24"/>
    <mergeCell ref="D25:D26"/>
    <mergeCell ref="D30:D31"/>
    <mergeCell ref="D34:D35"/>
    <mergeCell ref="D59:D60"/>
    <mergeCell ref="D63:D64"/>
    <mergeCell ref="D73:D74"/>
    <mergeCell ref="D75:D76"/>
    <mergeCell ref="D77:D78"/>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7:D108"/>
    <mergeCell ref="D109:D110"/>
    <mergeCell ref="D111:D112"/>
    <mergeCell ref="D113:D114"/>
    <mergeCell ref="D115:D116"/>
    <mergeCell ref="D117:D118"/>
    <mergeCell ref="D160:D161"/>
    <mergeCell ref="D162:D163"/>
    <mergeCell ref="D164:D165"/>
    <mergeCell ref="D166:D167"/>
    <mergeCell ref="D168:D169"/>
    <mergeCell ref="D170:D171"/>
    <mergeCell ref="D172:D173"/>
    <mergeCell ref="D174:D175"/>
    <mergeCell ref="D176:D177"/>
    <mergeCell ref="D205:D206"/>
    <mergeCell ref="D208:D209"/>
    <mergeCell ref="D210:D211"/>
    <mergeCell ref="D212:D213"/>
    <mergeCell ref="D214:D215"/>
    <mergeCell ref="D216:D217"/>
    <mergeCell ref="D224:D225"/>
    <mergeCell ref="G4:G5"/>
    <mergeCell ref="G6:G7"/>
    <mergeCell ref="G8:G9"/>
    <mergeCell ref="G10:G11"/>
    <mergeCell ref="G12:G13"/>
    <mergeCell ref="G14:G15"/>
    <mergeCell ref="G16:G17"/>
    <mergeCell ref="G19:G20"/>
    <mergeCell ref="G21:G22"/>
    <mergeCell ref="G23:G24"/>
    <mergeCell ref="G25:G26"/>
    <mergeCell ref="G30:G31"/>
    <mergeCell ref="G34:G35"/>
    <mergeCell ref="G59:G60"/>
    <mergeCell ref="G63:G64"/>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G111:G112"/>
    <mergeCell ref="G113:G114"/>
    <mergeCell ref="G115:G116"/>
    <mergeCell ref="G117:G118"/>
    <mergeCell ref="G160:G161"/>
    <mergeCell ref="G162:G163"/>
    <mergeCell ref="G164:G165"/>
    <mergeCell ref="G166:G167"/>
    <mergeCell ref="G168:G169"/>
    <mergeCell ref="G170:G171"/>
    <mergeCell ref="G172:G173"/>
    <mergeCell ref="G174:G175"/>
    <mergeCell ref="G176:G177"/>
    <mergeCell ref="G205:G206"/>
    <mergeCell ref="G208:G209"/>
    <mergeCell ref="G210:G211"/>
    <mergeCell ref="G212:G213"/>
    <mergeCell ref="G214:G215"/>
    <mergeCell ref="G216:G217"/>
    <mergeCell ref="H4:H5"/>
    <mergeCell ref="H6:H7"/>
    <mergeCell ref="H8:H9"/>
    <mergeCell ref="H10:H11"/>
    <mergeCell ref="H12:H13"/>
    <mergeCell ref="H14:H15"/>
    <mergeCell ref="H16:H17"/>
    <mergeCell ref="H19:H20"/>
    <mergeCell ref="H21:H22"/>
    <mergeCell ref="H23:H24"/>
    <mergeCell ref="H25:H26"/>
    <mergeCell ref="H30:H31"/>
    <mergeCell ref="H34:H35"/>
    <mergeCell ref="H59:H60"/>
    <mergeCell ref="H63:H64"/>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H111:H112"/>
    <mergeCell ref="H113:H114"/>
    <mergeCell ref="H115:H116"/>
    <mergeCell ref="H117:H118"/>
    <mergeCell ref="H160:H161"/>
    <mergeCell ref="H162:H163"/>
    <mergeCell ref="H164:H165"/>
    <mergeCell ref="H166:H167"/>
    <mergeCell ref="H168:H169"/>
    <mergeCell ref="H170:H171"/>
    <mergeCell ref="H172:H173"/>
    <mergeCell ref="H174:H175"/>
    <mergeCell ref="H176:H177"/>
    <mergeCell ref="H205:H206"/>
    <mergeCell ref="H208:H209"/>
    <mergeCell ref="H210:H211"/>
    <mergeCell ref="H212:H213"/>
    <mergeCell ref="H214:H215"/>
    <mergeCell ref="H216:H217"/>
    <mergeCell ref="I4:I11"/>
    <mergeCell ref="I12:I17"/>
    <mergeCell ref="I19:I20"/>
    <mergeCell ref="I21:I22"/>
    <mergeCell ref="I23:I28"/>
    <mergeCell ref="I29:I31"/>
    <mergeCell ref="I34:I35"/>
    <mergeCell ref="I39:I56"/>
    <mergeCell ref="I58:I60"/>
    <mergeCell ref="I63:I64"/>
    <mergeCell ref="I68:I71"/>
    <mergeCell ref="I73:I118"/>
    <mergeCell ref="I120:I123"/>
    <mergeCell ref="I125:I143"/>
    <mergeCell ref="I145:I158"/>
    <mergeCell ref="I160:I177"/>
    <mergeCell ref="I179:I182"/>
    <mergeCell ref="I184:I203"/>
    <mergeCell ref="I205:I206"/>
    <mergeCell ref="I208:I217"/>
    <mergeCell ref="I219:I223"/>
    <mergeCell ref="I224:I225"/>
    <mergeCell ref="I226:I229"/>
    <mergeCell ref="I231:I233"/>
    <mergeCell ref="I235:I238"/>
    <mergeCell ref="J4:J5"/>
    <mergeCell ref="J6:J7"/>
    <mergeCell ref="J8:J9"/>
    <mergeCell ref="J10:J11"/>
    <mergeCell ref="J12:J13"/>
    <mergeCell ref="J14:J15"/>
    <mergeCell ref="J16:J17"/>
    <mergeCell ref="J19:J20"/>
    <mergeCell ref="J21:J22"/>
    <mergeCell ref="J23:J24"/>
    <mergeCell ref="J25:J26"/>
    <mergeCell ref="J30:J31"/>
    <mergeCell ref="J34:J35"/>
    <mergeCell ref="J59:J60"/>
    <mergeCell ref="J63:J64"/>
    <mergeCell ref="J73:J74"/>
    <mergeCell ref="J75:J76"/>
    <mergeCell ref="J77:J78"/>
    <mergeCell ref="J79:J80"/>
    <mergeCell ref="J81:J82"/>
    <mergeCell ref="J83:J84"/>
    <mergeCell ref="J85:J86"/>
    <mergeCell ref="J87:J88"/>
    <mergeCell ref="J89:J90"/>
    <mergeCell ref="J91:J92"/>
    <mergeCell ref="J93:J94"/>
    <mergeCell ref="J95:J96"/>
    <mergeCell ref="J97:J98"/>
    <mergeCell ref="J99:J100"/>
    <mergeCell ref="J101:J102"/>
    <mergeCell ref="J103:J104"/>
    <mergeCell ref="J105:J106"/>
    <mergeCell ref="J107:J108"/>
    <mergeCell ref="J109:J110"/>
    <mergeCell ref="J111:J112"/>
    <mergeCell ref="J113:J114"/>
    <mergeCell ref="J115:J116"/>
    <mergeCell ref="J117:J118"/>
    <mergeCell ref="J160:J161"/>
    <mergeCell ref="J162:J163"/>
    <mergeCell ref="J164:J165"/>
    <mergeCell ref="J166:J167"/>
    <mergeCell ref="J168:J169"/>
    <mergeCell ref="J170:J171"/>
    <mergeCell ref="J172:J173"/>
    <mergeCell ref="J174:J175"/>
    <mergeCell ref="J176:J177"/>
    <mergeCell ref="J205:J206"/>
    <mergeCell ref="J207:J209"/>
    <mergeCell ref="J210:J211"/>
    <mergeCell ref="J212:J213"/>
    <mergeCell ref="J214:J215"/>
    <mergeCell ref="J216:J217"/>
    <mergeCell ref="J224:J225"/>
    <mergeCell ref="K4:K5"/>
    <mergeCell ref="K6:K7"/>
    <mergeCell ref="K8:K9"/>
    <mergeCell ref="K10:K11"/>
    <mergeCell ref="K12:K13"/>
    <mergeCell ref="K14:K15"/>
    <mergeCell ref="K16:K17"/>
    <mergeCell ref="K19:K20"/>
    <mergeCell ref="K21:K22"/>
    <mergeCell ref="K23:K24"/>
    <mergeCell ref="K25:K26"/>
    <mergeCell ref="K30:K31"/>
    <mergeCell ref="K34:K35"/>
    <mergeCell ref="K59:K60"/>
    <mergeCell ref="K63:K64"/>
    <mergeCell ref="K73:K74"/>
    <mergeCell ref="K75:K76"/>
    <mergeCell ref="K77:K78"/>
    <mergeCell ref="K79:K80"/>
    <mergeCell ref="K81:K82"/>
    <mergeCell ref="K83:K84"/>
    <mergeCell ref="K85:K86"/>
    <mergeCell ref="K87:K88"/>
    <mergeCell ref="K89:K90"/>
    <mergeCell ref="K91:K92"/>
    <mergeCell ref="K93:K94"/>
    <mergeCell ref="K95:K96"/>
    <mergeCell ref="K97:K98"/>
    <mergeCell ref="K99:K100"/>
    <mergeCell ref="K101:K102"/>
    <mergeCell ref="K103:K104"/>
    <mergeCell ref="K105:K106"/>
    <mergeCell ref="K107:K108"/>
    <mergeCell ref="K109:K110"/>
    <mergeCell ref="K111:K112"/>
    <mergeCell ref="K113:K114"/>
    <mergeCell ref="K115:K116"/>
    <mergeCell ref="K117:K118"/>
    <mergeCell ref="K160:K161"/>
    <mergeCell ref="K162:K163"/>
    <mergeCell ref="K164:K165"/>
    <mergeCell ref="K166:K167"/>
    <mergeCell ref="K168:K169"/>
    <mergeCell ref="K170:K171"/>
    <mergeCell ref="K172:K173"/>
    <mergeCell ref="K174:K175"/>
    <mergeCell ref="K176:K177"/>
    <mergeCell ref="K205:K206"/>
    <mergeCell ref="K207:K209"/>
    <mergeCell ref="K210:K211"/>
    <mergeCell ref="K212:K213"/>
    <mergeCell ref="K214:K215"/>
    <mergeCell ref="K216:K217"/>
    <mergeCell ref="K224:K225"/>
    <mergeCell ref="M4:M5"/>
    <mergeCell ref="M6:M8"/>
    <mergeCell ref="M9:M12"/>
    <mergeCell ref="M13:M17"/>
    <mergeCell ref="M22:M23"/>
    <mergeCell ref="M24:M25"/>
    <mergeCell ref="M26:M28"/>
    <mergeCell ref="M29:M33"/>
    <mergeCell ref="M34:M37"/>
    <mergeCell ref="M40:M41"/>
    <mergeCell ref="M42:M44"/>
    <mergeCell ref="M45:M46"/>
    <mergeCell ref="M47:M48"/>
    <mergeCell ref="N4:N5"/>
    <mergeCell ref="N6:N8"/>
    <mergeCell ref="N9:N12"/>
    <mergeCell ref="N13:N17"/>
    <mergeCell ref="N22:N23"/>
    <mergeCell ref="N24:N25"/>
    <mergeCell ref="N26:N28"/>
    <mergeCell ref="N29:N33"/>
    <mergeCell ref="N34:N37"/>
    <mergeCell ref="O4:O5"/>
    <mergeCell ref="O6:O8"/>
    <mergeCell ref="O9:O12"/>
    <mergeCell ref="O13:O17"/>
    <mergeCell ref="O22:O23"/>
    <mergeCell ref="O24:O25"/>
    <mergeCell ref="O26:O28"/>
    <mergeCell ref="O29:O33"/>
    <mergeCell ref="O34:O37"/>
    <mergeCell ref="P4:P5"/>
    <mergeCell ref="P6:P8"/>
    <mergeCell ref="P9:P12"/>
    <mergeCell ref="P13:P17"/>
    <mergeCell ref="P22:P23"/>
    <mergeCell ref="P24:P25"/>
    <mergeCell ref="P26:P28"/>
    <mergeCell ref="P29:P33"/>
    <mergeCell ref="P34:P37"/>
    <mergeCell ref="Q4:Q17"/>
    <mergeCell ref="Q22:Q23"/>
    <mergeCell ref="Q24:Q37"/>
    <mergeCell ref="N45:O46"/>
    <mergeCell ref="N47:O48"/>
    <mergeCell ref="N40:O41"/>
    <mergeCell ref="P40:Q41"/>
    <mergeCell ref="N42:O44"/>
    <mergeCell ref="P42:Q48"/>
  </mergeCells>
  <hyperlinks>
    <hyperlink ref="A1" location="'目录'!A1" display="点此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IV76"/>
  <sheetViews>
    <sheetView workbookViewId="0">
      <pane ySplit="3" topLeftCell="A22" activePane="bottomLeft" state="frozen"/>
      <selection/>
      <selection pane="bottomLeft" activeCell="F33" sqref="F33"/>
    </sheetView>
  </sheetViews>
  <sheetFormatPr defaultColWidth="9" defaultRowHeight="16.5"/>
  <cols>
    <col min="1" max="1" width="3.5" style="20" customWidth="1"/>
    <col min="2" max="2" width="10.8833333333333" style="20" customWidth="1"/>
    <col min="3" max="3" width="23.1333333333333" style="20" customWidth="1"/>
    <col min="4" max="4" width="13.8833333333333" style="20" customWidth="1"/>
    <col min="5" max="5" width="18.5" style="20" customWidth="1"/>
    <col min="6" max="6" width="38.8833333333333" style="20" customWidth="1"/>
    <col min="7" max="7" width="24.75" style="20" customWidth="1"/>
    <col min="8" max="8" width="11.75" style="20" customWidth="1"/>
    <col min="9" max="9" width="25.6333333333333" style="20" customWidth="1"/>
    <col min="10" max="10" width="34.1333333333333" style="20" customWidth="1"/>
    <col min="11" max="11" width="14.75" style="20" customWidth="1"/>
    <col min="12" max="12" width="14.1333333333333" style="20" customWidth="1"/>
    <col min="13" max="26" width="9" style="20"/>
  </cols>
  <sheetData>
    <row r="1" ht="25.5" customHeight="1" spans="1:5">
      <c r="A1" s="21" t="s">
        <v>33</v>
      </c>
      <c r="B1" s="21"/>
      <c r="C1" s="21"/>
      <c r="D1" s="337"/>
      <c r="E1" s="21"/>
    </row>
    <row r="2" ht="30" customHeight="1" spans="2:12">
      <c r="B2" s="338" t="s">
        <v>977</v>
      </c>
      <c r="C2" s="339"/>
      <c r="D2" s="339"/>
      <c r="E2" s="339"/>
      <c r="F2" s="339"/>
      <c r="G2" s="339"/>
      <c r="H2" s="339"/>
      <c r="I2" s="339"/>
      <c r="J2" s="339"/>
      <c r="K2" s="339"/>
      <c r="L2" s="378"/>
    </row>
    <row r="3" ht="21.75" spans="2:12">
      <c r="B3" s="340" t="s">
        <v>35</v>
      </c>
      <c r="C3" s="341" t="s">
        <v>36</v>
      </c>
      <c r="D3" s="341" t="s">
        <v>37</v>
      </c>
      <c r="E3" s="341" t="s">
        <v>978</v>
      </c>
      <c r="F3" s="342" t="s">
        <v>979</v>
      </c>
      <c r="G3" s="342" t="s">
        <v>980</v>
      </c>
      <c r="H3" s="342" t="s">
        <v>981</v>
      </c>
      <c r="I3" s="342" t="s">
        <v>982</v>
      </c>
      <c r="J3" s="342" t="s">
        <v>983</v>
      </c>
      <c r="K3" s="379" t="s">
        <v>40</v>
      </c>
      <c r="L3" s="380" t="s">
        <v>41</v>
      </c>
    </row>
    <row r="4" ht="27" customHeight="1" spans="2:12">
      <c r="B4" s="343" t="s">
        <v>231</v>
      </c>
      <c r="C4" s="344" t="s">
        <v>242</v>
      </c>
      <c r="D4" s="345" t="s">
        <v>243</v>
      </c>
      <c r="E4" s="191"/>
      <c r="F4" s="346" t="s">
        <v>984</v>
      </c>
      <c r="G4" s="346">
        <v>500</v>
      </c>
      <c r="H4" s="346" t="s">
        <v>985</v>
      </c>
      <c r="I4" s="381">
        <v>44760</v>
      </c>
      <c r="J4" s="346" t="s">
        <v>986</v>
      </c>
      <c r="K4" s="382" t="str">
        <f>IFERROR(IF(VLOOKUP(D4,期货合约要素!$D:$Q,12,0)=0,"",VLOOKUP(D4,期货合约要素!$D:$Q,12,0)),IF(VLOOKUP(D4,期权合约要素!$D:$V,17,0)=0,"",VLOOKUP(D4,期权合约要素!$D:$V,17,0)))</f>
        <v>√</v>
      </c>
      <c r="L4" s="383" t="str">
        <f>IFERROR(IF(VLOOKUP(D4,期货合约要素!$D:$Q,14,0)=0,"",VLOOKUP(D4,期货合约要素!$D:$Q,14,0)),IF(VLOOKUP(D4,期权合约要素!$D:$V,19,0)=0,"",VLOOKUP(D4,期权合约要素!$D:$V,19,0)))</f>
        <v/>
      </c>
    </row>
    <row r="5" ht="27" customHeight="1" spans="2:12">
      <c r="B5" s="347"/>
      <c r="C5" s="348" t="s">
        <v>245</v>
      </c>
      <c r="D5" s="206" t="s">
        <v>246</v>
      </c>
      <c r="E5" s="177"/>
      <c r="F5" s="10" t="s">
        <v>984</v>
      </c>
      <c r="G5" s="10">
        <v>500</v>
      </c>
      <c r="H5" s="10" t="s">
        <v>985</v>
      </c>
      <c r="I5" s="384">
        <v>44760</v>
      </c>
      <c r="J5" s="10"/>
      <c r="K5" s="322" t="str">
        <f>IFERROR(IF(VLOOKUP(D5,期货合约要素!$D:$Q,12,0)=0,"",VLOOKUP(D5,期货合约要素!$D:$Q,12,0)),IF(VLOOKUP(D5,期权合约要素!$D:$V,17,0)=0,"",VLOOKUP(D5,期权合约要素!$D:$V,17,0)))</f>
        <v>√</v>
      </c>
      <c r="L5" s="323" t="str">
        <f>IFERROR(IF(VLOOKUP(D5,期货合约要素!$D:$Q,14,0)=0,"",VLOOKUP(D5,期货合约要素!$D:$Q,14,0)),IF(VLOOKUP(D5,期权合约要素!$D:$V,19,0)=0,"",VLOOKUP(D5,期权合约要素!$D:$V,19,0)))</f>
        <v/>
      </c>
    </row>
    <row r="6" ht="27" customHeight="1" spans="2:12">
      <c r="B6" s="347"/>
      <c r="C6" s="348" t="s">
        <v>247</v>
      </c>
      <c r="D6" s="206" t="s">
        <v>248</v>
      </c>
      <c r="E6" s="177"/>
      <c r="F6" s="10" t="s">
        <v>984</v>
      </c>
      <c r="G6" s="10">
        <v>500</v>
      </c>
      <c r="H6" s="10" t="s">
        <v>985</v>
      </c>
      <c r="I6" s="384">
        <v>44760</v>
      </c>
      <c r="J6" s="10"/>
      <c r="K6" s="322" t="str">
        <f>IFERROR(IF(VLOOKUP(D6,期货合约要素!$D:$Q,12,0)=0,"",VLOOKUP(D6,期货合约要素!$D:$Q,12,0)),IF(VLOOKUP(D6,期权合约要素!$D:$V,17,0)=0,"",VLOOKUP(D6,期权合约要素!$D:$V,17,0)))</f>
        <v>√</v>
      </c>
      <c r="L6" s="323" t="str">
        <f>IFERROR(IF(VLOOKUP(D6,期货合约要素!$D:$Q,14,0)=0,"",VLOOKUP(D6,期货合约要素!$D:$Q,14,0)),IF(VLOOKUP(D6,期权合约要素!$D:$V,19,0)=0,"",VLOOKUP(D6,期权合约要素!$D:$V,19,0)))</f>
        <v/>
      </c>
    </row>
    <row r="7" ht="27" customHeight="1" spans="2:12">
      <c r="B7" s="347"/>
      <c r="C7" s="348" t="s">
        <v>249</v>
      </c>
      <c r="D7" s="206" t="s">
        <v>250</v>
      </c>
      <c r="E7" s="177"/>
      <c r="F7" s="10" t="s">
        <v>984</v>
      </c>
      <c r="G7" s="10">
        <v>500</v>
      </c>
      <c r="H7" s="10" t="s">
        <v>985</v>
      </c>
      <c r="I7" s="384">
        <v>44760</v>
      </c>
      <c r="J7" s="10"/>
      <c r="K7" s="322" t="str">
        <f>IFERROR(IF(VLOOKUP(D7,期货合约要素!$D:$Q,12,0)=0,"",VLOOKUP(D7,期货合约要素!$D:$Q,12,0)),IF(VLOOKUP(D7,期权合约要素!$D:$V,17,0)=0,"",VLOOKUP(D7,期权合约要素!$D:$V,17,0)))</f>
        <v>√</v>
      </c>
      <c r="L7" s="323" t="str">
        <f>IFERROR(IF(VLOOKUP(D7,期货合约要素!$D:$Q,14,0)=0,"",VLOOKUP(D7,期货合约要素!$D:$Q,14,0)),IF(VLOOKUP(D7,期权合约要素!$D:$V,19,0)=0,"",VLOOKUP(D7,期权合约要素!$D:$V,19,0)))</f>
        <v/>
      </c>
    </row>
    <row r="8" ht="34.5" spans="2:12">
      <c r="B8" s="347"/>
      <c r="C8" s="320" t="s">
        <v>413</v>
      </c>
      <c r="D8" s="206" t="s">
        <v>252</v>
      </c>
      <c r="E8" s="177"/>
      <c r="F8" s="177" t="s">
        <v>987</v>
      </c>
      <c r="G8" s="177" t="s">
        <v>988</v>
      </c>
      <c r="H8" s="177">
        <v>200</v>
      </c>
      <c r="I8" s="385">
        <v>44909</v>
      </c>
      <c r="J8" s="10"/>
      <c r="K8" s="322" t="str">
        <f>IFERROR(IF(VLOOKUP(D8,期货合约要素!$D:$Q,12,0)=0,"",VLOOKUP(D8,期货合约要素!$D:$Q,12,0)),IF(VLOOKUP(D8,期权合约要素!$D:$V,17,0)=0,"",VLOOKUP(D8,期权合约要素!$D:$V,17,0)))</f>
        <v>√</v>
      </c>
      <c r="L8" s="323" t="str">
        <f>IFERROR(IF(VLOOKUP(D8,期货合约要素!$D:$Q,14,0)=0,"",VLOOKUP(D8,期货合约要素!$D:$Q,14,0)),IF(VLOOKUP(D8,期权合约要素!$D:$V,19,0)=0,"",VLOOKUP(D8,期权合约要素!$D:$V,19,0)))</f>
        <v/>
      </c>
    </row>
    <row r="9" ht="34.5" spans="2:12">
      <c r="B9" s="347"/>
      <c r="C9" s="320" t="s">
        <v>424</v>
      </c>
      <c r="D9" s="206" t="s">
        <v>256</v>
      </c>
      <c r="E9" s="177"/>
      <c r="F9" s="177" t="s">
        <v>987</v>
      </c>
      <c r="G9" s="177" t="s">
        <v>988</v>
      </c>
      <c r="H9" s="177">
        <v>200</v>
      </c>
      <c r="I9" s="385">
        <v>44909</v>
      </c>
      <c r="J9" s="10"/>
      <c r="K9" s="322" t="str">
        <f>IFERROR(IF(VLOOKUP(D9,期货合约要素!$D:$Q,12,0)=0,"",VLOOKUP(D9,期货合约要素!$D:$Q,12,0)),IF(VLOOKUP(D9,期权合约要素!$D:$V,17,0)=0,"",VLOOKUP(D9,期权合约要素!$D:$V,17,0)))</f>
        <v>√</v>
      </c>
      <c r="L9" s="323" t="str">
        <f>IFERROR(IF(VLOOKUP(D9,期货合约要素!$D:$Q,14,0)=0,"",VLOOKUP(D9,期货合约要素!$D:$Q,14,0)),IF(VLOOKUP(D9,期权合约要素!$D:$V,19,0)=0,"",VLOOKUP(D9,期权合约要素!$D:$V,19,0)))</f>
        <v/>
      </c>
    </row>
    <row r="10" ht="35.25" spans="2:12">
      <c r="B10" s="349"/>
      <c r="C10" s="350" t="s">
        <v>426</v>
      </c>
      <c r="D10" s="196" t="s">
        <v>258</v>
      </c>
      <c r="E10" s="196"/>
      <c r="F10" s="196" t="s">
        <v>987</v>
      </c>
      <c r="G10" s="196" t="s">
        <v>988</v>
      </c>
      <c r="H10" s="196">
        <v>200</v>
      </c>
      <c r="I10" s="386">
        <v>44909</v>
      </c>
      <c r="J10" s="387"/>
      <c r="K10" s="388" t="str">
        <f>IFERROR(IF(VLOOKUP(D10,期货合约要素!$D:$Q,12,0)=0,"",VLOOKUP(D10,期货合约要素!$D:$Q,12,0)),IF(VLOOKUP(D10,期权合约要素!$D:$V,17,0)=0,"",VLOOKUP(D10,期权合约要素!$D:$V,17,0)))</f>
        <v>√</v>
      </c>
      <c r="L10" s="389" t="str">
        <f>IFERROR(IF(VLOOKUP(D10,期货合约要素!$D:$Q,14,0)=0,"",VLOOKUP(D10,期货合约要素!$D:$Q,14,0)),IF(VLOOKUP(D10,期权合约要素!$D:$V,19,0)=0,"",VLOOKUP(D10,期权合约要素!$D:$V,19,0)))</f>
        <v/>
      </c>
    </row>
    <row r="11" ht="27.95" customHeight="1" spans="2:12">
      <c r="B11" s="351" t="s">
        <v>108</v>
      </c>
      <c r="C11" s="190" t="s">
        <v>115</v>
      </c>
      <c r="D11" s="191" t="s">
        <v>116</v>
      </c>
      <c r="E11" s="191"/>
      <c r="F11" s="191" t="s">
        <v>984</v>
      </c>
      <c r="G11" s="191">
        <v>20000</v>
      </c>
      <c r="H11" s="191" t="s">
        <v>985</v>
      </c>
      <c r="I11" s="390">
        <v>45252</v>
      </c>
      <c r="J11" s="191" t="s">
        <v>54</v>
      </c>
      <c r="K11" s="382" t="str">
        <f>IFERROR(IF(VLOOKUP(D11,期货合约要素!$D:$Q,12,0)=0,"",VLOOKUP(D11,期货合约要素!$D:$Q,12,0)),IF(VLOOKUP(D11,期权合约要素!$D:$V,17,0)=0,"",VLOOKUP(D11,期权合约要素!$D:$V,17,0)))</f>
        <v>√</v>
      </c>
      <c r="L11" s="383" t="str">
        <f>IFERROR(IF(VLOOKUP(D11,期货合约要素!$D:$Q,14,0)=0,"",VLOOKUP(D11,期货合约要素!$D:$Q,14,0)),IF(VLOOKUP(D11,期权合约要素!$D:$V,19,0)=0,"",VLOOKUP(D11,期权合约要素!$D:$V,19,0)))</f>
        <v>√</v>
      </c>
    </row>
    <row r="12" ht="27" customHeight="1" spans="2:12">
      <c r="B12" s="352"/>
      <c r="C12" s="320" t="s">
        <v>125</v>
      </c>
      <c r="D12" s="177" t="s">
        <v>126</v>
      </c>
      <c r="E12" s="177"/>
      <c r="F12" s="177" t="s">
        <v>984</v>
      </c>
      <c r="G12" s="177">
        <v>18000</v>
      </c>
      <c r="H12" s="177" t="s">
        <v>985</v>
      </c>
      <c r="I12" s="385">
        <v>45252</v>
      </c>
      <c r="J12" s="177"/>
      <c r="K12" s="322" t="str">
        <f>IFERROR(IF(VLOOKUP(D12,期货合约要素!$D:$Q,12,0)=0,"",VLOOKUP(D12,期货合约要素!$D:$Q,12,0)),IF(VLOOKUP(D12,期权合约要素!$D:$V,17,0)=0,"",VLOOKUP(D12,期权合约要素!$D:$V,17,0)))</f>
        <v>√</v>
      </c>
      <c r="L12" s="323" t="str">
        <f>IFERROR(IF(VLOOKUP(D12,期货合约要素!$D:$Q,14,0)=0,"",VLOOKUP(D12,期货合约要素!$D:$Q,14,0)),IF(VLOOKUP(D12,期权合约要素!$D:$V,19,0)=0,"",VLOOKUP(D12,期权合约要素!$D:$V,19,0)))</f>
        <v/>
      </c>
    </row>
    <row r="13" ht="27.95" customHeight="1" spans="2:12">
      <c r="B13" s="352"/>
      <c r="C13" s="320" t="s">
        <v>127</v>
      </c>
      <c r="D13" s="177" t="s">
        <v>128</v>
      </c>
      <c r="E13" s="177"/>
      <c r="F13" s="177" t="s">
        <v>984</v>
      </c>
      <c r="G13" s="177">
        <v>18000</v>
      </c>
      <c r="H13" s="177" t="s">
        <v>985</v>
      </c>
      <c r="I13" s="385">
        <v>45959</v>
      </c>
      <c r="J13" s="177"/>
      <c r="K13" s="322" t="str">
        <f>IFERROR(IF(VLOOKUP(D13,期货合约要素!$D:$Q,12,0)=0,"",VLOOKUP(D13,期货合约要素!$D:$Q,12,0)),IF(VLOOKUP(D13,期权合约要素!$D:$V,17,0)=0,"",VLOOKUP(D13,期权合约要素!$D:$V,17,0)))</f>
        <v>√</v>
      </c>
      <c r="L13" s="323" t="str">
        <f>IFERROR(IF(VLOOKUP(D13,期货合约要素!$D:$Q,14,0)=0,"",VLOOKUP(D13,期货合约要素!$D:$Q,14,0)),IF(VLOOKUP(D13,期权合约要素!$D:$V,19,0)=0,"",VLOOKUP(D13,期权合约要素!$D:$V,19,0)))</f>
        <v/>
      </c>
    </row>
    <row r="14" ht="27.95" customHeight="1" spans="2:12">
      <c r="B14" s="352"/>
      <c r="C14" s="320" t="s">
        <v>117</v>
      </c>
      <c r="D14" s="177" t="s">
        <v>118</v>
      </c>
      <c r="E14" s="177"/>
      <c r="F14" s="177" t="s">
        <v>984</v>
      </c>
      <c r="G14" s="177">
        <v>15000</v>
      </c>
      <c r="H14" s="177" t="s">
        <v>985</v>
      </c>
      <c r="I14" s="385">
        <v>45252</v>
      </c>
      <c r="J14" s="177"/>
      <c r="K14" s="322" t="str">
        <f>IFERROR(IF(VLOOKUP(D14,期货合约要素!$D:$Q,12,0)=0,"",VLOOKUP(D14,期货合约要素!$D:$Q,12,0)),IF(VLOOKUP(D14,期权合约要素!$D:$V,17,0)=0,"",VLOOKUP(D14,期权合约要素!$D:$V,17,0)))</f>
        <v>√</v>
      </c>
      <c r="L14" s="323" t="str">
        <f>IFERROR(IF(VLOOKUP(D14,期货合约要素!$D:$Q,14,0)=0,"",VLOOKUP(D14,期货合约要素!$D:$Q,14,0)),IF(VLOOKUP(D14,期权合约要素!$D:$V,19,0)=0,"",VLOOKUP(D14,期权合约要素!$D:$V,19,0)))</f>
        <v>√</v>
      </c>
    </row>
    <row r="15" ht="27.95" customHeight="1" spans="2:12">
      <c r="B15" s="352"/>
      <c r="C15" s="320" t="s">
        <v>129</v>
      </c>
      <c r="D15" s="177" t="s">
        <v>130</v>
      </c>
      <c r="E15" s="177"/>
      <c r="F15" s="177" t="s">
        <v>984</v>
      </c>
      <c r="G15" s="177">
        <v>10000</v>
      </c>
      <c r="H15" s="177" t="s">
        <v>985</v>
      </c>
      <c r="I15" s="385">
        <v>45252</v>
      </c>
      <c r="J15" s="177"/>
      <c r="K15" s="322" t="str">
        <f>IFERROR(IF(VLOOKUP(D15,期货合约要素!$D:$Q,12,0)=0,"",VLOOKUP(D15,期货合约要素!$D:$Q,12,0)),IF(VLOOKUP(D15,期权合约要素!$D:$V,17,0)=0,"",VLOOKUP(D15,期权合约要素!$D:$V,17,0)))</f>
        <v>√</v>
      </c>
      <c r="L15" s="323" t="str">
        <f>IFERROR(IF(VLOOKUP(D15,期货合约要素!$D:$Q,14,0)=0,"",VLOOKUP(D15,期货合约要素!$D:$Q,14,0)),IF(VLOOKUP(D15,期权合约要素!$D:$V,19,0)=0,"",VLOOKUP(D15,期权合约要素!$D:$V,19,0)))</f>
        <v/>
      </c>
    </row>
    <row r="16" ht="27.95" customHeight="1" spans="2:12">
      <c r="B16" s="352"/>
      <c r="C16" s="320" t="s">
        <v>131</v>
      </c>
      <c r="D16" s="177" t="s">
        <v>132</v>
      </c>
      <c r="E16" s="177"/>
      <c r="F16" s="177" t="s">
        <v>984</v>
      </c>
      <c r="G16" s="177">
        <v>10000</v>
      </c>
      <c r="H16" s="177" t="s">
        <v>985</v>
      </c>
      <c r="I16" s="385">
        <v>45959</v>
      </c>
      <c r="J16" s="177"/>
      <c r="K16" s="322" t="str">
        <f>IFERROR(IF(VLOOKUP(D16,期货合约要素!$D:$Q,12,0)=0,"",VLOOKUP(D16,期货合约要素!$D:$Q,12,0)),IF(VLOOKUP(D16,期权合约要素!$D:$V,17,0)=0,"",VLOOKUP(D16,期权合约要素!$D:$V,17,0)))</f>
        <v>√</v>
      </c>
      <c r="L16" s="323" t="str">
        <f>IFERROR(IF(VLOOKUP(D16,期货合约要素!$D:$Q,14,0)=0,"",VLOOKUP(D16,期货合约要素!$D:$Q,14,0)),IF(VLOOKUP(D16,期权合约要素!$D:$V,19,0)=0,"",VLOOKUP(D16,期权合约要素!$D:$V,19,0)))</f>
        <v/>
      </c>
    </row>
    <row r="17" ht="27.95" customHeight="1" spans="2:12">
      <c r="B17" s="352"/>
      <c r="C17" s="320" t="s">
        <v>119</v>
      </c>
      <c r="D17" s="177" t="s">
        <v>120</v>
      </c>
      <c r="E17" s="177"/>
      <c r="F17" s="177" t="s">
        <v>984</v>
      </c>
      <c r="G17" s="177">
        <v>10000</v>
      </c>
      <c r="H17" s="177" t="s">
        <v>985</v>
      </c>
      <c r="I17" s="385">
        <v>45064</v>
      </c>
      <c r="J17" s="177"/>
      <c r="K17" s="322" t="str">
        <f>IFERROR(IF(VLOOKUP(D17,期货合约要素!$D:$Q,12,0)=0,"",VLOOKUP(D17,期货合约要素!$D:$Q,12,0)),IF(VLOOKUP(D17,期权合约要素!$D:$V,17,0)=0,"",VLOOKUP(D17,期权合约要素!$D:$V,17,0)))</f>
        <v>√</v>
      </c>
      <c r="L17" s="323" t="str">
        <f>IFERROR(IF(VLOOKUP(D17,期货合约要素!$D:$Q,14,0)=0,"",VLOOKUP(D17,期货合约要素!$D:$Q,14,0)),IF(VLOOKUP(D17,期权合约要素!$D:$V,19,0)=0,"",VLOOKUP(D17,期权合约要素!$D:$V,19,0)))</f>
        <v>√</v>
      </c>
    </row>
    <row r="18" ht="27.95" customHeight="1" spans="2:12">
      <c r="B18" s="352"/>
      <c r="C18" s="320" t="s">
        <v>137</v>
      </c>
      <c r="D18" s="177" t="s">
        <v>138</v>
      </c>
      <c r="E18" s="177"/>
      <c r="F18" s="177" t="s">
        <v>984</v>
      </c>
      <c r="G18" s="177">
        <v>10000</v>
      </c>
      <c r="H18" s="177" t="s">
        <v>985</v>
      </c>
      <c r="I18" s="385">
        <v>45064</v>
      </c>
      <c r="J18" s="177"/>
      <c r="K18" s="322" t="str">
        <f>IFERROR(IF(VLOOKUP(D18,期货合约要素!$D:$Q,12,0)=0,"",VLOOKUP(D18,期货合约要素!$D:$Q,12,0)),IF(VLOOKUP(D18,期权合约要素!$D:$V,17,0)=0,"",VLOOKUP(D18,期权合约要素!$D:$V,17,0)))</f>
        <v>√</v>
      </c>
      <c r="L18" s="323" t="str">
        <f>IFERROR(IF(VLOOKUP(D18,期货合约要素!$D:$Q,14,0)=0,"",VLOOKUP(D18,期货合约要素!$D:$Q,14,0)),IF(VLOOKUP(D18,期权合约要素!$D:$V,19,0)=0,"",VLOOKUP(D18,期权合约要素!$D:$V,19,0)))</f>
        <v/>
      </c>
    </row>
    <row r="19" ht="27.95" customHeight="1" spans="2:12">
      <c r="B19" s="352"/>
      <c r="C19" s="320" t="s">
        <v>121</v>
      </c>
      <c r="D19" s="177" t="s">
        <v>122</v>
      </c>
      <c r="E19" s="177"/>
      <c r="F19" s="177" t="s">
        <v>984</v>
      </c>
      <c r="G19" s="177">
        <v>8000</v>
      </c>
      <c r="H19" s="177" t="s">
        <v>985</v>
      </c>
      <c r="I19" s="385">
        <v>45252</v>
      </c>
      <c r="J19" s="177"/>
      <c r="K19" s="322" t="str">
        <f>IFERROR(IF(VLOOKUP(D19,期货合约要素!$D:$Q,12,0)=0,"",VLOOKUP(D19,期货合约要素!$D:$Q,12,0)),IF(VLOOKUP(D19,期权合约要素!$D:$V,17,0)=0,"",VLOOKUP(D19,期权合约要素!$D:$V,17,0)))</f>
        <v/>
      </c>
      <c r="L19" s="323" t="str">
        <f>IFERROR(IF(VLOOKUP(D19,期货合约要素!$D:$Q,14,0)=0,"",VLOOKUP(D19,期货合约要素!$D:$Q,14,0)),IF(VLOOKUP(D19,期权合约要素!$D:$V,19,0)=0,"",VLOOKUP(D19,期权合约要素!$D:$V,19,0)))</f>
        <v/>
      </c>
    </row>
    <row r="20" ht="27.95" customHeight="1" spans="2:12">
      <c r="B20" s="352"/>
      <c r="C20" s="320" t="s">
        <v>133</v>
      </c>
      <c r="D20" s="177" t="s">
        <v>134</v>
      </c>
      <c r="E20" s="177"/>
      <c r="F20" s="177" t="s">
        <v>984</v>
      </c>
      <c r="G20" s="177">
        <v>8000</v>
      </c>
      <c r="H20" s="177" t="s">
        <v>985</v>
      </c>
      <c r="I20" s="385">
        <v>45252</v>
      </c>
      <c r="J20" s="177"/>
      <c r="K20" s="322" t="str">
        <f>IFERROR(IF(VLOOKUP(D20,期货合约要素!$D:$Q,12,0)=0,"",VLOOKUP(D20,期货合约要素!$D:$Q,12,0)),IF(VLOOKUP(D20,期权合约要素!$D:$V,17,0)=0,"",VLOOKUP(D20,期权合约要素!$D:$V,17,0)))</f>
        <v>√</v>
      </c>
      <c r="L20" s="323" t="str">
        <f>IFERROR(IF(VLOOKUP(D20,期货合约要素!$D:$Q,14,0)=0,"",VLOOKUP(D20,期货合约要素!$D:$Q,14,0)),IF(VLOOKUP(D20,期权合约要素!$D:$V,19,0)=0,"",VLOOKUP(D20,期权合约要素!$D:$V,19,0)))</f>
        <v/>
      </c>
    </row>
    <row r="21" ht="27.95" customHeight="1" spans="2:12">
      <c r="B21" s="352"/>
      <c r="C21" s="320" t="s">
        <v>135</v>
      </c>
      <c r="D21" s="177" t="s">
        <v>136</v>
      </c>
      <c r="E21" s="177"/>
      <c r="F21" s="177" t="s">
        <v>984</v>
      </c>
      <c r="G21" s="177">
        <v>8000</v>
      </c>
      <c r="H21" s="177" t="s">
        <v>985</v>
      </c>
      <c r="I21" s="385">
        <v>45959</v>
      </c>
      <c r="J21" s="177"/>
      <c r="K21" s="322" t="str">
        <f>IFERROR(IF(VLOOKUP(D21,期货合约要素!$D:$Q,12,0)=0,"",VLOOKUP(D21,期货合约要素!$D:$Q,12,0)),IF(VLOOKUP(D21,期权合约要素!$D:$V,17,0)=0,"",VLOOKUP(D21,期权合约要素!$D:$V,17,0)))</f>
        <v>√</v>
      </c>
      <c r="L21" s="323" t="str">
        <f>IFERROR(IF(VLOOKUP(D21,期货合约要素!$D:$Q,14,0)=0,"",VLOOKUP(D21,期货合约要素!$D:$Q,14,0)),IF(VLOOKUP(D21,期权合约要素!$D:$V,19,0)=0,"",VLOOKUP(D21,期权合约要素!$D:$V,19,0)))</f>
        <v/>
      </c>
    </row>
    <row r="22" ht="27.95" customHeight="1" spans="2:12">
      <c r="B22" s="352"/>
      <c r="C22" s="320" t="s">
        <v>155</v>
      </c>
      <c r="D22" s="177" t="s">
        <v>156</v>
      </c>
      <c r="E22" s="177"/>
      <c r="F22" s="177" t="s">
        <v>984</v>
      </c>
      <c r="G22" s="177">
        <v>1000</v>
      </c>
      <c r="H22" s="177" t="s">
        <v>985</v>
      </c>
      <c r="I22" s="385">
        <v>45188</v>
      </c>
      <c r="J22" s="177"/>
      <c r="K22" s="322" t="str">
        <f>IFERROR(IF(VLOOKUP(D22,期货合约要素!$D:$Q,12,0)=0,"",VLOOKUP(D22,期货合约要素!$D:$Q,12,0)),IF(VLOOKUP(D22,期权合约要素!$D:$V,17,0)=0,"",VLOOKUP(D22,期权合约要素!$D:$V,17,0)))</f>
        <v/>
      </c>
      <c r="L22" s="323" t="str">
        <f>IFERROR(IF(VLOOKUP(D22,期货合约要素!$D:$Q,14,0)=0,"",VLOOKUP(D22,期货合约要素!$D:$Q,14,0)),IF(VLOOKUP(D22,期权合约要素!$D:$V,19,0)=0,"",VLOOKUP(D22,期权合约要素!$D:$V,19,0)))</f>
        <v/>
      </c>
    </row>
    <row r="23" s="336" customFormat="1" ht="27.95" customHeight="1" spans="2:12">
      <c r="B23" s="352"/>
      <c r="C23" s="320" t="s">
        <v>149</v>
      </c>
      <c r="D23" s="177" t="s">
        <v>150</v>
      </c>
      <c r="E23" s="177"/>
      <c r="F23" s="177" t="s">
        <v>984</v>
      </c>
      <c r="G23" s="177">
        <v>2000</v>
      </c>
      <c r="H23" s="177" t="s">
        <v>985</v>
      </c>
      <c r="I23" s="385">
        <v>44978</v>
      </c>
      <c r="J23" s="177"/>
      <c r="K23" s="322" t="str">
        <f>IFERROR(IF(VLOOKUP(D23,期货合约要素!$D:$Q,12,0)=0,"",VLOOKUP(D23,期货合约要素!$D:$Q,12,0)),IF(VLOOKUP(D23,期权合约要素!$D:$V,17,0)=0,"",VLOOKUP(D23,期权合约要素!$D:$V,17,0)))</f>
        <v>√</v>
      </c>
      <c r="L23" s="323" t="str">
        <f>IFERROR(IF(VLOOKUP(D23,期货合约要素!$D:$Q,14,0)=0,"",VLOOKUP(D23,期货合约要素!$D:$Q,14,0)),IF(VLOOKUP(D23,期权合约要素!$D:$V,19,0)=0,"",VLOOKUP(D23,期权合约要素!$D:$V,19,0)))</f>
        <v>√</v>
      </c>
    </row>
    <row r="24" ht="33" customHeight="1" spans="2:12">
      <c r="B24" s="352"/>
      <c r="C24" s="320" t="s">
        <v>143</v>
      </c>
      <c r="D24" s="177" t="s">
        <v>144</v>
      </c>
      <c r="E24" s="177"/>
      <c r="F24" s="177" t="s">
        <v>984</v>
      </c>
      <c r="G24" s="177">
        <v>2000</v>
      </c>
      <c r="H24" s="177" t="s">
        <v>985</v>
      </c>
      <c r="I24" s="385">
        <v>45617</v>
      </c>
      <c r="J24" s="177"/>
      <c r="K24" s="322" t="str">
        <f>IFERROR(IF(VLOOKUP(D24,期货合约要素!$D:$Q,12,0)=0,"",VLOOKUP(D24,期货合约要素!$D:$Q,12,0)),IF(VLOOKUP(D24,期权合约要素!$D:$V,17,0)=0,"",VLOOKUP(D24,期权合约要素!$D:$V,17,0)))</f>
        <v/>
      </c>
      <c r="L24" s="323" t="str">
        <f>IFERROR(IF(VLOOKUP(D24,期货合约要素!$D:$Q,14,0)=0,"",VLOOKUP(D24,期货合约要素!$D:$Q,14,0)),IF(VLOOKUP(D24,期权合约要素!$D:$V,19,0)=0,"",VLOOKUP(D24,期权合约要素!$D:$V,19,0)))</f>
        <v/>
      </c>
    </row>
    <row r="25" ht="35.1" customHeight="1" spans="2:12">
      <c r="B25" s="352"/>
      <c r="C25" s="320" t="s">
        <v>141</v>
      </c>
      <c r="D25" s="177" t="s">
        <v>142</v>
      </c>
      <c r="E25" s="177"/>
      <c r="F25" s="177" t="s">
        <v>984</v>
      </c>
      <c r="G25" s="177">
        <v>500</v>
      </c>
      <c r="H25" s="177" t="s">
        <v>985</v>
      </c>
      <c r="I25" s="385">
        <v>46185</v>
      </c>
      <c r="J25" s="177"/>
      <c r="K25" s="322" t="str">
        <f>IFERROR(IF(VLOOKUP(D25,期货合约要素!$D:$Q,12,0)=0,"",VLOOKUP(D25,期货合约要素!$D:$Q,12,0)),IF(VLOOKUP(D25,期权合约要素!$D:$V,17,0)=0,"",VLOOKUP(D25,期权合约要素!$D:$V,17,0)))</f>
        <v/>
      </c>
      <c r="L25" s="323" t="str">
        <f>IFERROR(IF(VLOOKUP(D25,期货合约要素!$D:$Q,14,0)=0,"",VLOOKUP(D25,期货合约要素!$D:$Q,14,0)),IF(VLOOKUP(D25,期权合约要素!$D:$V,19,0)=0,"",VLOOKUP(D25,期权合约要素!$D:$V,19,0)))</f>
        <v/>
      </c>
    </row>
    <row r="26" s="20" customFormat="1" ht="27.95" customHeight="1" spans="2:12">
      <c r="B26" s="352"/>
      <c r="C26" s="320" t="s">
        <v>147</v>
      </c>
      <c r="D26" s="177" t="s">
        <v>148</v>
      </c>
      <c r="E26" s="177"/>
      <c r="F26" s="177" t="s">
        <v>985</v>
      </c>
      <c r="G26" s="177" t="s">
        <v>985</v>
      </c>
      <c r="H26" s="177" t="s">
        <v>985</v>
      </c>
      <c r="I26" s="385" t="s">
        <v>985</v>
      </c>
      <c r="J26" s="177" t="s">
        <v>985</v>
      </c>
      <c r="K26" s="322" t="str">
        <f>IFERROR(IF(VLOOKUP(D26,期货合约要素!$D:$Q,12,0)=0,"",VLOOKUP(D26,期货合约要素!$D:$Q,12,0)),IF(VLOOKUP(D26,期权合约要素!$D:$V,17,0)=0,"",VLOOKUP(D26,期权合约要素!$D:$V,17,0)))</f>
        <v>√</v>
      </c>
      <c r="L26" s="323" t="str">
        <f>IFERROR(IF(VLOOKUP(D26,期货合约要素!$D:$Q,14,0)=0,"",VLOOKUP(D26,期货合约要素!$D:$Q,14,0)),IF(VLOOKUP(D26,期权合约要素!$D:$V,19,0)=0,"",VLOOKUP(D26,期权合约要素!$D:$V,19,0)))</f>
        <v/>
      </c>
    </row>
    <row r="27" s="20" customFormat="1" ht="27.95" customHeight="1" spans="2:12">
      <c r="B27" s="352"/>
      <c r="C27" s="320" t="s">
        <v>139</v>
      </c>
      <c r="D27" s="177" t="s">
        <v>140</v>
      </c>
      <c r="E27" s="177"/>
      <c r="F27" s="177" t="s">
        <v>985</v>
      </c>
      <c r="G27" s="177" t="s">
        <v>985</v>
      </c>
      <c r="H27" s="177" t="s">
        <v>985</v>
      </c>
      <c r="I27" s="385" t="s">
        <v>985</v>
      </c>
      <c r="J27" s="177"/>
      <c r="K27" s="322" t="str">
        <f>IFERROR(IF(VLOOKUP(D27,期货合约要素!$D:$Q,12,0)=0,"",VLOOKUP(D27,期货合约要素!$D:$Q,12,0)),IF(VLOOKUP(D27,期权合约要素!$D:$V,17,0)=0,"",VLOOKUP(D27,期权合约要素!$D:$V,17,0)))</f>
        <v>√</v>
      </c>
      <c r="L27" s="323" t="str">
        <f>IFERROR(IF(VLOOKUP(D27,期货合约要素!$D:$Q,14,0)=0,"",VLOOKUP(D27,期货合约要素!$D:$Q,14,0)),IF(VLOOKUP(D27,期权合约要素!$D:$V,19,0)=0,"",VLOOKUP(D27,期权合约要素!$D:$V,19,0)))</f>
        <v/>
      </c>
    </row>
    <row r="28" s="20" customFormat="1" ht="27.95" customHeight="1" spans="2:12">
      <c r="B28" s="353"/>
      <c r="C28" s="350" t="s">
        <v>151</v>
      </c>
      <c r="D28" s="196" t="s">
        <v>152</v>
      </c>
      <c r="E28" s="196"/>
      <c r="F28" s="196" t="s">
        <v>985</v>
      </c>
      <c r="G28" s="196" t="s">
        <v>985</v>
      </c>
      <c r="H28" s="196" t="s">
        <v>985</v>
      </c>
      <c r="I28" s="386" t="s">
        <v>985</v>
      </c>
      <c r="J28" s="196"/>
      <c r="K28" s="388" t="str">
        <f>IFERROR(IF(VLOOKUP(D28,期货合约要素!$D:$Q,12,0)=0,"",VLOOKUP(D28,期货合约要素!$D:$Q,12,0)),IF(VLOOKUP(D28,期权合约要素!$D:$V,17,0)=0,"",VLOOKUP(D28,期权合约要素!$D:$V,17,0)))</f>
        <v/>
      </c>
      <c r="L28" s="389" t="str">
        <f>IFERROR(IF(VLOOKUP(D28,期货合约要素!$D:$Q,14,0)=0,"",VLOOKUP(D28,期货合约要素!$D:$Q,14,0)),IF(VLOOKUP(D28,期权合约要素!$D:$V,19,0)=0,"",VLOOKUP(D28,期权合约要素!$D:$V,19,0)))</f>
        <v/>
      </c>
    </row>
    <row r="29" s="20" customFormat="1" ht="27.95" customHeight="1" spans="2:12">
      <c r="B29" s="354" t="s">
        <v>220</v>
      </c>
      <c r="C29" s="190" t="s">
        <v>221</v>
      </c>
      <c r="D29" s="191" t="s">
        <v>222</v>
      </c>
      <c r="E29" s="191"/>
      <c r="F29" s="191" t="s">
        <v>984</v>
      </c>
      <c r="G29" s="191">
        <v>10000</v>
      </c>
      <c r="H29" s="191" t="s">
        <v>985</v>
      </c>
      <c r="I29" s="390">
        <v>45744</v>
      </c>
      <c r="J29" s="166" t="s">
        <v>54</v>
      </c>
      <c r="K29" s="382" t="str">
        <f>IFERROR(IF(VLOOKUP(D29,期货合约要素!$D:$Q,12,0)=0,"",VLOOKUP(D29,期货合约要素!$D:$Q,12,0)),IF(VLOOKUP(D29,期权合约要素!$D:$V,17,0)=0,"",VLOOKUP(D29,期权合约要素!$D:$V,17,0)))</f>
        <v>√</v>
      </c>
      <c r="L29" s="383" t="str">
        <f>IFERROR(IF(VLOOKUP(D29,期货合约要素!$D:$Q,14,0)=0,"",VLOOKUP(D29,期货合约要素!$D:$Q,14,0)),IF(VLOOKUP(D29,期权合约要素!$D:$V,19,0)=0,"",VLOOKUP(D29,期权合约要素!$D:$V,19,0)))</f>
        <v/>
      </c>
    </row>
    <row r="30" s="20" customFormat="1" ht="27.95" customHeight="1" spans="2:12">
      <c r="B30" s="355"/>
      <c r="C30" s="172" t="s">
        <v>225</v>
      </c>
      <c r="D30" s="177" t="s">
        <v>226</v>
      </c>
      <c r="E30" s="321" t="s">
        <v>989</v>
      </c>
      <c r="F30" s="321" t="s">
        <v>984</v>
      </c>
      <c r="G30" s="321">
        <v>200</v>
      </c>
      <c r="H30" s="321" t="s">
        <v>985</v>
      </c>
      <c r="I30" s="385">
        <v>46115</v>
      </c>
      <c r="J30" s="173"/>
      <c r="K30" s="330" t="str">
        <f>IFERROR(IF(VLOOKUP(D30,期货合约要素!$D:$Q,12,0)=0,"",VLOOKUP(D30,期货合约要素!$D:$Q,12,0)),IF(VLOOKUP(D30,期权合约要素!$D:$V,17,0)=0,"",VLOOKUP(D30,期权合约要素!$D:$V,17,0)))</f>
        <v>√</v>
      </c>
      <c r="L30" s="391" t="str">
        <f>IFERROR(IF(VLOOKUP(D30,期货合约要素!$D:$Q,14,0)=0,"",VLOOKUP(D30,期货合约要素!$D:$Q,14,0)),IF(VLOOKUP(D30,期权合约要素!$D:$V,19,0)=0,"",VLOOKUP(D30,期权合约要素!$D:$V,19,0)))</f>
        <v/>
      </c>
    </row>
    <row r="31" s="20" customFormat="1" ht="27.95" customHeight="1" spans="2:12">
      <c r="B31" s="355"/>
      <c r="C31" s="356"/>
      <c r="D31" s="177"/>
      <c r="E31" s="177" t="s">
        <v>990</v>
      </c>
      <c r="F31" s="177" t="s">
        <v>984</v>
      </c>
      <c r="G31" s="177">
        <v>10000</v>
      </c>
      <c r="H31" s="177" t="s">
        <v>985</v>
      </c>
      <c r="I31" s="385">
        <v>45859</v>
      </c>
      <c r="J31" s="173"/>
      <c r="K31" s="392"/>
      <c r="L31" s="393"/>
    </row>
    <row r="32" s="20" customFormat="1" ht="27.95" customHeight="1" spans="2:12">
      <c r="B32" s="355"/>
      <c r="C32" s="328" t="s">
        <v>223</v>
      </c>
      <c r="D32" s="177" t="s">
        <v>224</v>
      </c>
      <c r="E32" s="321" t="s">
        <v>991</v>
      </c>
      <c r="F32" s="321" t="s">
        <v>984</v>
      </c>
      <c r="G32" s="321">
        <v>400</v>
      </c>
      <c r="H32" s="321" t="s">
        <v>985</v>
      </c>
      <c r="I32" s="385" t="s">
        <v>992</v>
      </c>
      <c r="J32" s="173"/>
      <c r="K32" s="394" t="str">
        <f>IFERROR(IF(VLOOKUP(D32,期货合约要素!$D:$Q,12,0)=0,"",VLOOKUP(D32,期货合约要素!$D:$Q,12,0)),IF(VLOOKUP(D32,期权合约要素!$D:$V,17,0)=0,"",VLOOKUP(D32,期权合约要素!$D:$V,17,0)))</f>
        <v>√</v>
      </c>
      <c r="L32" s="395" t="str">
        <f>IFERROR(IF(VLOOKUP(D32,期货合约要素!$D:$Q,14,0)=0,"",VLOOKUP(D32,期货合约要素!$D:$Q,14,0)),IF(VLOOKUP(D32,期权合约要素!$D:$V,19,0)=0,"",VLOOKUP(D32,期权合约要素!$D:$V,19,0)))</f>
        <v>√</v>
      </c>
    </row>
    <row r="33" s="20" customFormat="1" ht="27.95" customHeight="1" spans="2:12">
      <c r="B33" s="355"/>
      <c r="C33" s="356"/>
      <c r="D33" s="177"/>
      <c r="E33" s="177" t="s">
        <v>990</v>
      </c>
      <c r="F33" s="177" t="s">
        <v>984</v>
      </c>
      <c r="G33" s="177">
        <v>10000</v>
      </c>
      <c r="H33" s="177" t="s">
        <v>985</v>
      </c>
      <c r="I33" s="385">
        <v>45258</v>
      </c>
      <c r="J33" s="173"/>
      <c r="K33" s="392"/>
      <c r="L33" s="393"/>
    </row>
    <row r="34" s="20" customFormat="1" ht="27.95" customHeight="1" spans="2:12">
      <c r="B34" s="355"/>
      <c r="C34" s="320" t="s">
        <v>227</v>
      </c>
      <c r="D34" s="177" t="s">
        <v>228</v>
      </c>
      <c r="E34" s="177" t="s">
        <v>993</v>
      </c>
      <c r="F34" s="177" t="s">
        <v>984</v>
      </c>
      <c r="G34" s="177">
        <v>300</v>
      </c>
      <c r="H34" s="177" t="s">
        <v>985</v>
      </c>
      <c r="I34" s="385" t="s">
        <v>992</v>
      </c>
      <c r="J34" s="173"/>
      <c r="K34" s="322" t="str">
        <f>IFERROR(IF(VLOOKUP(D34,期货合约要素!$D:$Q,12,0)=0,"",VLOOKUP(D34,期货合约要素!$D:$Q,12,0)),IF(VLOOKUP(D34,期权合约要素!$D:$V,17,0)=0,"",VLOOKUP(D34,期权合约要素!$D:$V,17,0)))</f>
        <v/>
      </c>
      <c r="L34" s="323" t="str">
        <f>IFERROR(IF(VLOOKUP(D34,期货合约要素!$D:$Q,14,0)=0,"",VLOOKUP(D34,期货合约要素!$D:$Q,14,0)),IF(VLOOKUP(D34,期权合约要素!$D:$V,19,0)=0,"",VLOOKUP(D34,期权合约要素!$D:$V,19,0)))</f>
        <v/>
      </c>
    </row>
    <row r="35" s="20" customFormat="1" ht="32.1" customHeight="1" spans="2:12">
      <c r="B35" s="357"/>
      <c r="C35" s="350" t="s">
        <v>229</v>
      </c>
      <c r="D35" s="196" t="s">
        <v>230</v>
      </c>
      <c r="E35" s="196" t="s">
        <v>994</v>
      </c>
      <c r="F35" s="196" t="s">
        <v>984</v>
      </c>
      <c r="G35" s="196">
        <v>300</v>
      </c>
      <c r="H35" s="196" t="s">
        <v>985</v>
      </c>
      <c r="I35" s="386" t="s">
        <v>992</v>
      </c>
      <c r="J35" s="182"/>
      <c r="K35" s="388" t="str">
        <f>IFERROR(IF(VLOOKUP(D35,期货合约要素!$D:$Q,12,0)=0,"",VLOOKUP(D35,期货合约要素!$D:$Q,12,0)),IF(VLOOKUP(D35,期权合约要素!$D:$V,17,0)=0,"",VLOOKUP(D35,期权合约要素!$D:$V,17,0)))</f>
        <v/>
      </c>
      <c r="L35" s="389" t="str">
        <f>IFERROR(IF(VLOOKUP(D35,期货合约要素!$D:$Q,14,0)=0,"",VLOOKUP(D35,期货合约要素!$D:$Q,14,0)),IF(VLOOKUP(D35,期权合约要素!$D:$V,19,0)=0,"",VLOOKUP(D35,期权合约要素!$D:$V,19,0)))</f>
        <v/>
      </c>
    </row>
    <row r="36" s="20" customFormat="1" ht="27.95" customHeight="1" spans="2:12">
      <c r="B36" s="358" t="s">
        <v>163</v>
      </c>
      <c r="C36" s="359" t="s">
        <v>178</v>
      </c>
      <c r="D36" s="191" t="s">
        <v>179</v>
      </c>
      <c r="E36" s="191"/>
      <c r="F36" s="191" t="s">
        <v>984</v>
      </c>
      <c r="G36" s="191">
        <v>30000</v>
      </c>
      <c r="H36" s="191" t="s">
        <v>985</v>
      </c>
      <c r="I36" s="390">
        <v>45257</v>
      </c>
      <c r="J36" s="191" t="s">
        <v>986</v>
      </c>
      <c r="K36" s="382" t="str">
        <f>IFERROR(IF(VLOOKUP(D36,期货合约要素!$D:$Q,12,0)=0,"",VLOOKUP(D36,期货合约要素!$D:$Q,12,0)),IF(VLOOKUP(D36,期权合约要素!$D:$V,17,0)=0,"",VLOOKUP(D36,期权合约要素!$D:$V,17,0)))</f>
        <v>√</v>
      </c>
      <c r="L36" s="383" t="str">
        <f>IFERROR(IF(VLOOKUP(D36,期货合约要素!$D:$Q,14,0)=0,"",VLOOKUP(D36,期货合约要素!$D:$Q,14,0)),IF(VLOOKUP(D36,期权合约要素!$D:$V,19,0)=0,"",VLOOKUP(D36,期权合约要素!$D:$V,19,0)))</f>
        <v>√</v>
      </c>
    </row>
    <row r="37" s="20" customFormat="1" ht="33" customHeight="1" spans="2:12">
      <c r="B37" s="360"/>
      <c r="C37" s="361" t="s">
        <v>176</v>
      </c>
      <c r="D37" s="122" t="s">
        <v>177</v>
      </c>
      <c r="E37" s="177"/>
      <c r="F37" s="177" t="s">
        <v>984</v>
      </c>
      <c r="G37" s="177">
        <v>25000</v>
      </c>
      <c r="H37" s="177" t="s">
        <v>985</v>
      </c>
      <c r="I37" s="396">
        <v>45257</v>
      </c>
      <c r="J37" s="177"/>
      <c r="K37" s="322" t="str">
        <f>IFERROR(IF(VLOOKUP(D37,期货合约要素!$D:$Q,12,0)=0,"",VLOOKUP(D37,期货合约要素!$D:$Q,12,0)),IF(VLOOKUP(D37,期权合约要素!$D:$V,17,0)=0,"",VLOOKUP(D37,期权合约要素!$D:$V,17,0)))</f>
        <v>√</v>
      </c>
      <c r="L37" s="323" t="str">
        <f>IFERROR(IF(VLOOKUP(D37,期货合约要素!$D:$Q,14,0)=0,"",VLOOKUP(D37,期货合约要素!$D:$Q,14,0)),IF(VLOOKUP(D37,期权合约要素!$D:$V,19,0)=0,"",VLOOKUP(D37,期权合约要素!$D:$V,19,0)))</f>
        <v/>
      </c>
    </row>
    <row r="38" s="20" customFormat="1" ht="27.95" customHeight="1" spans="2:12">
      <c r="B38" s="360"/>
      <c r="C38" s="362" t="s">
        <v>172</v>
      </c>
      <c r="D38" s="177" t="s">
        <v>173</v>
      </c>
      <c r="E38" s="177"/>
      <c r="F38" s="177" t="s">
        <v>984</v>
      </c>
      <c r="G38" s="177">
        <v>25000</v>
      </c>
      <c r="H38" s="177" t="s">
        <v>985</v>
      </c>
      <c r="I38" s="397"/>
      <c r="J38" s="177"/>
      <c r="K38" s="322" t="str">
        <f>IFERROR(IF(VLOOKUP(D38,期货合约要素!$D:$Q,12,0)=0,"",VLOOKUP(D38,期货合约要素!$D:$Q,12,0)),IF(VLOOKUP(D38,期权合约要素!$D:$V,17,0)=0,"",VLOOKUP(D38,期权合约要素!$D:$V,17,0)))</f>
        <v>√</v>
      </c>
      <c r="L38" s="323" t="str">
        <f>IFERROR(IF(VLOOKUP(D38,期货合约要素!$D:$Q,14,0)=0,"",VLOOKUP(D38,期货合约要素!$D:$Q,14,0)),IF(VLOOKUP(D38,期权合约要素!$D:$V,19,0)=0,"",VLOOKUP(D38,期权合约要素!$D:$V,19,0)))</f>
        <v/>
      </c>
    </row>
    <row r="39" s="20" customFormat="1" ht="27.95" customHeight="1" spans="2:12">
      <c r="B39" s="360"/>
      <c r="C39" s="362" t="s">
        <v>182</v>
      </c>
      <c r="D39" s="177" t="s">
        <v>183</v>
      </c>
      <c r="E39" s="177"/>
      <c r="F39" s="177" t="s">
        <v>984</v>
      </c>
      <c r="G39" s="177">
        <v>10000</v>
      </c>
      <c r="H39" s="177" t="s">
        <v>985</v>
      </c>
      <c r="I39" s="397"/>
      <c r="J39" s="177"/>
      <c r="K39" s="322" t="str">
        <f>IFERROR(IF(VLOOKUP(D39,期货合约要素!$D:$Q,12,0)=0,"",VLOOKUP(D39,期货合约要素!$D:$Q,12,0)),IF(VLOOKUP(D39,期权合约要素!$D:$V,17,0)=0,"",VLOOKUP(D39,期权合约要素!$D:$V,17,0)))</f>
        <v>√</v>
      </c>
      <c r="L39" s="323" t="str">
        <f>IFERROR(IF(VLOOKUP(D39,期货合约要素!$D:$Q,14,0)=0,"",VLOOKUP(D39,期货合约要素!$D:$Q,14,0)),IF(VLOOKUP(D39,期权合约要素!$D:$V,19,0)=0,"",VLOOKUP(D39,期权合约要素!$D:$V,19,0)))</f>
        <v>√</v>
      </c>
    </row>
    <row r="40" s="20" customFormat="1" ht="27.95" customHeight="1" spans="2:12">
      <c r="B40" s="360"/>
      <c r="C40" s="362" t="s">
        <v>170</v>
      </c>
      <c r="D40" s="177" t="s">
        <v>171</v>
      </c>
      <c r="E40" s="177"/>
      <c r="F40" s="177" t="s">
        <v>984</v>
      </c>
      <c r="G40" s="177">
        <v>10000</v>
      </c>
      <c r="H40" s="177" t="s">
        <v>985</v>
      </c>
      <c r="I40" s="397"/>
      <c r="J40" s="177"/>
      <c r="K40" s="322" t="str">
        <f>IFERROR(IF(VLOOKUP(D40,期货合约要素!$D:$Q,12,0)=0,"",VLOOKUP(D40,期货合约要素!$D:$Q,12,0)),IF(VLOOKUP(D40,期权合约要素!$D:$V,17,0)=0,"",VLOOKUP(D40,期权合约要素!$D:$V,17,0)))</f>
        <v>√</v>
      </c>
      <c r="L40" s="323" t="str">
        <f>IFERROR(IF(VLOOKUP(D40,期货合约要素!$D:$Q,14,0)=0,"",VLOOKUP(D40,期货合约要素!$D:$Q,14,0)),IF(VLOOKUP(D40,期权合约要素!$D:$V,19,0)=0,"",VLOOKUP(D40,期权合约要素!$D:$V,19,0)))</f>
        <v/>
      </c>
    </row>
    <row r="41" s="20" customFormat="1" ht="27.95" customHeight="1" spans="2:12">
      <c r="B41" s="360"/>
      <c r="C41" s="362" t="s">
        <v>164</v>
      </c>
      <c r="D41" s="177" t="s">
        <v>165</v>
      </c>
      <c r="E41" s="177"/>
      <c r="F41" s="177" t="s">
        <v>984</v>
      </c>
      <c r="G41" s="177">
        <v>10000</v>
      </c>
      <c r="H41" s="177" t="s">
        <v>985</v>
      </c>
      <c r="I41" s="397"/>
      <c r="J41" s="177"/>
      <c r="K41" s="322" t="str">
        <f>IFERROR(IF(VLOOKUP(D41,期货合约要素!$D:$Q,12,0)=0,"",VLOOKUP(D41,期货合约要素!$D:$Q,12,0)),IF(VLOOKUP(D41,期权合约要素!$D:$V,17,0)=0,"",VLOOKUP(D41,期权合约要素!$D:$V,17,0)))</f>
        <v/>
      </c>
      <c r="L41" s="323" t="str">
        <f>IFERROR(IF(VLOOKUP(D41,期货合约要素!$D:$Q,14,0)=0,"",VLOOKUP(D41,期货合约要素!$D:$Q,14,0)),IF(VLOOKUP(D41,期权合约要素!$D:$V,19,0)=0,"",VLOOKUP(D41,期权合约要素!$D:$V,19,0)))</f>
        <v/>
      </c>
    </row>
    <row r="42" s="20" customFormat="1" ht="27.95" customHeight="1" spans="2:12">
      <c r="B42" s="360"/>
      <c r="C42" s="362" t="s">
        <v>174</v>
      </c>
      <c r="D42" s="177" t="s">
        <v>175</v>
      </c>
      <c r="E42" s="177"/>
      <c r="F42" s="177" t="s">
        <v>984</v>
      </c>
      <c r="G42" s="177">
        <v>10000</v>
      </c>
      <c r="H42" s="177" t="s">
        <v>985</v>
      </c>
      <c r="I42" s="398"/>
      <c r="J42" s="177"/>
      <c r="K42" s="322" t="str">
        <f>IFERROR(IF(VLOOKUP(D42,期货合约要素!$D:$Q,12,0)=0,"",VLOOKUP(D42,期货合约要素!$D:$Q,12,0)),IF(VLOOKUP(D42,期权合约要素!$D:$V,17,0)=0,"",VLOOKUP(D42,期权合约要素!$D:$V,17,0)))</f>
        <v>√</v>
      </c>
      <c r="L42" s="323" t="str">
        <f>IFERROR(IF(VLOOKUP(D42,期货合约要素!$D:$Q,14,0)=0,"",VLOOKUP(D42,期货合约要素!$D:$Q,14,0)),IF(VLOOKUP(D42,期权合约要素!$D:$V,19,0)=0,"",VLOOKUP(D42,期权合约要素!$D:$V,19,0)))</f>
        <v/>
      </c>
    </row>
    <row r="43" s="20" customFormat="1" ht="27.95" customHeight="1" spans="2:12">
      <c r="B43" s="360"/>
      <c r="C43" s="362" t="s">
        <v>196</v>
      </c>
      <c r="D43" s="177" t="s">
        <v>197</v>
      </c>
      <c r="E43" s="177"/>
      <c r="F43" s="177" t="s">
        <v>984</v>
      </c>
      <c r="G43" s="177">
        <v>10000</v>
      </c>
      <c r="H43" s="177" t="s">
        <v>985</v>
      </c>
      <c r="I43" s="385">
        <v>45422</v>
      </c>
      <c r="J43" s="177"/>
      <c r="K43" s="322" t="str">
        <f>IFERROR(IF(VLOOKUP(D43,期货合约要素!$D:$Q,12,0)=0,"",VLOOKUP(D43,期货合约要素!$D:$Q,12,0)),IF(VLOOKUP(D43,期权合约要素!$D:$V,17,0)=0,"",VLOOKUP(D43,期权合约要素!$D:$V,17,0)))</f>
        <v>√</v>
      </c>
      <c r="L43" s="323" t="str">
        <f>IFERROR(IF(VLOOKUP(D43,期货合约要素!$D:$Q,14,0)=0,"",VLOOKUP(D43,期货合约要素!$D:$Q,14,0)),IF(VLOOKUP(D43,期权合约要素!$D:$V,19,0)=0,"",VLOOKUP(D43,期权合约要素!$D:$V,19,0)))</f>
        <v/>
      </c>
    </row>
    <row r="44" s="20" customFormat="1" ht="27.95" customHeight="1" spans="2:12">
      <c r="B44" s="360"/>
      <c r="C44" s="362" t="s">
        <v>995</v>
      </c>
      <c r="D44" s="177" t="s">
        <v>185</v>
      </c>
      <c r="E44" s="177"/>
      <c r="F44" s="177" t="s">
        <v>984</v>
      </c>
      <c r="G44" s="177">
        <v>15000</v>
      </c>
      <c r="H44" s="177" t="s">
        <v>985</v>
      </c>
      <c r="I44" s="385">
        <v>45257</v>
      </c>
      <c r="J44" s="177"/>
      <c r="K44" s="322" t="str">
        <f>IFERROR(IF(VLOOKUP(D44,期货合约要素!$D:$Q,12,0)=0,"",VLOOKUP(D44,期货合约要素!$D:$Q,12,0)),IF(VLOOKUP(D44,期权合约要素!$D:$V,17,0)=0,"",VLOOKUP(D44,期权合约要素!$D:$V,17,0)))</f>
        <v>√</v>
      </c>
      <c r="L44" s="323" t="str">
        <f>IFERROR(IF(VLOOKUP(D44,期货合约要素!$D:$Q,14,0)=0,"",VLOOKUP(D44,期货合约要素!$D:$Q,14,0)),IF(VLOOKUP(D44,期权合约要素!$D:$V,19,0)=0,"",VLOOKUP(D44,期权合约要素!$D:$V,19,0)))</f>
        <v>√</v>
      </c>
    </row>
    <row r="45" s="20" customFormat="1" ht="27" customHeight="1" spans="2:256">
      <c r="B45" s="360"/>
      <c r="C45" s="362" t="s">
        <v>192</v>
      </c>
      <c r="D45" s="177" t="s">
        <v>193</v>
      </c>
      <c r="E45" s="177"/>
      <c r="F45" s="177" t="s">
        <v>984</v>
      </c>
      <c r="G45" s="177">
        <v>20</v>
      </c>
      <c r="H45" s="177" t="s">
        <v>985</v>
      </c>
      <c r="I45" s="385" t="s">
        <v>996</v>
      </c>
      <c r="J45" s="177"/>
      <c r="K45" s="322" t="str">
        <f>IFERROR(IF(VLOOKUP(D45,期货合约要素!$D:$Q,12,0)=0,"",VLOOKUP(D45,期货合约要素!$D:$Q,12,0)),IF(VLOOKUP(D45,期权合约要素!$D:$V,17,0)=0,"",VLOOKUP(D45,期权合约要素!$D:$V,17,0)))</f>
        <v/>
      </c>
      <c r="L45" s="323" t="str">
        <f>IFERROR(IF(VLOOKUP(D45,期货合约要素!$D:$Q,14,0)=0,"",VLOOKUP(D45,期货合约要素!$D:$Q,14,0)),IF(VLOOKUP(D45,期权合约要素!$D:$V,19,0)=0,"",VLOOKUP(D45,期权合约要素!$D:$V,19,0)))</f>
        <v/>
      </c>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row>
    <row r="46" s="20" customFormat="1" ht="27" customHeight="1" spans="2:12">
      <c r="B46" s="360"/>
      <c r="C46" s="362" t="s">
        <v>210</v>
      </c>
      <c r="D46" s="177" t="s">
        <v>211</v>
      </c>
      <c r="E46" s="177"/>
      <c r="F46" s="177" t="s">
        <v>985</v>
      </c>
      <c r="G46" s="177" t="s">
        <v>985</v>
      </c>
      <c r="H46" s="177" t="s">
        <v>985</v>
      </c>
      <c r="I46" s="177" t="s">
        <v>985</v>
      </c>
      <c r="J46" s="122" t="s">
        <v>985</v>
      </c>
      <c r="K46" s="322" t="str">
        <f>IFERROR(IF(VLOOKUP(D46,期货合约要素!$D:$Q,12,0)=0,"",VLOOKUP(D46,期货合约要素!$D:$Q,12,0)),IF(VLOOKUP(D46,期权合约要素!$D:$V,17,0)=0,"",VLOOKUP(D46,期权合约要素!$D:$V,17,0)))</f>
        <v/>
      </c>
      <c r="L46" s="327" t="str">
        <f>IFERROR(IF(VLOOKUP(D46,期货合约要素!$D:$Q,14,0)=0,"",VLOOKUP(D46,期货合约要素!$D:$Q,14,0)),IF(VLOOKUP(D46,期权合约要素!$D:$V,19,0)=0,"",VLOOKUP(D46,期权合约要素!$D:$V,19,0)))</f>
        <v/>
      </c>
    </row>
    <row r="47" s="20" customFormat="1" ht="27.95" customHeight="1" spans="2:12">
      <c r="B47" s="360"/>
      <c r="C47" s="362" t="s">
        <v>198</v>
      </c>
      <c r="D47" s="177" t="s">
        <v>199</v>
      </c>
      <c r="E47" s="177"/>
      <c r="F47" s="177" t="s">
        <v>985</v>
      </c>
      <c r="G47" s="177" t="s">
        <v>985</v>
      </c>
      <c r="H47" s="177" t="s">
        <v>985</v>
      </c>
      <c r="I47" s="177" t="s">
        <v>985</v>
      </c>
      <c r="J47" s="173"/>
      <c r="K47" s="322" t="str">
        <f>IFERROR(IF(VLOOKUP(D47,期货合约要素!$D:$Q,12,0)=0,"",VLOOKUP(D47,期货合约要素!$D:$Q,12,0)),IF(VLOOKUP(D47,期权合约要素!$D:$V,17,0)=0,"",VLOOKUP(D47,期权合约要素!$D:$V,17,0)))</f>
        <v/>
      </c>
      <c r="L47" s="327" t="str">
        <f>IFERROR(IF(VLOOKUP(D47,期货合约要素!$D:$Q,14,0)=0,"",VLOOKUP(D47,期货合约要素!$D:$Q,14,0)),IF(VLOOKUP(D47,期权合约要素!$D:$V,19,0)=0,"",VLOOKUP(D47,期权合约要素!$D:$V,19,0)))</f>
        <v/>
      </c>
    </row>
    <row r="48" s="20" customFormat="1" ht="27.95" customHeight="1" spans="2:12">
      <c r="B48" s="360"/>
      <c r="C48" s="362" t="s">
        <v>218</v>
      </c>
      <c r="D48" s="177" t="s">
        <v>219</v>
      </c>
      <c r="E48" s="177"/>
      <c r="F48" s="177" t="s">
        <v>985</v>
      </c>
      <c r="G48" s="177" t="s">
        <v>985</v>
      </c>
      <c r="H48" s="177" t="s">
        <v>985</v>
      </c>
      <c r="I48" s="177" t="s">
        <v>985</v>
      </c>
      <c r="J48" s="173"/>
      <c r="K48" s="322" t="str">
        <f>IFERROR(IF(VLOOKUP(D48,期货合约要素!$D:$Q,12,0)=0,"",VLOOKUP(D48,期货合约要素!$D:$Q,12,0)),IF(VLOOKUP(D48,期权合约要素!$D:$V,17,0)=0,"",VLOOKUP(D48,期权合约要素!$D:$V,17,0)))</f>
        <v/>
      </c>
      <c r="L48" s="327" t="str">
        <f>IFERROR(IF(VLOOKUP(D48,期货合约要素!$D:$Q,14,0)=0,"",VLOOKUP(D48,期货合约要素!$D:$Q,14,0)),IF(VLOOKUP(D48,期权合约要素!$D:$V,19,0)=0,"",VLOOKUP(D48,期权合约要素!$D:$V,19,0)))</f>
        <v/>
      </c>
    </row>
    <row r="49" s="20" customFormat="1" ht="27.95" customHeight="1" spans="2:12">
      <c r="B49" s="360"/>
      <c r="C49" s="362" t="s">
        <v>216</v>
      </c>
      <c r="D49" s="177" t="s">
        <v>217</v>
      </c>
      <c r="E49" s="177"/>
      <c r="F49" s="177" t="s">
        <v>985</v>
      </c>
      <c r="G49" s="177" t="s">
        <v>985</v>
      </c>
      <c r="H49" s="177" t="s">
        <v>985</v>
      </c>
      <c r="I49" s="177" t="s">
        <v>985</v>
      </c>
      <c r="J49" s="173"/>
      <c r="K49" s="322" t="str">
        <f>IFERROR(IF(VLOOKUP(D49,期货合约要素!$D:$Q,12,0)=0,"",VLOOKUP(D49,期货合约要素!$D:$Q,12,0)),IF(VLOOKUP(D49,期权合约要素!$D:$V,17,0)=0,"",VLOOKUP(D49,期权合约要素!$D:$V,17,0)))</f>
        <v/>
      </c>
      <c r="L49" s="327" t="str">
        <f>IFERROR(IF(VLOOKUP(D49,期货合约要素!$D:$Q,14,0)=0,"",VLOOKUP(D49,期货合约要素!$D:$Q,14,0)),IF(VLOOKUP(D49,期权合约要素!$D:$V,19,0)=0,"",VLOOKUP(D49,期权合约要素!$D:$V,19,0)))</f>
        <v/>
      </c>
    </row>
    <row r="50" s="20" customFormat="1" ht="27.95" customHeight="1" spans="2:12">
      <c r="B50" s="360"/>
      <c r="C50" s="362" t="s">
        <v>200</v>
      </c>
      <c r="D50" s="177" t="s">
        <v>201</v>
      </c>
      <c r="E50" s="177"/>
      <c r="F50" s="177" t="s">
        <v>985</v>
      </c>
      <c r="G50" s="177" t="s">
        <v>985</v>
      </c>
      <c r="H50" s="177" t="s">
        <v>985</v>
      </c>
      <c r="I50" s="177" t="s">
        <v>985</v>
      </c>
      <c r="J50" s="173"/>
      <c r="K50" s="322" t="str">
        <f>IFERROR(IF(VLOOKUP(D50,期货合约要素!$D:$Q,12,0)=0,"",VLOOKUP(D50,期货合约要素!$D:$Q,12,0)),IF(VLOOKUP(D50,期权合约要素!$D:$V,17,0)=0,"",VLOOKUP(D50,期权合约要素!$D:$V,17,0)))</f>
        <v/>
      </c>
      <c r="L50" s="327" t="str">
        <f>IFERROR(IF(VLOOKUP(D50,期货合约要素!$D:$Q,14,0)=0,"",VLOOKUP(D50,期货合约要素!$D:$Q,14,0)),IF(VLOOKUP(D50,期权合约要素!$D:$V,19,0)=0,"",VLOOKUP(D50,期权合约要素!$D:$V,19,0)))</f>
        <v/>
      </c>
    </row>
    <row r="51" s="20" customFormat="1" ht="29.1" customHeight="1" spans="2:12">
      <c r="B51" s="360"/>
      <c r="C51" s="361" t="s">
        <v>186</v>
      </c>
      <c r="D51" s="122" t="s">
        <v>187</v>
      </c>
      <c r="E51" s="177"/>
      <c r="F51" s="177" t="s">
        <v>985</v>
      </c>
      <c r="G51" s="177" t="s">
        <v>985</v>
      </c>
      <c r="H51" s="177" t="s">
        <v>985</v>
      </c>
      <c r="I51" s="177" t="s">
        <v>985</v>
      </c>
      <c r="J51" s="173"/>
      <c r="K51" s="322" t="str">
        <f>IFERROR(IF(VLOOKUP(D51,期货合约要素!$D:$Q,12,0)=0,"",VLOOKUP(D51,期货合约要素!$D:$Q,12,0)),IF(VLOOKUP(D51,期权合约要素!$D:$V,17,0)=0,"",VLOOKUP(D51,期权合约要素!$D:$V,17,0)))</f>
        <v>√</v>
      </c>
      <c r="L51" s="327" t="str">
        <f>IFERROR(IF(VLOOKUP(D51,期货合约要素!$D:$Q,14,0)=0,"",VLOOKUP(D51,期货合约要素!$D:$Q,14,0)),IF(VLOOKUP(D51,期权合约要素!$D:$V,19,0)=0,"",VLOOKUP(D51,期权合约要素!$D:$V,19,0)))</f>
        <v>√</v>
      </c>
    </row>
    <row r="52" s="20" customFormat="1" ht="29.1" customHeight="1" spans="2:12">
      <c r="B52" s="360"/>
      <c r="C52" s="361" t="s">
        <v>180</v>
      </c>
      <c r="D52" s="122" t="s">
        <v>181</v>
      </c>
      <c r="E52" s="177"/>
      <c r="F52" s="177" t="s">
        <v>985</v>
      </c>
      <c r="G52" s="177" t="s">
        <v>985</v>
      </c>
      <c r="H52" s="177" t="s">
        <v>985</v>
      </c>
      <c r="I52" s="177" t="s">
        <v>985</v>
      </c>
      <c r="J52" s="173"/>
      <c r="K52" s="322" t="str">
        <f>IFERROR(IF(VLOOKUP(D52,期货合约要素!$D:$Q,12,0)=0,"",VLOOKUP(D52,期货合约要素!$D:$Q,12,0)),IF(VLOOKUP(D52,期权合约要素!$D:$V,17,0)=0,"",VLOOKUP(D52,期权合约要素!$D:$V,17,0)))</f>
        <v>√</v>
      </c>
      <c r="L52" s="327" t="str">
        <f>IFERROR(IF(VLOOKUP(D52,期货合约要素!$D:$Q,14,0)=0,"",VLOOKUP(D52,期货合约要素!$D:$Q,14,0)),IF(VLOOKUP(D52,期权合约要素!$D:$V,19,0)=0,"",VLOOKUP(D52,期权合约要素!$D:$V,19,0)))</f>
        <v>√</v>
      </c>
    </row>
    <row r="53" s="20" customFormat="1" ht="29.1" customHeight="1" spans="2:12">
      <c r="B53" s="360"/>
      <c r="C53" s="361" t="s">
        <v>190</v>
      </c>
      <c r="D53" s="122" t="s">
        <v>191</v>
      </c>
      <c r="E53" s="177"/>
      <c r="F53" s="177" t="s">
        <v>985</v>
      </c>
      <c r="G53" s="177" t="s">
        <v>985</v>
      </c>
      <c r="H53" s="177" t="s">
        <v>985</v>
      </c>
      <c r="I53" s="177" t="s">
        <v>985</v>
      </c>
      <c r="J53" s="173"/>
      <c r="K53" s="322" t="str">
        <f>IFERROR(IF(VLOOKUP(D53,期货合约要素!$D:$Q,12,0)=0,"",VLOOKUP(D53,期货合约要素!$D:$Q,12,0)),IF(VLOOKUP(D53,期权合约要素!$D:$V,17,0)=0,"",VLOOKUP(D53,期权合约要素!$D:$V,17,0)))</f>
        <v>√</v>
      </c>
      <c r="L53" s="327" t="str">
        <f>IFERROR(IF(VLOOKUP(D53,期货合约要素!$D:$Q,14,0)=0,"",VLOOKUP(D53,期货合约要素!$D:$Q,14,0)),IF(VLOOKUP(D53,期权合约要素!$D:$V,19,0)=0,"",VLOOKUP(D53,期权合约要素!$D:$V,19,0)))</f>
        <v>√</v>
      </c>
    </row>
    <row r="54" s="20" customFormat="1" ht="29.1" customHeight="1" spans="2:12">
      <c r="B54" s="360"/>
      <c r="C54" s="361" t="s">
        <v>194</v>
      </c>
      <c r="D54" s="122" t="s">
        <v>195</v>
      </c>
      <c r="E54" s="177" t="s">
        <v>985</v>
      </c>
      <c r="F54" s="177" t="s">
        <v>985</v>
      </c>
      <c r="G54" s="177" t="s">
        <v>985</v>
      </c>
      <c r="H54" s="177" t="s">
        <v>985</v>
      </c>
      <c r="I54" s="177" t="s">
        <v>985</v>
      </c>
      <c r="J54" s="173"/>
      <c r="K54" s="322" t="str">
        <f>IFERROR(IF(VLOOKUP(D54,期货合约要素!$D:$Q,12,0)=0,"",VLOOKUP(D54,期货合约要素!$D:$Q,12,0)),IF(VLOOKUP(D54,期权合约要素!$D:$V,17,0)=0,"",VLOOKUP(D54,期权合约要素!$D:$V,17,0)))</f>
        <v/>
      </c>
      <c r="L54" s="323" t="str">
        <f>IFERROR(IF(VLOOKUP(D54,期货合约要素!$D:$Q,14,0)=0,"",VLOOKUP(D54,期货合约要素!$D:$Q,14,0)),IF(VLOOKUP(D54,期权合约要素!$D:$V,19,0)=0,"",VLOOKUP(D54,期权合约要素!$D:$V,19,0)))</f>
        <v/>
      </c>
    </row>
    <row r="55" s="20" customFormat="1" ht="29.1" customHeight="1" spans="2:12">
      <c r="B55" s="363"/>
      <c r="C55" s="364" t="s">
        <v>204</v>
      </c>
      <c r="D55" s="196" t="s">
        <v>205</v>
      </c>
      <c r="E55" s="196" t="s">
        <v>985</v>
      </c>
      <c r="F55" s="196" t="s">
        <v>985</v>
      </c>
      <c r="G55" s="196" t="s">
        <v>985</v>
      </c>
      <c r="H55" s="196" t="s">
        <v>985</v>
      </c>
      <c r="I55" s="196" t="s">
        <v>985</v>
      </c>
      <c r="J55" s="182"/>
      <c r="K55" s="388" t="str">
        <f>IFERROR(IF(VLOOKUP(D55,期货合约要素!$D:$Q,12,0)=0,"",VLOOKUP(D55,期货合约要素!$D:$Q,12,0)),IF(VLOOKUP(D55,期权合约要素!$D:$V,17,0)=0,"",VLOOKUP(D55,期权合约要素!$D:$V,17,0)))</f>
        <v/>
      </c>
      <c r="L55" s="389" t="str">
        <f>IFERROR(IF(VLOOKUP(D55,期货合约要素!$D:$Q,14,0)=0,"",VLOOKUP(D55,期货合约要素!$D:$Q,14,0)),IF(VLOOKUP(D55,期权合约要素!$D:$V,19,0)=0,"",VLOOKUP(D55,期权合约要素!$D:$V,19,0)))</f>
        <v/>
      </c>
    </row>
    <row r="56" s="20" customFormat="1" ht="35.1" customHeight="1" spans="2:12">
      <c r="B56" s="365" t="s">
        <v>96</v>
      </c>
      <c r="C56" s="366" t="s">
        <v>97</v>
      </c>
      <c r="D56" s="166" t="s">
        <v>98</v>
      </c>
      <c r="E56" s="367" t="s">
        <v>997</v>
      </c>
      <c r="F56" s="367" t="s">
        <v>984</v>
      </c>
      <c r="G56" s="367">
        <v>400</v>
      </c>
      <c r="H56" s="367" t="s">
        <v>985</v>
      </c>
      <c r="I56" s="399">
        <v>46091</v>
      </c>
      <c r="J56" s="166" t="s">
        <v>986</v>
      </c>
      <c r="K56" s="400" t="str">
        <f>IFERROR(IF(VLOOKUP(D56,期货合约要素!$D:$Q,12,0)=0,"",VLOOKUP(D56,期货合约要素!$D:$Q,12,0)),IF(VLOOKUP(D56,期权合约要素!$D:$V,17,0)=0,"",VLOOKUP(D56,期权合约要素!$D:$V,17,0)))</f>
        <v>√</v>
      </c>
      <c r="L56" s="401" t="str">
        <f>IFERROR(IF(VLOOKUP(D56,期货合约要素!$D:$Q,14,0)=0,"",VLOOKUP(D56,期货合约要素!$D:$Q,14,0)),IF(VLOOKUP(D56,期权合约要素!$D:$V,19,0)=0,"",VLOOKUP(D56,期权合约要素!$D:$V,19,0)))</f>
        <v>√</v>
      </c>
    </row>
    <row r="57" s="20" customFormat="1" ht="35.1" customHeight="1" spans="2:12">
      <c r="B57" s="368"/>
      <c r="C57" s="369"/>
      <c r="D57" s="173"/>
      <c r="E57" s="370" t="s">
        <v>990</v>
      </c>
      <c r="F57" s="370" t="s">
        <v>984</v>
      </c>
      <c r="G57" s="370">
        <v>1600</v>
      </c>
      <c r="H57" s="370" t="s">
        <v>985</v>
      </c>
      <c r="I57" s="402">
        <v>46198</v>
      </c>
      <c r="J57" s="173"/>
      <c r="K57" s="392"/>
      <c r="L57" s="395"/>
    </row>
    <row r="58" s="20" customFormat="1" ht="35.1" customHeight="1" spans="2:12">
      <c r="B58" s="368"/>
      <c r="C58" s="361" t="s">
        <v>106</v>
      </c>
      <c r="D58" s="122" t="s">
        <v>107</v>
      </c>
      <c r="E58" s="370" t="s">
        <v>998</v>
      </c>
      <c r="F58" s="370" t="s">
        <v>984</v>
      </c>
      <c r="G58" s="370">
        <v>50</v>
      </c>
      <c r="H58" s="370" t="s">
        <v>985</v>
      </c>
      <c r="I58" s="402">
        <v>46085</v>
      </c>
      <c r="J58" s="173"/>
      <c r="K58" s="330" t="str">
        <f>IFERROR(IF(VLOOKUP(D58,期货合约要素!$D:$Q,12,0)=0,"",VLOOKUP(D58,期货合约要素!$D:$Q,12,0)),IF(VLOOKUP(D58,期权合约要素!$D:$V,17,0)=0,"",VLOOKUP(D58,期权合约要素!$D:$V,17,0)))</f>
        <v>√</v>
      </c>
      <c r="L58" s="391" t="str">
        <f>IFERROR(IF(VLOOKUP(D58,期货合约要素!$D:$Q,14,0)=0,"",VLOOKUP(D58,期货合约要素!$D:$Q,14,0)),IF(VLOOKUP(D58,期权合约要素!$D:$V,19,0)=0,"",VLOOKUP(D58,期权合约要素!$D:$V,19,0)))</f>
        <v>√</v>
      </c>
    </row>
    <row r="59" s="20" customFormat="1" ht="35.1" customHeight="1" spans="2:12">
      <c r="B59" s="368"/>
      <c r="C59" s="371"/>
      <c r="D59" s="372"/>
      <c r="E59" s="370" t="s">
        <v>990</v>
      </c>
      <c r="F59" s="370" t="s">
        <v>984</v>
      </c>
      <c r="G59" s="370">
        <v>200</v>
      </c>
      <c r="H59" s="370" t="s">
        <v>985</v>
      </c>
      <c r="I59" s="403">
        <v>45945</v>
      </c>
      <c r="J59" s="173"/>
      <c r="K59" s="392"/>
      <c r="L59" s="393"/>
    </row>
    <row r="60" s="20" customFormat="1" ht="35.1" customHeight="1" spans="2:12">
      <c r="B60" s="368"/>
      <c r="C60" s="369" t="s">
        <v>99</v>
      </c>
      <c r="D60" s="173" t="s">
        <v>100</v>
      </c>
      <c r="E60" s="370" t="s">
        <v>999</v>
      </c>
      <c r="F60" s="370" t="s">
        <v>984</v>
      </c>
      <c r="G60" s="370">
        <v>1500</v>
      </c>
      <c r="H60" s="370" t="s">
        <v>985</v>
      </c>
      <c r="I60" s="402">
        <v>46091</v>
      </c>
      <c r="J60" s="173"/>
      <c r="K60" s="404" t="str">
        <f>IFERROR(IF(VLOOKUP(D60,期货合约要素!$D:$Q,12,0)=0,"",VLOOKUP(D60,期货合约要素!$D:$Q,12,0)),IF(VLOOKUP(D60,期权合约要素!$D:$V,17,0)=0,"",VLOOKUP(D60,期权合约要素!$D:$V,17,0)))</f>
        <v>√</v>
      </c>
      <c r="L60" s="395" t="str">
        <f>IFERROR(IF(VLOOKUP(D60,期货合约要素!$D:$Q,14,0)=0,"",VLOOKUP(D60,期货合约要素!$D:$Q,14,0)),IF(VLOOKUP(D60,期权合约要素!$D:$V,19,0)=0,"",VLOOKUP(D60,期权合约要素!$D:$V,19,0)))</f>
        <v>√</v>
      </c>
    </row>
    <row r="61" s="20" customFormat="1" ht="35.1" customHeight="1" spans="2:12">
      <c r="B61" s="373"/>
      <c r="C61" s="374"/>
      <c r="D61" s="182"/>
      <c r="E61" s="375" t="s">
        <v>990</v>
      </c>
      <c r="F61" s="375" t="s">
        <v>984</v>
      </c>
      <c r="G61" s="375">
        <v>6000</v>
      </c>
      <c r="H61" s="375" t="s">
        <v>985</v>
      </c>
      <c r="I61" s="405">
        <v>46198</v>
      </c>
      <c r="J61" s="182"/>
      <c r="K61" s="406"/>
      <c r="L61" s="407"/>
    </row>
    <row r="62" s="20" customFormat="1" ht="35.1" customHeight="1" spans="2:256">
      <c r="B62" s="376" t="s">
        <v>46</v>
      </c>
      <c r="C62" s="359" t="s">
        <v>52</v>
      </c>
      <c r="D62" s="191" t="s">
        <v>53</v>
      </c>
      <c r="E62" s="367"/>
      <c r="F62" s="367" t="s">
        <v>984</v>
      </c>
      <c r="G62" s="367">
        <v>32000</v>
      </c>
      <c r="H62" s="367" t="s">
        <v>985</v>
      </c>
      <c r="I62" s="399">
        <v>45261</v>
      </c>
      <c r="J62" s="191" t="s">
        <v>986</v>
      </c>
      <c r="K62" s="408" t="str">
        <f>IFERROR(IF(VLOOKUP(D62,期货合约要素!$D:$Q,12,0)=0,"",VLOOKUP(D62,期货合约要素!$D:$Q,12,0)),IF(VLOOKUP(D62,期权合约要素!$D:$V,17,0)=0,"",VLOOKUP(D62,期权合约要素!$D:$V,17,0)))</f>
        <v>√</v>
      </c>
      <c r="L62" s="383" t="str">
        <f>IFERROR(IF(VLOOKUP(D62,期货合约要素!$D:$Q,14,0)=0,"",VLOOKUP(D62,期货合约要素!$D:$Q,14,0)),IF(VLOOKUP(D62,期权合约要素!$D:$V,19,0)=0,"",VLOOKUP(D62,期权合约要素!$D:$V,19,0)))</f>
        <v/>
      </c>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row>
    <row r="63" s="20" customFormat="1" ht="35.1" customHeight="1" spans="2:256">
      <c r="B63" s="377"/>
      <c r="C63" s="361" t="s">
        <v>60</v>
      </c>
      <c r="D63" s="122" t="s">
        <v>61</v>
      </c>
      <c r="E63" s="370" t="s">
        <v>1000</v>
      </c>
      <c r="F63" s="370" t="s">
        <v>984</v>
      </c>
      <c r="G63" s="370">
        <v>1500</v>
      </c>
      <c r="H63" s="370" t="s">
        <v>985</v>
      </c>
      <c r="I63" s="402">
        <v>46091</v>
      </c>
      <c r="J63" s="177"/>
      <c r="K63" s="409" t="str">
        <f>IFERROR(IF(VLOOKUP(D63,期货合约要素!$D:$Q,12,0)=0,"",VLOOKUP(D63,期货合约要素!$D:$Q,12,0)),IF(VLOOKUP(D63,期权合约要素!$D:$V,17,0)=0,"",VLOOKUP(D63,期权合约要素!$D:$V,17,0)))</f>
        <v>√</v>
      </c>
      <c r="L63" s="391" t="str">
        <f>IFERROR(IF(VLOOKUP(D63,期货合约要素!$D:$Q,14,0)=0,"",VLOOKUP(D63,期货合约要素!$D:$Q,14,0)),IF(VLOOKUP(D63,期权合约要素!$D:$V,19,0)=0,"",VLOOKUP(D63,期权合约要素!$D:$V,19,0)))</f>
        <v/>
      </c>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row>
    <row r="64" customFormat="1" ht="35.1" customHeight="1" spans="2:12">
      <c r="B64" s="377"/>
      <c r="C64" s="369"/>
      <c r="D64" s="173"/>
      <c r="E64" s="370" t="s">
        <v>990</v>
      </c>
      <c r="F64" s="370" t="s">
        <v>984</v>
      </c>
      <c r="G64" s="370">
        <v>6000</v>
      </c>
      <c r="H64" s="370" t="s">
        <v>985</v>
      </c>
      <c r="I64" s="402">
        <v>46198</v>
      </c>
      <c r="J64" s="177"/>
      <c r="K64" s="410"/>
      <c r="L64" s="393"/>
    </row>
    <row r="65" ht="35.1" customHeight="1" spans="2:12">
      <c r="B65" s="377"/>
      <c r="C65" s="362" t="s">
        <v>58</v>
      </c>
      <c r="D65" s="177" t="s">
        <v>59</v>
      </c>
      <c r="E65" s="370"/>
      <c r="F65" s="370" t="s">
        <v>984</v>
      </c>
      <c r="G65" s="370">
        <v>10000</v>
      </c>
      <c r="H65" s="370" t="s">
        <v>985</v>
      </c>
      <c r="I65" s="412">
        <v>45261</v>
      </c>
      <c r="J65" s="177"/>
      <c r="K65" s="413" t="str">
        <f>IFERROR(IF(VLOOKUP(D65,期货合约要素!$D:$Q,12,0)=0,"",VLOOKUP(D65,期货合约要素!$D:$Q,12,0)),IF(VLOOKUP(D65,期权合约要素!$D:$V,17,0)=0,"",VLOOKUP(D65,期权合约要素!$D:$V,17,0)))</f>
        <v>√</v>
      </c>
      <c r="L65" s="323" t="str">
        <f>IFERROR(IF(VLOOKUP(D65,期货合约要素!$D:$Q,14,0)=0,"",VLOOKUP(D65,期货合约要素!$D:$Q,14,0)),IF(VLOOKUP(D65,期权合约要素!$D:$V,19,0)=0,"",VLOOKUP(D65,期权合约要素!$D:$V,19,0)))</f>
        <v/>
      </c>
    </row>
    <row r="66" ht="35.1" customHeight="1" spans="2:12">
      <c r="B66" s="377"/>
      <c r="C66" s="362" t="s">
        <v>346</v>
      </c>
      <c r="D66" s="177" t="s">
        <v>69</v>
      </c>
      <c r="E66" s="370"/>
      <c r="F66" s="370" t="s">
        <v>984</v>
      </c>
      <c r="G66" s="370">
        <v>8000</v>
      </c>
      <c r="H66" s="370" t="s">
        <v>985</v>
      </c>
      <c r="I66" s="412"/>
      <c r="J66" s="177"/>
      <c r="K66" s="413" t="str">
        <f>IFERROR(IF(VLOOKUP(D66,期货合约要素!$D:$Q,12,0)=0,"",VLOOKUP(D66,期货合约要素!$D:$Q,12,0)),IF(VLOOKUP(D66,期权合约要素!$D:$V,17,0)=0,"",VLOOKUP(D66,期权合约要素!$D:$V,17,0)))</f>
        <v>√</v>
      </c>
      <c r="L66" s="323" t="str">
        <f>IFERROR(IF(VLOOKUP(D66,期货合约要素!$D:$Q,14,0)=0,"",VLOOKUP(D66,期货合约要素!$D:$Q,14,0)),IF(VLOOKUP(D66,期权合约要素!$D:$V,19,0)=0,"",VLOOKUP(D66,期权合约要素!$D:$V,19,0)))</f>
        <v/>
      </c>
    </row>
    <row r="67" ht="35.1" customHeight="1" spans="2:12">
      <c r="B67" s="377"/>
      <c r="C67" s="362" t="s">
        <v>64</v>
      </c>
      <c r="D67" s="177" t="s">
        <v>65</v>
      </c>
      <c r="E67" s="370"/>
      <c r="F67" s="370" t="s">
        <v>984</v>
      </c>
      <c r="G67" s="370">
        <v>6000</v>
      </c>
      <c r="H67" s="370" t="s">
        <v>985</v>
      </c>
      <c r="I67" s="412"/>
      <c r="J67" s="177"/>
      <c r="K67" s="413" t="str">
        <f>IFERROR(IF(VLOOKUP(D67,期货合约要素!$D:$Q,12,0)=0,"",VLOOKUP(D67,期货合约要素!$D:$Q,12,0)),IF(VLOOKUP(D67,期权合约要素!$D:$V,17,0)=0,"",VLOOKUP(D67,期权合约要素!$D:$V,17,0)))</f>
        <v>√</v>
      </c>
      <c r="L67" s="323" t="str">
        <f>IFERROR(IF(VLOOKUP(D67,期货合约要素!$D:$Q,14,0)=0,"",VLOOKUP(D67,期货合约要素!$D:$Q,14,0)),IF(VLOOKUP(D67,期权合约要素!$D:$V,19,0)=0,"",VLOOKUP(D67,期权合约要素!$D:$V,19,0)))</f>
        <v/>
      </c>
    </row>
    <row r="68" ht="35.1" customHeight="1" spans="2:12">
      <c r="B68" s="377"/>
      <c r="C68" s="362" t="s">
        <v>72</v>
      </c>
      <c r="D68" s="177" t="s">
        <v>73</v>
      </c>
      <c r="E68" s="370"/>
      <c r="F68" s="370" t="s">
        <v>984</v>
      </c>
      <c r="G68" s="370">
        <v>4000</v>
      </c>
      <c r="H68" s="370" t="s">
        <v>985</v>
      </c>
      <c r="I68" s="412"/>
      <c r="J68" s="177"/>
      <c r="K68" s="413" t="str">
        <f>IFERROR(IF(VLOOKUP(D68,期货合约要素!$D:$Q,12,0)=0,"",VLOOKUP(D68,期货合约要素!$D:$Q,12,0)),IF(VLOOKUP(D68,期权合约要素!$D:$V,17,0)=0,"",VLOOKUP(D68,期权合约要素!$D:$V,17,0)))</f>
        <v>√</v>
      </c>
      <c r="L68" s="323" t="str">
        <f>IFERROR(IF(VLOOKUP(D68,期货合约要素!$D:$Q,14,0)=0,"",VLOOKUP(D68,期货合约要素!$D:$Q,14,0)),IF(VLOOKUP(D68,期权合约要素!$D:$V,19,0)=0,"",VLOOKUP(D68,期权合约要素!$D:$V,19,0)))</f>
        <v/>
      </c>
    </row>
    <row r="69" ht="35.1" customHeight="1" spans="2:12">
      <c r="B69" s="377"/>
      <c r="C69" s="362" t="s">
        <v>79</v>
      </c>
      <c r="D69" s="177" t="s">
        <v>80</v>
      </c>
      <c r="E69" s="370"/>
      <c r="F69" s="370" t="s">
        <v>984</v>
      </c>
      <c r="G69" s="370">
        <v>3000</v>
      </c>
      <c r="H69" s="370" t="s">
        <v>985</v>
      </c>
      <c r="I69" s="414"/>
      <c r="J69" s="177"/>
      <c r="K69" s="413" t="str">
        <f>IFERROR(IF(VLOOKUP(D69,期货合约要素!$D:$Q,12,0)=0,"",VLOOKUP(D69,期货合约要素!$D:$Q,12,0)),IF(VLOOKUP(D69,期权合约要素!$D:$V,17,0)=0,"",VLOOKUP(D69,期权合约要素!$D:$V,17,0)))</f>
        <v>√</v>
      </c>
      <c r="L69" s="323" t="str">
        <f>IFERROR(IF(VLOOKUP(D69,期货合约要素!$D:$Q,14,0)=0,"",VLOOKUP(D69,期货合约要素!$D:$Q,14,0)),IF(VLOOKUP(D69,期权合约要素!$D:$V,19,0)=0,"",VLOOKUP(D69,期权合约要素!$D:$V,19,0)))</f>
        <v/>
      </c>
    </row>
    <row r="70" ht="35.1" customHeight="1" spans="2:12">
      <c r="B70" s="377"/>
      <c r="C70" s="361" t="s">
        <v>94</v>
      </c>
      <c r="D70" s="122" t="s">
        <v>95</v>
      </c>
      <c r="E70" s="177" t="s">
        <v>1001</v>
      </c>
      <c r="F70" s="177" t="s">
        <v>984</v>
      </c>
      <c r="G70" s="177">
        <v>800</v>
      </c>
      <c r="H70" s="177" t="s">
        <v>985</v>
      </c>
      <c r="I70" s="415">
        <v>46048</v>
      </c>
      <c r="J70" s="177"/>
      <c r="K70" s="409" t="str">
        <f>IFERROR(IF(VLOOKUP(D70,期货合约要素!$D:$Q,12,0)=0,"",VLOOKUP(D70,期货合约要素!$D:$Q,12,0)),IF(VLOOKUP(D70,期权合约要素!$D:$V,17,0)=0,"",VLOOKUP(D70,期权合约要素!$D:$V,17,0)))</f>
        <v>√</v>
      </c>
      <c r="L70" s="391" t="str">
        <f>IFERROR(IF(VLOOKUP(D70,期货合约要素!$D:$Q,14,0)=0,"",VLOOKUP(D70,期货合约要素!$D:$Q,14,0)),IF(VLOOKUP(D70,期权合约要素!$D:$V,19,0)=0,"",VLOOKUP(D70,期权合约要素!$D:$V,19,0)))</f>
        <v/>
      </c>
    </row>
    <row r="71" ht="35.1" customHeight="1" spans="2:12">
      <c r="B71" s="377"/>
      <c r="C71" s="369"/>
      <c r="D71" s="173"/>
      <c r="E71" s="177" t="s">
        <v>990</v>
      </c>
      <c r="F71" s="177" t="s">
        <v>984</v>
      </c>
      <c r="G71" s="177">
        <v>7000</v>
      </c>
      <c r="H71" s="177" t="s">
        <v>985</v>
      </c>
      <c r="I71" s="415">
        <v>46031</v>
      </c>
      <c r="J71" s="122"/>
      <c r="K71" s="404"/>
      <c r="L71" s="393"/>
    </row>
    <row r="72" ht="35.1" customHeight="1" spans="2:12">
      <c r="B72" s="377"/>
      <c r="C72" s="362" t="s">
        <v>91</v>
      </c>
      <c r="D72" s="177" t="s">
        <v>92</v>
      </c>
      <c r="E72" s="177"/>
      <c r="F72" s="177" t="s">
        <v>984</v>
      </c>
      <c r="G72" s="177">
        <v>2800</v>
      </c>
      <c r="H72" s="177" t="s">
        <v>985</v>
      </c>
      <c r="I72" s="415">
        <v>45394</v>
      </c>
      <c r="J72" s="122"/>
      <c r="K72" s="413" t="str">
        <f>IFERROR(IF(VLOOKUP(D72,期货合约要素!$D:$Q,12,0)=0,"",VLOOKUP(D72,期货合约要素!$D:$Q,12,0)),IF(VLOOKUP(D72,期权合约要素!$D:$V,17,0)=0,"",VLOOKUP(D72,期权合约要素!$D:$V,17,0)))</f>
        <v>√</v>
      </c>
      <c r="L72" s="323" t="str">
        <f>IFERROR(IF(VLOOKUP(D72,期货合约要素!$D:$Q,14,0)=0,"",VLOOKUP(D72,期货合约要素!$D:$Q,14,0)),IF(VLOOKUP(D72,期权合约要素!$D:$V,19,0)=0,"",VLOOKUP(D72,期权合约要素!$D:$V,19,0)))</f>
        <v/>
      </c>
    </row>
    <row r="73" ht="35.1" customHeight="1" spans="2:12">
      <c r="B73" s="377"/>
      <c r="C73" s="362" t="s">
        <v>75</v>
      </c>
      <c r="D73" s="177" t="s">
        <v>76</v>
      </c>
      <c r="E73" s="177"/>
      <c r="F73" s="177" t="s">
        <v>984</v>
      </c>
      <c r="G73" s="177">
        <v>2000</v>
      </c>
      <c r="H73" s="177" t="s">
        <v>985</v>
      </c>
      <c r="I73" s="415"/>
      <c r="J73" s="191"/>
      <c r="K73" s="413" t="str">
        <f>IFERROR(IF(VLOOKUP(D73,期货合约要素!$D:$Q,12,0)=0,"",VLOOKUP(D73,期货合约要素!$D:$Q,12,0)),IF(VLOOKUP(D73,期权合约要素!$D:$V,17,0)=0,"",VLOOKUP(D73,期权合约要素!$D:$V,17,0)))</f>
        <v>√</v>
      </c>
      <c r="L73" s="323" t="str">
        <f>IFERROR(IF(VLOOKUP(D73,期货合约要素!$D:$Q,14,0)=0,"",VLOOKUP(D73,期货合约要素!$D:$Q,14,0)),IF(VLOOKUP(D73,期权合约要素!$D:$V,19,0)=0,"",VLOOKUP(D73,期权合约要素!$D:$V,19,0)))</f>
        <v/>
      </c>
    </row>
    <row r="74" ht="35.1" customHeight="1" spans="2:12">
      <c r="B74" s="377"/>
      <c r="C74" s="361" t="s">
        <v>83</v>
      </c>
      <c r="D74" s="122" t="s">
        <v>84</v>
      </c>
      <c r="E74" s="122" t="s">
        <v>1002</v>
      </c>
      <c r="F74" s="177" t="s">
        <v>984</v>
      </c>
      <c r="G74" s="122">
        <v>2500</v>
      </c>
      <c r="H74" s="177" t="s">
        <v>985</v>
      </c>
      <c r="I74" s="415">
        <v>46042</v>
      </c>
      <c r="J74" s="173"/>
      <c r="K74" s="413" t="str">
        <f>IFERROR(IF(VLOOKUP(D74,期货合约要素!$D:$Q,12,0)=0,"",VLOOKUP(D74,期货合约要素!$D:$Q,12,0)),IF(VLOOKUP(D74,期权合约要素!$D:$V,17,0)=0,"",VLOOKUP(D74,期权合约要素!$D:$V,17,0)))</f>
        <v>√</v>
      </c>
      <c r="L74" s="323" t="str">
        <f>IFERROR(IF(VLOOKUP(D74,期货合约要素!$D:$Q,14,0)=0,"",VLOOKUP(D74,期货合约要素!$D:$Q,14,0)),IF(VLOOKUP(D74,期权合约要素!$D:$V,19,0)=0,"",VLOOKUP(D74,期权合约要素!$D:$V,19,0)))</f>
        <v>√</v>
      </c>
    </row>
    <row r="75" ht="35.1" customHeight="1" spans="2:12">
      <c r="B75" s="377"/>
      <c r="C75" s="361" t="s">
        <v>85</v>
      </c>
      <c r="D75" s="122" t="s">
        <v>86</v>
      </c>
      <c r="E75" s="122" t="s">
        <v>1003</v>
      </c>
      <c r="F75" s="122" t="s">
        <v>984</v>
      </c>
      <c r="G75" s="122">
        <v>200</v>
      </c>
      <c r="H75" s="122" t="s">
        <v>985</v>
      </c>
      <c r="I75" s="416">
        <v>46048</v>
      </c>
      <c r="J75" s="173"/>
      <c r="K75" s="409" t="str">
        <f>IFERROR(IF(VLOOKUP(D75,期货合约要素!$D:$Q,12,0)=0,"",VLOOKUP(D75,期货合约要素!$D:$Q,12,0)),IF(VLOOKUP(D75,期权合约要素!$D:$V,17,0)=0,"",VLOOKUP(D75,期权合约要素!$D:$V,17,0)))</f>
        <v>√</v>
      </c>
      <c r="L75" s="391" t="str">
        <f>IFERROR(IF(VLOOKUP(D75,期货合约要素!$D:$Q,14,0)=0,"",VLOOKUP(D75,期货合约要素!$D:$Q,14,0)),IF(VLOOKUP(D75,期权合约要素!$D:$V,19,0)=0,"",VLOOKUP(D75,期权合约要素!$D:$V,19,0)))</f>
        <v/>
      </c>
    </row>
    <row r="76" ht="35.1" customHeight="1" spans="2:12">
      <c r="B76" s="411"/>
      <c r="C76" s="374"/>
      <c r="D76" s="182"/>
      <c r="E76" s="196" t="s">
        <v>990</v>
      </c>
      <c r="F76" s="196" t="s">
        <v>984</v>
      </c>
      <c r="G76" s="196">
        <v>800</v>
      </c>
      <c r="H76" s="196" t="s">
        <v>985</v>
      </c>
      <c r="I76" s="417">
        <v>46038</v>
      </c>
      <c r="J76" s="196"/>
      <c r="K76" s="406"/>
      <c r="L76" s="407"/>
    </row>
  </sheetData>
  <mergeCells count="51">
    <mergeCell ref="A1:C1"/>
    <mergeCell ref="B2:L2"/>
    <mergeCell ref="B4:B10"/>
    <mergeCell ref="B11:B28"/>
    <mergeCell ref="B29:B35"/>
    <mergeCell ref="B36:B55"/>
    <mergeCell ref="B56:B61"/>
    <mergeCell ref="B62:B76"/>
    <mergeCell ref="C30:C31"/>
    <mergeCell ref="C32:C33"/>
    <mergeCell ref="C56:C57"/>
    <mergeCell ref="C58:C59"/>
    <mergeCell ref="C60:C61"/>
    <mergeCell ref="C63:C64"/>
    <mergeCell ref="C70:C71"/>
    <mergeCell ref="C75:C76"/>
    <mergeCell ref="D30:D31"/>
    <mergeCell ref="D32:D33"/>
    <mergeCell ref="D56:D57"/>
    <mergeCell ref="D58:D59"/>
    <mergeCell ref="D60:D61"/>
    <mergeCell ref="D63:D64"/>
    <mergeCell ref="D70:D71"/>
    <mergeCell ref="D75:D76"/>
    <mergeCell ref="I37:I42"/>
    <mergeCell ref="I65:I69"/>
    <mergeCell ref="I72:I73"/>
    <mergeCell ref="J4:J10"/>
    <mergeCell ref="J11:J25"/>
    <mergeCell ref="J26:J28"/>
    <mergeCell ref="J29:J35"/>
    <mergeCell ref="J36:J45"/>
    <mergeCell ref="J46:J55"/>
    <mergeCell ref="J56:J61"/>
    <mergeCell ref="J62:J76"/>
    <mergeCell ref="K30:K31"/>
    <mergeCell ref="K32:K33"/>
    <mergeCell ref="K56:K57"/>
    <mergeCell ref="K58:K59"/>
    <mergeCell ref="K60:K61"/>
    <mergeCell ref="K63:K64"/>
    <mergeCell ref="K70:K71"/>
    <mergeCell ref="K75:K76"/>
    <mergeCell ref="L30:L31"/>
    <mergeCell ref="L32:L33"/>
    <mergeCell ref="L56:L57"/>
    <mergeCell ref="L58:L59"/>
    <mergeCell ref="L60:L61"/>
    <mergeCell ref="L63:L64"/>
    <mergeCell ref="L70:L71"/>
    <mergeCell ref="L75:L76"/>
  </mergeCells>
  <hyperlinks>
    <hyperlink ref="A1" location="'目录'!A1" display="点此返回目录"/>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O18" sqref="O18"/>
    </sheetView>
  </sheetViews>
  <sheetFormatPr defaultColWidth="8.88333333333333" defaultRowHeight="14.25" outlineLevelCol="7"/>
  <cols>
    <col min="2" max="2" width="14.6333333333333" customWidth="1"/>
    <col min="3" max="3" width="28.8833333333333" customWidth="1"/>
    <col min="4" max="4" width="21.3833333333333" customWidth="1"/>
    <col min="5" max="5" width="29.3833333333333" customWidth="1"/>
    <col min="6" max="6" width="28.3833333333333" customWidth="1"/>
    <col min="7" max="7" width="14.6333333333333" customWidth="1"/>
    <col min="8" max="8" width="13.25" customWidth="1"/>
  </cols>
  <sheetData>
    <row r="1" ht="26.25" spans="1:3">
      <c r="A1" s="21" t="s">
        <v>33</v>
      </c>
      <c r="B1" s="21"/>
      <c r="C1" s="232"/>
    </row>
    <row r="2" ht="33.95" customHeight="1" spans="2:8">
      <c r="B2" s="312" t="s">
        <v>1004</v>
      </c>
      <c r="C2" s="313"/>
      <c r="D2" s="313"/>
      <c r="E2" s="313"/>
      <c r="F2" s="313"/>
      <c r="G2" s="313"/>
      <c r="H2" s="314"/>
    </row>
    <row r="3" ht="24" customHeight="1" spans="2:8">
      <c r="B3" s="315" t="s">
        <v>35</v>
      </c>
      <c r="C3" s="316" t="s">
        <v>36</v>
      </c>
      <c r="D3" s="316" t="s">
        <v>37</v>
      </c>
      <c r="E3" s="316" t="s">
        <v>1005</v>
      </c>
      <c r="F3" s="316" t="s">
        <v>1006</v>
      </c>
      <c r="G3" s="317" t="s">
        <v>40</v>
      </c>
      <c r="H3" s="318" t="s">
        <v>41</v>
      </c>
    </row>
    <row r="4" ht="27.95" customHeight="1" spans="2:8">
      <c r="B4" s="319" t="s">
        <v>220</v>
      </c>
      <c r="C4" s="320" t="s">
        <v>225</v>
      </c>
      <c r="D4" s="10" t="s">
        <v>226</v>
      </c>
      <c r="E4" s="321" t="s">
        <v>989</v>
      </c>
      <c r="F4" s="12" t="s">
        <v>1007</v>
      </c>
      <c r="G4" s="322" t="str">
        <f>IFERROR(IF(VLOOKUP(D4,期货合约要素!$D:$Q,12,0)=0,"",VLOOKUP(D4,期货合约要素!$D:$Q,12,0)),IF(VLOOKUP(D4,期权合约要素!$D:$V,17,0)=0,"",VLOOKUP(D4,期权合约要素!$D:$V,17,0)))</f>
        <v>√</v>
      </c>
      <c r="H4" s="323" t="str">
        <f>IFERROR(IF(VLOOKUP(D4,期货合约要素!$D:$Q,14,0)=0,"",VLOOKUP(D4,期货合约要素!$D:$Q,14,0)),IF(VLOOKUP(D4,期权合约要素!$D:$V,19,0)=0,"",VLOOKUP(D4,期权合约要素!$D:$V,19,0)))</f>
        <v/>
      </c>
    </row>
    <row r="5" ht="27.95" customHeight="1" spans="2:8">
      <c r="B5" s="319"/>
      <c r="C5" s="320" t="s">
        <v>223</v>
      </c>
      <c r="D5" s="10" t="s">
        <v>224</v>
      </c>
      <c r="E5" s="321" t="s">
        <v>991</v>
      </c>
      <c r="F5" s="12"/>
      <c r="G5" s="322" t="str">
        <f>IFERROR(IF(VLOOKUP(D5,期货合约要素!$D:$Q,12,0)=0,"",VLOOKUP(D5,期货合约要素!$D:$Q,12,0)),IF(VLOOKUP(D5,期权合约要素!$D:$V,17,0)=0,"",VLOOKUP(D5,期权合约要素!$D:$V,17,0)))</f>
        <v>√</v>
      </c>
      <c r="H5" s="323" t="str">
        <f>IFERROR(IF(VLOOKUP(D5,期货合约要素!$D:$Q,14,0)=0,"",VLOOKUP(D5,期货合约要素!$D:$Q,14,0)),IF(VLOOKUP(D5,期权合约要素!$D:$V,19,0)=0,"",VLOOKUP(D5,期权合约要素!$D:$V,19,0)))</f>
        <v>√</v>
      </c>
    </row>
    <row r="6" ht="27.95" customHeight="1" spans="2:8">
      <c r="B6" s="319"/>
      <c r="C6" s="320" t="s">
        <v>1008</v>
      </c>
      <c r="D6" s="10" t="s">
        <v>985</v>
      </c>
      <c r="E6" s="177" t="s">
        <v>1009</v>
      </c>
      <c r="F6" s="324" t="s">
        <v>1010</v>
      </c>
      <c r="G6" s="322"/>
      <c r="H6" s="323"/>
    </row>
    <row r="7" ht="27.95" customHeight="1" spans="2:8">
      <c r="B7" s="325" t="s">
        <v>163</v>
      </c>
      <c r="C7" s="320" t="s">
        <v>210</v>
      </c>
      <c r="D7" s="10" t="s">
        <v>211</v>
      </c>
      <c r="E7" s="177" t="s">
        <v>984</v>
      </c>
      <c r="F7" s="324" t="s">
        <v>1011</v>
      </c>
      <c r="G7" s="322" t="str">
        <f>IFERROR(IF(VLOOKUP(D7,期货合约要素!$D:$Q,12,0)=0,"",VLOOKUP(D7,期货合约要素!$D:$Q,12,0)),IF(VLOOKUP(D7,期权合约要素!$D:$V,17,0)=0,"",VLOOKUP(D7,期权合约要素!$D:$V,17,0)))</f>
        <v/>
      </c>
      <c r="H7" s="323" t="str">
        <f>IFERROR(IF(VLOOKUP(D7,期货合约要素!$D:$Q,14,0)=0,"",VLOOKUP(D7,期货合约要素!$D:$Q,14,0)),IF(VLOOKUP(D7,期权合约要素!$D:$V,19,0)=0,"",VLOOKUP(D7,期权合约要素!$D:$V,19,0)))</f>
        <v/>
      </c>
    </row>
    <row r="8" ht="27.95" customHeight="1" spans="2:8">
      <c r="B8" s="325"/>
      <c r="C8" s="320" t="s">
        <v>198</v>
      </c>
      <c r="D8" s="10" t="s">
        <v>199</v>
      </c>
      <c r="E8" s="177" t="s">
        <v>984</v>
      </c>
      <c r="F8" s="326"/>
      <c r="G8" s="322" t="str">
        <f>IFERROR(IF(VLOOKUP(D8,期货合约要素!$D:$Q,12,0)=0,"",VLOOKUP(D8,期货合约要素!$D:$Q,12,0)),IF(VLOOKUP(D8,期权合约要素!$D:$V,17,0)=0,"",VLOOKUP(D8,期权合约要素!$D:$V,17,0)))</f>
        <v/>
      </c>
      <c r="H8" s="323" t="str">
        <f>IFERROR(IF(VLOOKUP(D8,期货合约要素!$D:$Q,14,0)=0,"",VLOOKUP(D8,期货合约要素!$D:$Q,14,0)),IF(VLOOKUP(D8,期权合约要素!$D:$V,19,0)=0,"",VLOOKUP(D8,期权合约要素!$D:$V,19,0)))</f>
        <v/>
      </c>
    </row>
    <row r="9" ht="27.95" customHeight="1" spans="2:8">
      <c r="B9" s="325"/>
      <c r="C9" s="320" t="s">
        <v>218</v>
      </c>
      <c r="D9" s="10" t="s">
        <v>219</v>
      </c>
      <c r="E9" s="177" t="s">
        <v>984</v>
      </c>
      <c r="F9" s="326"/>
      <c r="G9" s="322" t="str">
        <f>IFERROR(IF(VLOOKUP(D9,期货合约要素!$D:$Q,12,0)=0,"",VLOOKUP(D9,期货合约要素!$D:$Q,12,0)),IF(VLOOKUP(D9,期权合约要素!$D:$V,17,0)=0,"",VLOOKUP(D9,期权合约要素!$D:$V,17,0)))</f>
        <v/>
      </c>
      <c r="H9" s="323" t="str">
        <f>IFERROR(IF(VLOOKUP(D9,期货合约要素!$D:$Q,14,0)=0,"",VLOOKUP(D9,期货合约要素!$D:$Q,14,0)),IF(VLOOKUP(D9,期权合约要素!$D:$V,19,0)=0,"",VLOOKUP(D9,期权合约要素!$D:$V,19,0)))</f>
        <v/>
      </c>
    </row>
    <row r="10" ht="27.95" customHeight="1" spans="2:8">
      <c r="B10" s="325"/>
      <c r="C10" s="320" t="s">
        <v>216</v>
      </c>
      <c r="D10" s="10" t="s">
        <v>217</v>
      </c>
      <c r="E10" s="177" t="s">
        <v>984</v>
      </c>
      <c r="F10" s="326"/>
      <c r="G10" s="322" t="str">
        <f>IFERROR(IF(VLOOKUP(D10,期货合约要素!$D:$Q,12,0)=0,"",VLOOKUP(D10,期货合约要素!$D:$Q,12,0)),IF(VLOOKUP(D10,期权合约要素!$D:$V,17,0)=0,"",VLOOKUP(D10,期权合约要素!$D:$V,17,0)))</f>
        <v/>
      </c>
      <c r="H10" s="323" t="str">
        <f>IFERROR(IF(VLOOKUP(D10,期货合约要素!$D:$Q,14,0)=0,"",VLOOKUP(D10,期货合约要素!$D:$Q,14,0)),IF(VLOOKUP(D10,期权合约要素!$D:$V,19,0)=0,"",VLOOKUP(D10,期权合约要素!$D:$V,19,0)))</f>
        <v/>
      </c>
    </row>
    <row r="11" ht="27.95" customHeight="1" spans="2:8">
      <c r="B11" s="325"/>
      <c r="C11" s="320" t="s">
        <v>200</v>
      </c>
      <c r="D11" s="10" t="s">
        <v>201</v>
      </c>
      <c r="E11" s="177" t="s">
        <v>984</v>
      </c>
      <c r="F11" s="326"/>
      <c r="G11" s="322" t="str">
        <f>IFERROR(IF(VLOOKUP(D11,期货合约要素!$D:$Q,12,0)=0,"",VLOOKUP(D11,期货合约要素!$D:$Q,12,0)),IF(VLOOKUP(D11,期权合约要素!$D:$V,17,0)=0,"",VLOOKUP(D11,期权合约要素!$D:$V,17,0)))</f>
        <v/>
      </c>
      <c r="H11" s="323" t="str">
        <f>IFERROR(IF(VLOOKUP(D11,期货合约要素!$D:$Q,14,0)=0,"",VLOOKUP(D11,期货合约要素!$D:$Q,14,0)),IF(VLOOKUP(D11,期权合约要素!$D:$V,19,0)=0,"",VLOOKUP(D11,期权合约要素!$D:$V,19,0)))</f>
        <v/>
      </c>
    </row>
    <row r="12" ht="27.95" customHeight="1" spans="2:8">
      <c r="B12" s="325"/>
      <c r="C12" s="320" t="s">
        <v>176</v>
      </c>
      <c r="D12" s="10" t="s">
        <v>177</v>
      </c>
      <c r="E12" s="177" t="s">
        <v>1012</v>
      </c>
      <c r="F12" s="12" t="s">
        <v>1013</v>
      </c>
      <c r="G12" s="322" t="str">
        <f>IFERROR(IF(VLOOKUP(D12,期货合约要素!$D:$Q,12,0)=0,"",VLOOKUP(D12,期货合约要素!$D:$Q,12,0)),IF(VLOOKUP(D12,期权合约要素!$D:$V,17,0)=0,"",VLOOKUP(D12,期权合约要素!$D:$V,17,0)))</f>
        <v>√</v>
      </c>
      <c r="H12" s="327" t="str">
        <f>IFERROR(IF(VLOOKUP(D12,期货合约要素!$D:$Q,14,0)=0,"",VLOOKUP(D12,期货合约要素!$D:$Q,14,0)),IF(VLOOKUP(D12,期权合约要素!$D:$V,19,0)=0,"",VLOOKUP(D12,期权合约要素!$D:$V,19,0)))</f>
        <v/>
      </c>
    </row>
    <row r="13" ht="27.95" customHeight="1" spans="2:8">
      <c r="B13" s="325"/>
      <c r="C13" s="328" t="s">
        <v>186</v>
      </c>
      <c r="D13" s="329" t="s">
        <v>187</v>
      </c>
      <c r="E13" s="177" t="s">
        <v>1014</v>
      </c>
      <c r="F13" s="12" t="s">
        <v>1015</v>
      </c>
      <c r="G13" s="330" t="str">
        <f>IFERROR(IF(VLOOKUP(D13,期货合约要素!$D:$Q,12,0)=0,"",VLOOKUP(D13,期货合约要素!$D:$Q,12,0)),IF(VLOOKUP(D13,期权合约要素!$D:$V,17,0)=0,"",VLOOKUP(D13,期权合约要素!$D:$V,17,0)))</f>
        <v>√</v>
      </c>
      <c r="H13" s="331" t="str">
        <f>IFERROR(IF(VLOOKUP(D13,期货合约要素!$D:$Q,14,0)=0,"",VLOOKUP(D13,期货合约要素!$D:$Q,14,0)),IF(VLOOKUP(D13,期权合约要素!$D:$V,19,0)=0,"",VLOOKUP(D13,期权合约要素!$D:$V,19,0)))</f>
        <v>√</v>
      </c>
    </row>
    <row r="14" ht="27.95" customHeight="1" spans="2:8">
      <c r="B14" s="325"/>
      <c r="C14" s="320" t="s">
        <v>192</v>
      </c>
      <c r="D14" s="10" t="s">
        <v>193</v>
      </c>
      <c r="E14" s="177" t="s">
        <v>984</v>
      </c>
      <c r="F14" s="12" t="s">
        <v>1013</v>
      </c>
      <c r="G14" s="322" t="str">
        <f>IFERROR(IF(VLOOKUP(D14,期货合约要素!$D:$Q,12,0)=0,"",VLOOKUP(D14,期货合约要素!$D:$Q,12,0)),IF(VLOOKUP(D14,期权合约要素!$D:$V,17,0)=0,"",VLOOKUP(D14,期权合约要素!$D:$V,17,0)))</f>
        <v/>
      </c>
      <c r="H14" s="323" t="str">
        <f>IFERROR(IF(VLOOKUP(D14,期货合约要素!$D:$Q,14,0)=0,"",VLOOKUP(D14,期货合约要素!$D:$Q,14,0)),IF(VLOOKUP(D14,期权合约要素!$D:$V,19,0)=0,"",VLOOKUP(D14,期权合约要素!$D:$V,19,0)))</f>
        <v/>
      </c>
    </row>
    <row r="15" ht="27.95" customHeight="1" spans="2:8">
      <c r="B15" s="325"/>
      <c r="C15" s="320" t="s">
        <v>1008</v>
      </c>
      <c r="D15" s="10" t="s">
        <v>985</v>
      </c>
      <c r="E15" s="177" t="s">
        <v>1009</v>
      </c>
      <c r="F15" s="324" t="s">
        <v>1010</v>
      </c>
      <c r="G15" s="322"/>
      <c r="H15" s="323"/>
    </row>
    <row r="16" ht="27.95" customHeight="1" spans="2:8">
      <c r="B16" s="332" t="s">
        <v>1016</v>
      </c>
      <c r="C16" s="320" t="s">
        <v>1017</v>
      </c>
      <c r="D16" s="10" t="s">
        <v>985</v>
      </c>
      <c r="E16" s="177" t="s">
        <v>1009</v>
      </c>
      <c r="F16" s="324" t="s">
        <v>1010</v>
      </c>
      <c r="G16" s="322"/>
      <c r="H16" s="323"/>
    </row>
    <row r="17" ht="39.95" customHeight="1" spans="2:8">
      <c r="B17" s="333" t="s">
        <v>1018</v>
      </c>
      <c r="C17" s="334"/>
      <c r="D17" s="334"/>
      <c r="E17" s="334"/>
      <c r="F17" s="334"/>
      <c r="G17" s="334"/>
      <c r="H17" s="335"/>
    </row>
  </sheetData>
  <mergeCells count="7">
    <mergeCell ref="A1:B1"/>
    <mergeCell ref="B2:H2"/>
    <mergeCell ref="B17:H17"/>
    <mergeCell ref="B4:B6"/>
    <mergeCell ref="B7:B15"/>
    <mergeCell ref="F4:F5"/>
    <mergeCell ref="F7:F11"/>
  </mergeCells>
  <hyperlinks>
    <hyperlink ref="A1" location="'目录'!A1" display="点此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G23"/>
  <sheetViews>
    <sheetView tabSelected="1" zoomScale="55" zoomScaleNormal="55" workbookViewId="0">
      <pane ySplit="4" topLeftCell="A12" activePane="bottomLeft" state="frozen"/>
      <selection/>
      <selection pane="bottomLeft" activeCell="J17" sqref="J17"/>
    </sheetView>
  </sheetViews>
  <sheetFormatPr defaultColWidth="9" defaultRowHeight="14.25" outlineLevelCol="6"/>
  <cols>
    <col min="1" max="1" width="10.8833333333333" style="227" customWidth="1"/>
    <col min="2" max="2" width="50.8833333333333" style="229" customWidth="1"/>
    <col min="3" max="3" width="69.75" style="230" customWidth="1"/>
    <col min="4" max="4" width="77.3833333333333" style="230" customWidth="1"/>
    <col min="5" max="5" width="52.5" style="230" customWidth="1"/>
    <col min="6" max="6" width="74.3833333333333" style="230" customWidth="1"/>
    <col min="7" max="7" width="95.5" style="230" customWidth="1"/>
    <col min="8" max="26" width="9" style="227"/>
  </cols>
  <sheetData>
    <row r="1" ht="33" customHeight="1" spans="2:3">
      <c r="B1" s="231" t="s">
        <v>33</v>
      </c>
      <c r="C1" s="232"/>
    </row>
    <row r="2" s="227" customFormat="1" ht="75.75" customHeight="1" spans="2:7">
      <c r="B2" s="233" t="s">
        <v>1019</v>
      </c>
      <c r="C2" s="234"/>
      <c r="D2" s="235"/>
      <c r="E2" s="235"/>
      <c r="F2" s="235"/>
      <c r="G2" s="235"/>
    </row>
    <row r="3" s="227" customFormat="1" ht="15" customHeight="1" spans="2:7">
      <c r="B3" s="236"/>
      <c r="C3" s="235"/>
      <c r="D3" s="235"/>
      <c r="E3" s="235"/>
      <c r="F3" s="235"/>
      <c r="G3" s="235"/>
    </row>
    <row r="4" s="227" customFormat="1" ht="66" customHeight="1" spans="2:7">
      <c r="B4" s="237" t="s">
        <v>1020</v>
      </c>
      <c r="C4" s="238" t="s">
        <v>231</v>
      </c>
      <c r="D4" s="238" t="s">
        <v>1021</v>
      </c>
      <c r="E4" s="239" t="s">
        <v>1022</v>
      </c>
      <c r="F4" s="240"/>
      <c r="G4" s="241" t="s">
        <v>163</v>
      </c>
    </row>
    <row r="5" s="227" customFormat="1" ht="49.5" customHeight="1" spans="2:7">
      <c r="B5" s="242" t="s">
        <v>1023</v>
      </c>
      <c r="C5" s="243" t="s">
        <v>1024</v>
      </c>
      <c r="D5" s="243" t="s">
        <v>1024</v>
      </c>
      <c r="E5" s="244" t="s">
        <v>1024</v>
      </c>
      <c r="F5" s="245"/>
      <c r="G5" s="246" t="s">
        <v>1024</v>
      </c>
    </row>
    <row r="6" s="227" customFormat="1" ht="49.5" customHeight="1" spans="2:7">
      <c r="B6" s="247" t="s">
        <v>1025</v>
      </c>
      <c r="C6" s="248" t="s">
        <v>1026</v>
      </c>
      <c r="D6" s="248" t="s">
        <v>1027</v>
      </c>
      <c r="E6" s="249" t="s">
        <v>1028</v>
      </c>
      <c r="F6" s="250" t="s">
        <v>1029</v>
      </c>
      <c r="G6" s="251" t="s">
        <v>1027</v>
      </c>
    </row>
    <row r="7" s="227" customFormat="1" ht="49.5" customHeight="1" spans="2:7">
      <c r="B7" s="247" t="s">
        <v>1030</v>
      </c>
      <c r="C7" s="248" t="s">
        <v>1026</v>
      </c>
      <c r="D7" s="248" t="s">
        <v>1027</v>
      </c>
      <c r="E7" s="248" t="s">
        <v>1027</v>
      </c>
      <c r="F7" s="248" t="s">
        <v>1027</v>
      </c>
      <c r="G7" s="251" t="s">
        <v>1027</v>
      </c>
    </row>
    <row r="8" s="227" customFormat="1" ht="67.5" customHeight="1" spans="2:7">
      <c r="B8" s="252" t="s">
        <v>1031</v>
      </c>
      <c r="C8" s="253" t="s">
        <v>1032</v>
      </c>
      <c r="D8" s="254" t="s">
        <v>1033</v>
      </c>
      <c r="E8" s="255" t="s">
        <v>1033</v>
      </c>
      <c r="F8" s="256"/>
      <c r="G8" s="257" t="s">
        <v>1033</v>
      </c>
    </row>
    <row r="9" s="227" customFormat="1" ht="68.1" customHeight="1" spans="2:7">
      <c r="B9" s="252" t="s">
        <v>1034</v>
      </c>
      <c r="C9" s="258" t="s">
        <v>1035</v>
      </c>
      <c r="D9" s="258" t="s">
        <v>1036</v>
      </c>
      <c r="E9" s="259" t="s">
        <v>1037</v>
      </c>
      <c r="F9" s="260"/>
      <c r="G9" s="261" t="s">
        <v>1038</v>
      </c>
    </row>
    <row r="10" s="227" customFormat="1" ht="208.5" customHeight="1" spans="2:7">
      <c r="B10" s="262" t="s">
        <v>1039</v>
      </c>
      <c r="C10" s="263" t="s">
        <v>1040</v>
      </c>
      <c r="D10" s="264"/>
      <c r="E10" s="264"/>
      <c r="F10" s="264"/>
      <c r="G10" s="265"/>
    </row>
    <row r="11" s="227" customFormat="1" ht="240.95" customHeight="1" spans="2:7">
      <c r="B11" s="266" t="s">
        <v>1041</v>
      </c>
      <c r="C11" s="267" t="s">
        <v>1042</v>
      </c>
      <c r="D11" s="268" t="s">
        <v>1043</v>
      </c>
      <c r="E11" s="269" t="s">
        <v>1044</v>
      </c>
      <c r="F11" s="270"/>
      <c r="G11" s="271" t="s">
        <v>1045</v>
      </c>
    </row>
    <row r="12" s="227" customFormat="1" ht="50.1" customHeight="1" spans="2:7">
      <c r="B12" s="272"/>
      <c r="C12" s="273" t="s">
        <v>1046</v>
      </c>
      <c r="D12" s="273"/>
      <c r="E12" s="273"/>
      <c r="F12" s="273"/>
      <c r="G12" s="274"/>
    </row>
    <row r="13" s="227" customFormat="1" ht="48.95" customHeight="1" spans="2:7">
      <c r="B13" s="275"/>
      <c r="C13" s="276" t="s">
        <v>1047</v>
      </c>
      <c r="D13" s="276"/>
      <c r="E13" s="276"/>
      <c r="F13" s="277"/>
      <c r="G13" s="278"/>
    </row>
    <row r="14" s="227" customFormat="1" ht="57.95" customHeight="1" spans="2:7">
      <c r="B14" s="252" t="s">
        <v>1048</v>
      </c>
      <c r="C14" s="279" t="s">
        <v>1049</v>
      </c>
      <c r="D14" s="280"/>
      <c r="E14" s="280"/>
      <c r="F14" s="280"/>
      <c r="G14" s="246" t="s">
        <v>1050</v>
      </c>
    </row>
    <row r="15" s="227" customFormat="1" ht="171.95" customHeight="1" spans="2:7">
      <c r="B15" s="281" t="s">
        <v>1051</v>
      </c>
      <c r="C15" s="282" t="s">
        <v>1052</v>
      </c>
      <c r="D15" s="283"/>
      <c r="E15" s="283"/>
      <c r="F15" s="283"/>
      <c r="G15" s="284" t="s">
        <v>1053</v>
      </c>
    </row>
    <row r="16" s="227" customFormat="1" ht="278.1" customHeight="1" spans="2:7">
      <c r="B16" s="285" t="s">
        <v>1054</v>
      </c>
      <c r="C16" s="286" t="s">
        <v>1055</v>
      </c>
      <c r="D16" s="287" t="s">
        <v>1056</v>
      </c>
      <c r="E16" s="288" t="s">
        <v>1057</v>
      </c>
      <c r="F16" s="289"/>
      <c r="G16" s="290" t="s">
        <v>1058</v>
      </c>
    </row>
    <row r="17" s="227" customFormat="1" ht="408.95" customHeight="1" spans="2:7">
      <c r="B17" s="285"/>
      <c r="C17" s="286"/>
      <c r="D17" s="287"/>
      <c r="E17" s="291" t="s">
        <v>1059</v>
      </c>
      <c r="F17" s="292"/>
      <c r="G17" s="290"/>
    </row>
    <row r="18" s="227" customFormat="1" ht="237.95" customHeight="1" spans="2:7">
      <c r="B18" s="281" t="s">
        <v>1060</v>
      </c>
      <c r="C18" s="293" t="s">
        <v>1061</v>
      </c>
      <c r="D18" s="293" t="s">
        <v>1062</v>
      </c>
      <c r="E18" s="282" t="s">
        <v>1052</v>
      </c>
      <c r="F18" s="294"/>
      <c r="G18" s="295" t="s">
        <v>1063</v>
      </c>
    </row>
    <row r="19" s="227" customFormat="1" ht="80.1" customHeight="1" spans="2:7">
      <c r="B19" s="296" t="s">
        <v>1064</v>
      </c>
      <c r="C19" s="297" t="s">
        <v>1065</v>
      </c>
      <c r="D19" s="298" t="s">
        <v>1052</v>
      </c>
      <c r="E19" s="299"/>
      <c r="F19" s="299"/>
      <c r="G19" s="300"/>
    </row>
    <row r="20" s="227" customFormat="1" ht="219.95" customHeight="1" spans="2:7">
      <c r="B20" s="301" t="s">
        <v>1066</v>
      </c>
      <c r="C20" s="302" t="s">
        <v>1067</v>
      </c>
      <c r="D20" s="303" t="s">
        <v>1052</v>
      </c>
      <c r="E20" s="304" t="s">
        <v>1052</v>
      </c>
      <c r="F20" s="305"/>
      <c r="G20" s="306" t="s">
        <v>1052</v>
      </c>
    </row>
    <row r="21" s="227" customFormat="1" ht="90.95" customHeight="1" spans="2:7">
      <c r="B21" s="281" t="s">
        <v>1068</v>
      </c>
      <c r="C21" s="307" t="s">
        <v>1069</v>
      </c>
      <c r="D21" s="307" t="s">
        <v>1070</v>
      </c>
      <c r="E21" s="307" t="s">
        <v>1071</v>
      </c>
      <c r="F21" s="307"/>
      <c r="G21" s="308" t="s">
        <v>1072</v>
      </c>
    </row>
    <row r="22" s="227" customFormat="1" ht="33.75" customHeight="1" spans="2:7">
      <c r="B22" s="309"/>
      <c r="C22" s="234"/>
      <c r="D22" s="234"/>
      <c r="E22" s="234"/>
      <c r="F22" s="234"/>
      <c r="G22" s="234"/>
    </row>
    <row r="23" s="228" customFormat="1" ht="129" customHeight="1" spans="2:7">
      <c r="B23" s="254" t="s">
        <v>1073</v>
      </c>
      <c r="C23" s="310" t="s">
        <v>1074</v>
      </c>
      <c r="D23" s="254" t="s">
        <v>1075</v>
      </c>
      <c r="E23" s="255" t="s">
        <v>1076</v>
      </c>
      <c r="F23" s="311"/>
      <c r="G23" s="254" t="s">
        <v>1077</v>
      </c>
    </row>
  </sheetData>
  <mergeCells count="22">
    <mergeCell ref="E4:F4"/>
    <mergeCell ref="E5:F5"/>
    <mergeCell ref="E8:F8"/>
    <mergeCell ref="E9:F9"/>
    <mergeCell ref="C10:G10"/>
    <mergeCell ref="E11:F11"/>
    <mergeCell ref="C12:G12"/>
    <mergeCell ref="C13:G13"/>
    <mergeCell ref="C14:F14"/>
    <mergeCell ref="C15:F15"/>
    <mergeCell ref="E16:F16"/>
    <mergeCell ref="E17:F17"/>
    <mergeCell ref="E18:F18"/>
    <mergeCell ref="D19:G19"/>
    <mergeCell ref="E20:F20"/>
    <mergeCell ref="E21:F21"/>
    <mergeCell ref="E23:F23"/>
    <mergeCell ref="B11:B13"/>
    <mergeCell ref="B16:B17"/>
    <mergeCell ref="C16:C17"/>
    <mergeCell ref="D16:D17"/>
    <mergeCell ref="G16:G17"/>
  </mergeCells>
  <hyperlinks>
    <hyperlink ref="B1" location="'目录'!A1" display="点此返回目录"/>
  </hyperlinks>
  <pageMargins left="0.75" right="0.75" top="1" bottom="1" header="0.5" footer="0.5"/>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J37"/>
  <sheetViews>
    <sheetView workbookViewId="0">
      <selection activeCell="B2" sqref="B2:J2"/>
    </sheetView>
  </sheetViews>
  <sheetFormatPr defaultColWidth="9" defaultRowHeight="16.5"/>
  <cols>
    <col min="1" max="1" width="5.88333333333333" style="20" customWidth="1"/>
    <col min="2" max="2" width="13.3833333333333" style="20" customWidth="1"/>
    <col min="3" max="3" width="10.8833333333333" style="20" customWidth="1"/>
    <col min="4" max="4" width="13.75" style="20" customWidth="1"/>
    <col min="5" max="5" width="21.5" style="20" customWidth="1"/>
    <col min="6" max="6" width="82.8833333333333" style="20" customWidth="1"/>
    <col min="7" max="7" width="28.75" style="20" customWidth="1"/>
    <col min="8" max="8" width="30.75" style="20" customWidth="1"/>
    <col min="9" max="9" width="28.5" style="20" customWidth="1"/>
    <col min="10" max="10" width="39.25" style="20" customWidth="1"/>
    <col min="11" max="11" width="9.63333333333333" style="20" customWidth="1"/>
    <col min="12" max="12" width="16" style="20" customWidth="1"/>
    <col min="13" max="13" width="19.1333333333333" style="20" customWidth="1"/>
    <col min="14" max="14" width="21.75" style="20" customWidth="1"/>
    <col min="15" max="15" width="45.8833333333333" style="20" customWidth="1"/>
    <col min="16" max="16" width="20.3833333333333" style="20" customWidth="1"/>
    <col min="17" max="17" width="67.3833333333333" style="20" customWidth="1"/>
    <col min="18" max="18" width="33.3833333333333" style="20" customWidth="1"/>
    <col min="19" max="16384" width="9" style="20"/>
  </cols>
  <sheetData>
    <row r="1" ht="26.25" customHeight="1" spans="1:3">
      <c r="A1" s="158" t="s">
        <v>33</v>
      </c>
      <c r="B1" s="158"/>
      <c r="C1" s="158"/>
    </row>
    <row r="2" ht="31.5" spans="2:10">
      <c r="B2" s="159" t="s">
        <v>1078</v>
      </c>
      <c r="C2" s="160"/>
      <c r="D2" s="160"/>
      <c r="E2" s="160"/>
      <c r="F2" s="160"/>
      <c r="G2" s="160"/>
      <c r="H2" s="160"/>
      <c r="I2" s="160"/>
      <c r="J2" s="209"/>
    </row>
    <row r="3" ht="42.75" spans="2:10">
      <c r="B3" s="161" t="s">
        <v>35</v>
      </c>
      <c r="C3" s="162" t="s">
        <v>1079</v>
      </c>
      <c r="D3" s="162" t="s">
        <v>1080</v>
      </c>
      <c r="E3" s="163" t="s">
        <v>1081</v>
      </c>
      <c r="F3" s="163" t="s">
        <v>1082</v>
      </c>
      <c r="G3" s="163" t="s">
        <v>1083</v>
      </c>
      <c r="H3" s="163" t="s">
        <v>1084</v>
      </c>
      <c r="I3" s="163" t="s">
        <v>1085</v>
      </c>
      <c r="J3" s="210" t="s">
        <v>794</v>
      </c>
    </row>
    <row r="4" ht="30" customHeight="1" spans="2:10">
      <c r="B4" s="164" t="s">
        <v>1086</v>
      </c>
      <c r="C4" s="165" t="s">
        <v>1087</v>
      </c>
      <c r="D4" s="166" t="s">
        <v>1088</v>
      </c>
      <c r="E4" s="167" t="s">
        <v>1089</v>
      </c>
      <c r="F4" s="168" t="s">
        <v>1090</v>
      </c>
      <c r="G4" s="169" t="s">
        <v>1091</v>
      </c>
      <c r="H4" s="170" t="s">
        <v>1092</v>
      </c>
      <c r="I4" s="211" t="s">
        <v>1093</v>
      </c>
      <c r="J4" s="212" t="s">
        <v>1094</v>
      </c>
    </row>
    <row r="5" ht="30" customHeight="1" spans="2:10">
      <c r="B5" s="171"/>
      <c r="C5" s="172"/>
      <c r="D5" s="173"/>
      <c r="E5" s="119" t="s">
        <v>1095</v>
      </c>
      <c r="F5" s="174" t="s">
        <v>1096</v>
      </c>
      <c r="G5" s="175"/>
      <c r="H5" s="176"/>
      <c r="I5" s="213"/>
      <c r="J5" s="214"/>
    </row>
    <row r="6" ht="17.25" spans="2:10">
      <c r="B6" s="171"/>
      <c r="C6" s="172"/>
      <c r="D6" s="173"/>
      <c r="E6" s="177" t="s">
        <v>1097</v>
      </c>
      <c r="F6" s="177" t="s">
        <v>1098</v>
      </c>
      <c r="G6" s="175"/>
      <c r="H6" s="176"/>
      <c r="I6" s="213"/>
      <c r="J6" s="214"/>
    </row>
    <row r="7" ht="36" customHeight="1" spans="2:10">
      <c r="B7" s="171"/>
      <c r="C7" s="172"/>
      <c r="D7" s="173"/>
      <c r="E7" s="10" t="s">
        <v>1099</v>
      </c>
      <c r="F7" s="174" t="s">
        <v>1100</v>
      </c>
      <c r="G7" s="175"/>
      <c r="H7" s="176"/>
      <c r="I7" s="213"/>
      <c r="J7" s="214"/>
    </row>
    <row r="8" ht="30" customHeight="1" spans="2:10">
      <c r="B8" s="171"/>
      <c r="C8" s="172"/>
      <c r="D8" s="173"/>
      <c r="E8" s="178" t="s">
        <v>1101</v>
      </c>
      <c r="F8" s="178" t="s">
        <v>1102</v>
      </c>
      <c r="G8" s="178" t="s">
        <v>1103</v>
      </c>
      <c r="H8" s="176"/>
      <c r="I8" s="213"/>
      <c r="J8" s="214"/>
    </row>
    <row r="9" ht="30" customHeight="1" spans="2:10">
      <c r="B9" s="171"/>
      <c r="C9" s="172"/>
      <c r="D9" s="173"/>
      <c r="E9" s="119"/>
      <c r="F9" s="178" t="s">
        <v>1104</v>
      </c>
      <c r="G9" s="178"/>
      <c r="H9" s="176"/>
      <c r="I9" s="213"/>
      <c r="J9" s="214"/>
    </row>
    <row r="10" ht="30" customHeight="1" spans="2:10">
      <c r="B10" s="171"/>
      <c r="C10" s="172"/>
      <c r="D10" s="173"/>
      <c r="E10" s="179" t="s">
        <v>1105</v>
      </c>
      <c r="F10" s="178" t="s">
        <v>1106</v>
      </c>
      <c r="G10" s="178" t="s">
        <v>1107</v>
      </c>
      <c r="H10" s="176"/>
      <c r="I10" s="213"/>
      <c r="J10" s="214"/>
    </row>
    <row r="11" ht="30" customHeight="1" spans="2:10">
      <c r="B11" s="171"/>
      <c r="C11" s="172"/>
      <c r="D11" s="173"/>
      <c r="E11" s="178" t="s">
        <v>1108</v>
      </c>
      <c r="F11" s="178" t="s">
        <v>1109</v>
      </c>
      <c r="G11" s="178"/>
      <c r="H11" s="176"/>
      <c r="I11" s="213"/>
      <c r="J11" s="214"/>
    </row>
    <row r="12" ht="30" customHeight="1" spans="2:10">
      <c r="B12" s="171"/>
      <c r="C12" s="172"/>
      <c r="D12" s="173"/>
      <c r="E12" s="178" t="s">
        <v>1110</v>
      </c>
      <c r="F12" s="178" t="s">
        <v>1111</v>
      </c>
      <c r="G12" s="178" t="s">
        <v>1112</v>
      </c>
      <c r="H12" s="176"/>
      <c r="I12" s="213"/>
      <c r="J12" s="214"/>
    </row>
    <row r="13" ht="30" customHeight="1" spans="2:10">
      <c r="B13" s="171"/>
      <c r="C13" s="172"/>
      <c r="D13" s="173"/>
      <c r="E13" s="178" t="s">
        <v>1113</v>
      </c>
      <c r="F13" s="178" t="s">
        <v>1114</v>
      </c>
      <c r="G13" s="178" t="s">
        <v>1112</v>
      </c>
      <c r="H13" s="176"/>
      <c r="I13" s="213"/>
      <c r="J13" s="214"/>
    </row>
    <row r="14" ht="30" customHeight="1" spans="2:10">
      <c r="B14" s="171"/>
      <c r="C14" s="172"/>
      <c r="D14" s="173"/>
      <c r="E14" s="178"/>
      <c r="F14" s="178" t="s">
        <v>1115</v>
      </c>
      <c r="G14" s="178"/>
      <c r="H14" s="176"/>
      <c r="I14" s="213"/>
      <c r="J14" s="214"/>
    </row>
    <row r="15" ht="30" customHeight="1" spans="2:10">
      <c r="B15" s="171"/>
      <c r="C15" s="172"/>
      <c r="D15" s="173"/>
      <c r="E15" s="178" t="s">
        <v>1116</v>
      </c>
      <c r="F15" s="178" t="s">
        <v>1117</v>
      </c>
      <c r="G15" s="178" t="s">
        <v>1118</v>
      </c>
      <c r="H15" s="176"/>
      <c r="I15" s="213"/>
      <c r="J15" s="214"/>
    </row>
    <row r="16" ht="30" customHeight="1" spans="2:10">
      <c r="B16" s="171"/>
      <c r="C16" s="172"/>
      <c r="D16" s="173"/>
      <c r="E16" s="178"/>
      <c r="F16" s="178" t="s">
        <v>1119</v>
      </c>
      <c r="G16" s="178"/>
      <c r="H16" s="176"/>
      <c r="I16" s="213"/>
      <c r="J16" s="214"/>
    </row>
    <row r="17" ht="30" customHeight="1" spans="2:10">
      <c r="B17" s="171"/>
      <c r="C17" s="172"/>
      <c r="D17" s="173"/>
      <c r="E17" s="178" t="s">
        <v>1120</v>
      </c>
      <c r="F17" s="178" t="s">
        <v>1121</v>
      </c>
      <c r="G17" s="178" t="s">
        <v>1122</v>
      </c>
      <c r="H17" s="176"/>
      <c r="I17" s="213"/>
      <c r="J17" s="214"/>
    </row>
    <row r="18" ht="30" customHeight="1" spans="2:10">
      <c r="B18" s="180"/>
      <c r="C18" s="181"/>
      <c r="D18" s="182"/>
      <c r="E18" s="183"/>
      <c r="F18" s="184" t="s">
        <v>1123</v>
      </c>
      <c r="G18" s="184"/>
      <c r="H18" s="185"/>
      <c r="I18" s="215"/>
      <c r="J18" s="216"/>
    </row>
    <row r="19" ht="24.95" customHeight="1" spans="2:10">
      <c r="B19" s="186" t="s">
        <v>163</v>
      </c>
      <c r="C19" s="165" t="s">
        <v>1087</v>
      </c>
      <c r="D19" s="166" t="s">
        <v>1088</v>
      </c>
      <c r="E19" s="167" t="s">
        <v>1089</v>
      </c>
      <c r="F19" s="168" t="s">
        <v>1090</v>
      </c>
      <c r="G19" s="168" t="s">
        <v>1091</v>
      </c>
      <c r="H19" s="170" t="s">
        <v>1124</v>
      </c>
      <c r="I19" s="170" t="s">
        <v>1125</v>
      </c>
      <c r="J19" s="212" t="s">
        <v>1126</v>
      </c>
    </row>
    <row r="20" ht="24.95" customHeight="1" spans="2:10">
      <c r="B20" s="187"/>
      <c r="C20" s="173"/>
      <c r="D20" s="173"/>
      <c r="E20" s="119" t="s">
        <v>1095</v>
      </c>
      <c r="F20" s="174" t="s">
        <v>1096</v>
      </c>
      <c r="G20" s="174"/>
      <c r="H20" s="176"/>
      <c r="I20" s="176"/>
      <c r="J20" s="214"/>
    </row>
    <row r="21" ht="24.95" customHeight="1" spans="2:10">
      <c r="B21" s="187"/>
      <c r="C21" s="173"/>
      <c r="D21" s="173"/>
      <c r="E21" s="119" t="s">
        <v>1127</v>
      </c>
      <c r="F21" s="174" t="s">
        <v>1100</v>
      </c>
      <c r="G21" s="174"/>
      <c r="H21" s="176"/>
      <c r="I21" s="176"/>
      <c r="J21" s="214"/>
    </row>
    <row r="22" ht="24.95" customHeight="1" spans="2:10">
      <c r="B22" s="187"/>
      <c r="C22" s="173"/>
      <c r="D22" s="173"/>
      <c r="E22" s="178" t="s">
        <v>1128</v>
      </c>
      <c r="F22" s="178" t="s">
        <v>1129</v>
      </c>
      <c r="G22" s="178" t="s">
        <v>1103</v>
      </c>
      <c r="H22" s="176"/>
      <c r="I22" s="176"/>
      <c r="J22" s="214"/>
    </row>
    <row r="23" ht="24.95" customHeight="1" spans="2:10">
      <c r="B23" s="187"/>
      <c r="C23" s="173"/>
      <c r="D23" s="173"/>
      <c r="E23" s="119"/>
      <c r="F23" s="178" t="s">
        <v>1130</v>
      </c>
      <c r="G23" s="178"/>
      <c r="H23" s="176"/>
      <c r="I23" s="176"/>
      <c r="J23" s="214"/>
    </row>
    <row r="24" ht="24.95" customHeight="1" spans="2:10">
      <c r="B24" s="187"/>
      <c r="C24" s="173"/>
      <c r="D24" s="173"/>
      <c r="E24" s="178" t="s">
        <v>1105</v>
      </c>
      <c r="F24" s="178" t="s">
        <v>1106</v>
      </c>
      <c r="G24" s="178" t="s">
        <v>1107</v>
      </c>
      <c r="H24" s="176"/>
      <c r="I24" s="176"/>
      <c r="J24" s="214"/>
    </row>
    <row r="25" ht="24.95" customHeight="1" spans="2:10">
      <c r="B25" s="188"/>
      <c r="C25" s="182"/>
      <c r="D25" s="182"/>
      <c r="E25" s="184" t="s">
        <v>1108</v>
      </c>
      <c r="F25" s="184" t="s">
        <v>1109</v>
      </c>
      <c r="G25" s="184"/>
      <c r="H25" s="185"/>
      <c r="I25" s="185"/>
      <c r="J25" s="216"/>
    </row>
    <row r="26" ht="50.1" customHeight="1" spans="2:10">
      <c r="B26" s="189" t="s">
        <v>231</v>
      </c>
      <c r="C26" s="190" t="s">
        <v>1131</v>
      </c>
      <c r="D26" s="191" t="s">
        <v>1132</v>
      </c>
      <c r="E26" s="167" t="s">
        <v>1089</v>
      </c>
      <c r="F26" s="168" t="s">
        <v>1090</v>
      </c>
      <c r="G26" s="168" t="s">
        <v>1091</v>
      </c>
      <c r="H26" s="192" t="s">
        <v>1133</v>
      </c>
      <c r="I26" s="191" t="s">
        <v>1134</v>
      </c>
      <c r="J26" s="217" t="s">
        <v>1135</v>
      </c>
    </row>
    <row r="27" ht="50.1" customHeight="1" spans="2:10">
      <c r="B27" s="193"/>
      <c r="C27" s="177"/>
      <c r="D27" s="177"/>
      <c r="E27" s="119" t="s">
        <v>1095</v>
      </c>
      <c r="F27" s="174" t="s">
        <v>1096</v>
      </c>
      <c r="G27" s="174"/>
      <c r="H27" s="194"/>
      <c r="I27" s="177"/>
      <c r="J27" s="218"/>
    </row>
    <row r="28" ht="50.1" customHeight="1" spans="2:10">
      <c r="B28" s="195"/>
      <c r="C28" s="196"/>
      <c r="D28" s="196"/>
      <c r="E28" s="183" t="s">
        <v>1127</v>
      </c>
      <c r="F28" s="197" t="s">
        <v>1100</v>
      </c>
      <c r="G28" s="197"/>
      <c r="H28" s="198"/>
      <c r="I28" s="196"/>
      <c r="J28" s="219"/>
    </row>
    <row r="29" ht="69.95" customHeight="1" spans="2:10">
      <c r="B29" s="199" t="s">
        <v>1136</v>
      </c>
      <c r="C29" s="190" t="s">
        <v>1137</v>
      </c>
      <c r="D29" s="191" t="s">
        <v>1132</v>
      </c>
      <c r="E29" s="167" t="s">
        <v>1089</v>
      </c>
      <c r="F29" s="168" t="s">
        <v>1090</v>
      </c>
      <c r="G29" s="191" t="s">
        <v>1091</v>
      </c>
      <c r="H29" s="192" t="s">
        <v>1138</v>
      </c>
      <c r="I29" s="191" t="s">
        <v>1134</v>
      </c>
      <c r="J29" s="217" t="s">
        <v>1139</v>
      </c>
    </row>
    <row r="30" ht="69.95" customHeight="1" spans="2:10">
      <c r="B30" s="200"/>
      <c r="C30" s="122"/>
      <c r="D30" s="122"/>
      <c r="E30" s="201" t="s">
        <v>1095</v>
      </c>
      <c r="F30" s="202" t="s">
        <v>1096</v>
      </c>
      <c r="G30" s="122"/>
      <c r="H30" s="203"/>
      <c r="I30" s="122"/>
      <c r="J30" s="220"/>
    </row>
    <row r="31" ht="34.5" spans="2:10">
      <c r="B31" s="204" t="s">
        <v>1140</v>
      </c>
      <c r="C31" s="190" t="s">
        <v>1087</v>
      </c>
      <c r="D31" s="191" t="s">
        <v>1088</v>
      </c>
      <c r="E31" s="167" t="s">
        <v>1141</v>
      </c>
      <c r="F31" s="168" t="s">
        <v>1142</v>
      </c>
      <c r="G31" s="191" t="s">
        <v>1143</v>
      </c>
      <c r="H31" s="192" t="s">
        <v>1144</v>
      </c>
      <c r="I31" s="221" t="s">
        <v>1145</v>
      </c>
      <c r="J31" s="222" t="s">
        <v>1146</v>
      </c>
    </row>
    <row r="32" ht="34.5" spans="2:10">
      <c r="B32" s="205"/>
      <c r="C32" s="177"/>
      <c r="D32" s="177"/>
      <c r="E32" s="119" t="s">
        <v>1147</v>
      </c>
      <c r="F32" s="174" t="s">
        <v>1148</v>
      </c>
      <c r="G32" s="177"/>
      <c r="H32" s="194"/>
      <c r="I32" s="223"/>
      <c r="J32" s="224"/>
    </row>
    <row r="33" ht="34.5" spans="2:10">
      <c r="B33" s="205"/>
      <c r="C33" s="177"/>
      <c r="D33" s="177"/>
      <c r="E33" s="119" t="s">
        <v>1149</v>
      </c>
      <c r="F33" s="174" t="s">
        <v>1150</v>
      </c>
      <c r="G33" s="206" t="s">
        <v>1151</v>
      </c>
      <c r="H33" s="194"/>
      <c r="I33" s="223"/>
      <c r="J33" s="224"/>
    </row>
    <row r="34" ht="34.5" spans="2:10">
      <c r="B34" s="205"/>
      <c r="C34" s="177"/>
      <c r="D34" s="177"/>
      <c r="E34" s="119" t="s">
        <v>1152</v>
      </c>
      <c r="F34" s="174" t="s">
        <v>1153</v>
      </c>
      <c r="G34" s="206"/>
      <c r="H34" s="194"/>
      <c r="I34" s="223"/>
      <c r="J34" s="224"/>
    </row>
    <row r="35" ht="34.5" spans="2:10">
      <c r="B35" s="205"/>
      <c r="C35" s="177"/>
      <c r="D35" s="177"/>
      <c r="E35" s="119" t="s">
        <v>1154</v>
      </c>
      <c r="F35" s="174" t="s">
        <v>1155</v>
      </c>
      <c r="G35" s="206" t="s">
        <v>1156</v>
      </c>
      <c r="H35" s="194"/>
      <c r="I35" s="223"/>
      <c r="J35" s="224"/>
    </row>
    <row r="36" ht="34.5" spans="2:10">
      <c r="B36" s="205"/>
      <c r="C36" s="177"/>
      <c r="D36" s="177"/>
      <c r="E36" s="119" t="s">
        <v>1157</v>
      </c>
      <c r="F36" s="174" t="s">
        <v>1158</v>
      </c>
      <c r="G36" s="206"/>
      <c r="H36" s="194"/>
      <c r="I36" s="223"/>
      <c r="J36" s="224"/>
    </row>
    <row r="37" ht="45" customHeight="1" spans="2:10">
      <c r="B37" s="207"/>
      <c r="C37" s="196"/>
      <c r="D37" s="196"/>
      <c r="E37" s="183" t="s">
        <v>1159</v>
      </c>
      <c r="F37" s="197" t="s">
        <v>1160</v>
      </c>
      <c r="G37" s="208" t="s">
        <v>1151</v>
      </c>
      <c r="H37" s="196" t="s">
        <v>1161</v>
      </c>
      <c r="I37" s="225"/>
      <c r="J37" s="226"/>
    </row>
  </sheetData>
  <mergeCells count="51">
    <mergeCell ref="A1:C1"/>
    <mergeCell ref="B2:J2"/>
    <mergeCell ref="B4:B18"/>
    <mergeCell ref="B19:B25"/>
    <mergeCell ref="B26:B28"/>
    <mergeCell ref="B29:B30"/>
    <mergeCell ref="B31:B37"/>
    <mergeCell ref="C4:C18"/>
    <mergeCell ref="C19:C25"/>
    <mergeCell ref="C26:C28"/>
    <mergeCell ref="C29:C30"/>
    <mergeCell ref="C31:C37"/>
    <mergeCell ref="D4:D18"/>
    <mergeCell ref="D19:D25"/>
    <mergeCell ref="D26:D28"/>
    <mergeCell ref="D29:D30"/>
    <mergeCell ref="D31:D37"/>
    <mergeCell ref="E8:E9"/>
    <mergeCell ref="E13:E14"/>
    <mergeCell ref="E15:E16"/>
    <mergeCell ref="E17:E18"/>
    <mergeCell ref="E22:E23"/>
    <mergeCell ref="G4:G7"/>
    <mergeCell ref="G8:G9"/>
    <mergeCell ref="G10:G11"/>
    <mergeCell ref="G13:G14"/>
    <mergeCell ref="G15:G16"/>
    <mergeCell ref="G17:G18"/>
    <mergeCell ref="G19:G21"/>
    <mergeCell ref="G22:G23"/>
    <mergeCell ref="G24:G25"/>
    <mergeCell ref="G26:G28"/>
    <mergeCell ref="G29:G30"/>
    <mergeCell ref="G31:G32"/>
    <mergeCell ref="G33:G34"/>
    <mergeCell ref="G35:G36"/>
    <mergeCell ref="H4:H18"/>
    <mergeCell ref="H19:H25"/>
    <mergeCell ref="H26:H28"/>
    <mergeCell ref="H29:H30"/>
    <mergeCell ref="H31:H36"/>
    <mergeCell ref="I4:I18"/>
    <mergeCell ref="I19:I25"/>
    <mergeCell ref="I26:I28"/>
    <mergeCell ref="I29:I30"/>
    <mergeCell ref="I31:I37"/>
    <mergeCell ref="J4:J18"/>
    <mergeCell ref="J19:J25"/>
    <mergeCell ref="J26:J28"/>
    <mergeCell ref="J29:J30"/>
    <mergeCell ref="J31:J37"/>
  </mergeCells>
  <hyperlinks>
    <hyperlink ref="A1" location="'目录'!A1" display="点此返回目录"/>
  </hyperlink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I10"/>
  <sheetViews>
    <sheetView workbookViewId="0">
      <selection activeCell="A1" sqref="A1:C1"/>
    </sheetView>
  </sheetViews>
  <sheetFormatPr defaultColWidth="9" defaultRowHeight="14.25"/>
  <cols>
    <col min="1" max="1" width="3.63333333333333" customWidth="1"/>
    <col min="3" max="3" width="15" customWidth="1"/>
    <col min="4" max="4" width="22.1333333333333" customWidth="1"/>
    <col min="5" max="5" width="21.3833333333333" customWidth="1"/>
    <col min="6" max="6" width="35.1333333333333" customWidth="1"/>
    <col min="7" max="7" width="43.8833333333333" customWidth="1"/>
    <col min="8" max="8" width="22.25" customWidth="1"/>
    <col min="9" max="9" width="32.75" customWidth="1"/>
  </cols>
  <sheetData>
    <row r="1" ht="26.25" customHeight="1" spans="1:3">
      <c r="A1" s="21" t="s">
        <v>33</v>
      </c>
      <c r="B1" s="21"/>
      <c r="C1" s="21"/>
    </row>
    <row r="2" ht="51" customHeight="1" spans="2:9">
      <c r="B2" s="132" t="s">
        <v>1162</v>
      </c>
      <c r="C2" s="133"/>
      <c r="D2" s="133"/>
      <c r="E2" s="133"/>
      <c r="F2" s="133"/>
      <c r="G2" s="133"/>
      <c r="H2" s="133"/>
      <c r="I2" s="153"/>
    </row>
    <row r="3" ht="38.1" customHeight="1" spans="2:9">
      <c r="B3" s="100" t="s">
        <v>35</v>
      </c>
      <c r="C3" s="134"/>
      <c r="D3" s="135" t="s">
        <v>46</v>
      </c>
      <c r="E3" s="101" t="s">
        <v>96</v>
      </c>
      <c r="F3" s="136" t="s">
        <v>220</v>
      </c>
      <c r="G3" s="137" t="s">
        <v>108</v>
      </c>
      <c r="H3" s="138" t="s">
        <v>163</v>
      </c>
      <c r="I3" s="154" t="s">
        <v>231</v>
      </c>
    </row>
    <row r="4" ht="62.1" customHeight="1" spans="2:9">
      <c r="B4" s="100" t="s">
        <v>1163</v>
      </c>
      <c r="C4" s="134"/>
      <c r="D4" s="139" t="s">
        <v>1164</v>
      </c>
      <c r="E4" s="140"/>
      <c r="F4" s="140"/>
      <c r="G4" s="140"/>
      <c r="H4" s="141"/>
      <c r="I4" s="155" t="s">
        <v>1165</v>
      </c>
    </row>
    <row r="5" ht="95.1" customHeight="1" spans="2:9">
      <c r="B5" s="100" t="s">
        <v>1166</v>
      </c>
      <c r="C5" s="134"/>
      <c r="D5" s="142" t="s">
        <v>1167</v>
      </c>
      <c r="E5" s="143"/>
      <c r="F5" s="144" t="s">
        <v>1168</v>
      </c>
      <c r="G5" s="142" t="s">
        <v>1169</v>
      </c>
      <c r="H5" s="142" t="s">
        <v>1167</v>
      </c>
      <c r="I5" s="155" t="s">
        <v>1170</v>
      </c>
    </row>
    <row r="6" ht="72.95" customHeight="1" spans="2:9">
      <c r="B6" s="100" t="s">
        <v>1171</v>
      </c>
      <c r="C6" s="134"/>
      <c r="D6" s="142" t="s">
        <v>1172</v>
      </c>
      <c r="E6" s="143"/>
      <c r="F6" s="145"/>
      <c r="G6" s="142" t="s">
        <v>1173</v>
      </c>
      <c r="H6" s="142" t="s">
        <v>1174</v>
      </c>
      <c r="I6" s="155" t="s">
        <v>1175</v>
      </c>
    </row>
    <row r="7" ht="96" customHeight="1" spans="2:9">
      <c r="B7" s="100" t="s">
        <v>1176</v>
      </c>
      <c r="C7" s="134"/>
      <c r="D7" s="139" t="s">
        <v>1177</v>
      </c>
      <c r="E7" s="140"/>
      <c r="F7" s="140"/>
      <c r="G7" s="141"/>
      <c r="H7" s="142" t="s">
        <v>1178</v>
      </c>
      <c r="I7" s="155" t="s">
        <v>1179</v>
      </c>
    </row>
    <row r="8" ht="37.5" customHeight="1" spans="2:9">
      <c r="B8" s="100" t="s">
        <v>1180</v>
      </c>
      <c r="C8" s="134"/>
      <c r="D8" s="139" t="s">
        <v>1181</v>
      </c>
      <c r="E8" s="140"/>
      <c r="F8" s="140"/>
      <c r="G8" s="140"/>
      <c r="H8" s="141"/>
      <c r="I8" s="155" t="s">
        <v>1182</v>
      </c>
    </row>
    <row r="9" ht="45.95" customHeight="1" spans="2:9">
      <c r="B9" s="100" t="s">
        <v>1183</v>
      </c>
      <c r="C9" s="101" t="s">
        <v>1184</v>
      </c>
      <c r="D9" s="139" t="s">
        <v>1185</v>
      </c>
      <c r="E9" s="141"/>
      <c r="F9" s="139" t="s">
        <v>1186</v>
      </c>
      <c r="G9" s="140"/>
      <c r="H9" s="141"/>
      <c r="I9" s="156" t="s">
        <v>1187</v>
      </c>
    </row>
    <row r="10" ht="45.95" customHeight="1" spans="2:9">
      <c r="B10" s="146"/>
      <c r="C10" s="147" t="s">
        <v>1188</v>
      </c>
      <c r="D10" s="148" t="s">
        <v>1187</v>
      </c>
      <c r="E10" s="149"/>
      <c r="F10" s="150" t="s">
        <v>1189</v>
      </c>
      <c r="G10" s="151"/>
      <c r="H10" s="152"/>
      <c r="I10" s="157" t="s">
        <v>1190</v>
      </c>
    </row>
  </sheetData>
  <mergeCells count="19">
    <mergeCell ref="A1:C1"/>
    <mergeCell ref="B2:I2"/>
    <mergeCell ref="B3:C3"/>
    <mergeCell ref="B4:C4"/>
    <mergeCell ref="D4:H4"/>
    <mergeCell ref="B5:C5"/>
    <mergeCell ref="D5:E5"/>
    <mergeCell ref="B6:C6"/>
    <mergeCell ref="D6:E6"/>
    <mergeCell ref="B7:C7"/>
    <mergeCell ref="D7:G7"/>
    <mergeCell ref="B8:C8"/>
    <mergeCell ref="D8:H8"/>
    <mergeCell ref="D9:E9"/>
    <mergeCell ref="F9:H9"/>
    <mergeCell ref="D10:E10"/>
    <mergeCell ref="F10:H10"/>
    <mergeCell ref="B9:B10"/>
    <mergeCell ref="F5:F6"/>
  </mergeCells>
  <hyperlinks>
    <hyperlink ref="A1" location="'目录'!A1" display="点此返回目录"/>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M19"/>
  <sheetViews>
    <sheetView zoomScale="85" zoomScaleNormal="85" workbookViewId="0">
      <selection activeCell="B2" sqref="B2:M3"/>
    </sheetView>
  </sheetViews>
  <sheetFormatPr defaultColWidth="9" defaultRowHeight="16.5"/>
  <cols>
    <col min="1" max="1" width="2.38333333333333" style="20" customWidth="1"/>
    <col min="2" max="3" width="13.3833333333333" style="20" customWidth="1"/>
    <col min="4" max="4" width="11.5" style="20" customWidth="1"/>
    <col min="5" max="5" width="18.8833333333333" style="20" customWidth="1"/>
    <col min="6" max="6" width="13.25" style="20" customWidth="1"/>
    <col min="7" max="7" width="31.1333333333333" style="20" customWidth="1"/>
    <col min="8" max="8" width="11.75" style="20" customWidth="1"/>
    <col min="9" max="9" width="24.25" style="20" customWidth="1"/>
    <col min="10" max="10" width="13.6333333333333" style="20" customWidth="1"/>
    <col min="11" max="11" width="22.8833333333333" style="20" customWidth="1"/>
    <col min="12" max="12" width="11.1333333333333" style="20" customWidth="1"/>
    <col min="13" max="13" width="24.1333333333333" style="20" customWidth="1"/>
    <col min="14" max="26" width="9" style="20"/>
  </cols>
  <sheetData>
    <row r="1" ht="26.25" customHeight="1" spans="1:3">
      <c r="A1" s="21" t="s">
        <v>33</v>
      </c>
      <c r="B1" s="21"/>
      <c r="C1" s="21"/>
    </row>
    <row r="2" ht="21.95" customHeight="1" spans="2:13">
      <c r="B2" s="96" t="s">
        <v>1191</v>
      </c>
      <c r="C2" s="97"/>
      <c r="D2" s="97"/>
      <c r="E2" s="97"/>
      <c r="F2" s="97"/>
      <c r="G2" s="97"/>
      <c r="H2" s="97"/>
      <c r="I2" s="97"/>
      <c r="J2" s="97"/>
      <c r="K2" s="97"/>
      <c r="L2" s="97"/>
      <c r="M2" s="97"/>
    </row>
    <row r="3" ht="21.95" customHeight="1" spans="2:13">
      <c r="B3" s="98"/>
      <c r="C3" s="99"/>
      <c r="D3" s="99"/>
      <c r="E3" s="99"/>
      <c r="F3" s="99"/>
      <c r="G3" s="99"/>
      <c r="H3" s="99"/>
      <c r="I3" s="99"/>
      <c r="J3" s="99"/>
      <c r="K3" s="99"/>
      <c r="L3" s="99"/>
      <c r="M3" s="99"/>
    </row>
    <row r="4" ht="30" customHeight="1" spans="2:13">
      <c r="B4" s="100" t="s">
        <v>35</v>
      </c>
      <c r="C4" s="101" t="s">
        <v>1192</v>
      </c>
      <c r="D4" s="101" t="s">
        <v>1193</v>
      </c>
      <c r="E4" s="101"/>
      <c r="F4" s="101" t="s">
        <v>1194</v>
      </c>
      <c r="G4" s="101"/>
      <c r="H4" s="101" t="s">
        <v>1195</v>
      </c>
      <c r="I4" s="101"/>
      <c r="J4" s="128" t="s">
        <v>1196</v>
      </c>
      <c r="K4" s="129"/>
      <c r="L4" s="101" t="s">
        <v>1197</v>
      </c>
      <c r="M4" s="101"/>
    </row>
    <row r="5" ht="30" customHeight="1" spans="2:13">
      <c r="B5" s="100"/>
      <c r="C5" s="101"/>
      <c r="D5" s="101" t="s">
        <v>1198</v>
      </c>
      <c r="E5" s="101" t="s">
        <v>794</v>
      </c>
      <c r="F5" s="101" t="s">
        <v>1198</v>
      </c>
      <c r="G5" s="101" t="s">
        <v>794</v>
      </c>
      <c r="H5" s="101" t="s">
        <v>1198</v>
      </c>
      <c r="I5" s="101" t="s">
        <v>1199</v>
      </c>
      <c r="J5" s="101" t="s">
        <v>1198</v>
      </c>
      <c r="K5" s="101" t="s">
        <v>1199</v>
      </c>
      <c r="L5" s="101" t="s">
        <v>1198</v>
      </c>
      <c r="M5" s="101" t="s">
        <v>1199</v>
      </c>
    </row>
    <row r="6" ht="66.95" customHeight="1" spans="2:13">
      <c r="B6" s="102" t="s">
        <v>1200</v>
      </c>
      <c r="C6" s="103" t="s">
        <v>1201</v>
      </c>
      <c r="D6" s="104" t="s">
        <v>1202</v>
      </c>
      <c r="E6" s="105" t="s">
        <v>1203</v>
      </c>
      <c r="F6" s="106" t="s">
        <v>1202</v>
      </c>
      <c r="G6" s="106" t="s">
        <v>1204</v>
      </c>
      <c r="H6" s="104" t="s">
        <v>1205</v>
      </c>
      <c r="I6" s="104"/>
      <c r="J6" s="104" t="s">
        <v>1205</v>
      </c>
      <c r="K6" s="104"/>
      <c r="L6" s="104" t="s">
        <v>1205</v>
      </c>
      <c r="M6" s="104"/>
    </row>
    <row r="7" ht="59.1" customHeight="1" spans="2:13">
      <c r="B7" s="107"/>
      <c r="C7" s="103" t="s">
        <v>1206</v>
      </c>
      <c r="D7" s="104"/>
      <c r="E7" s="105"/>
      <c r="F7" s="108"/>
      <c r="G7" s="109"/>
      <c r="H7" s="104"/>
      <c r="I7" s="104"/>
      <c r="J7" s="104"/>
      <c r="K7" s="104"/>
      <c r="L7" s="104"/>
      <c r="M7" s="104"/>
    </row>
    <row r="8" ht="69" spans="2:13">
      <c r="B8" s="110" t="s">
        <v>108</v>
      </c>
      <c r="C8" s="111" t="s">
        <v>1201</v>
      </c>
      <c r="D8" s="104" t="s">
        <v>1202</v>
      </c>
      <c r="E8" s="105" t="s">
        <v>1207</v>
      </c>
      <c r="F8" s="104" t="s">
        <v>1202</v>
      </c>
      <c r="G8" s="112" t="s">
        <v>1208</v>
      </c>
      <c r="H8" s="104" t="s">
        <v>1202</v>
      </c>
      <c r="I8" s="105" t="s">
        <v>1209</v>
      </c>
      <c r="J8" s="104" t="s">
        <v>1202</v>
      </c>
      <c r="K8" s="105" t="s">
        <v>1209</v>
      </c>
      <c r="L8" s="104" t="s">
        <v>1202</v>
      </c>
      <c r="M8" s="105" t="s">
        <v>1210</v>
      </c>
    </row>
    <row r="9" ht="42.95" customHeight="1" spans="2:13">
      <c r="B9" s="110"/>
      <c r="C9" s="111" t="s">
        <v>1206</v>
      </c>
      <c r="D9" s="104"/>
      <c r="E9" s="105"/>
      <c r="F9" s="104" t="s">
        <v>1205</v>
      </c>
      <c r="G9" s="104"/>
      <c r="H9" s="104" t="s">
        <v>1205</v>
      </c>
      <c r="I9" s="104"/>
      <c r="J9" s="104" t="s">
        <v>1205</v>
      </c>
      <c r="K9" s="104"/>
      <c r="L9" s="104"/>
      <c r="M9" s="105"/>
    </row>
    <row r="10" ht="69" spans="2:13">
      <c r="B10" s="113" t="s">
        <v>220</v>
      </c>
      <c r="C10" s="114" t="s">
        <v>1201</v>
      </c>
      <c r="D10" s="104" t="s">
        <v>1202</v>
      </c>
      <c r="E10" s="105" t="s">
        <v>1203</v>
      </c>
      <c r="F10" s="104" t="s">
        <v>1202</v>
      </c>
      <c r="G10" s="112" t="s">
        <v>1208</v>
      </c>
      <c r="H10" s="104" t="s">
        <v>1202</v>
      </c>
      <c r="I10" s="105" t="s">
        <v>1211</v>
      </c>
      <c r="J10" s="130" t="s">
        <v>1202</v>
      </c>
      <c r="K10" s="112" t="s">
        <v>1211</v>
      </c>
      <c r="L10" s="104" t="s">
        <v>1202</v>
      </c>
      <c r="M10" s="105" t="s">
        <v>1212</v>
      </c>
    </row>
    <row r="11" ht="47.1" customHeight="1" spans="2:13">
      <c r="B11" s="113"/>
      <c r="C11" s="114" t="s">
        <v>1206</v>
      </c>
      <c r="D11" s="104"/>
      <c r="E11" s="105"/>
      <c r="F11" s="104" t="s">
        <v>1205</v>
      </c>
      <c r="G11" s="104"/>
      <c r="H11" s="104" t="s">
        <v>1205</v>
      </c>
      <c r="I11" s="104"/>
      <c r="J11" s="130" t="s">
        <v>1205</v>
      </c>
      <c r="K11" s="130"/>
      <c r="L11" s="104"/>
      <c r="M11" s="105"/>
    </row>
    <row r="12" ht="63" customHeight="1" spans="2:13">
      <c r="B12" s="115" t="s">
        <v>163</v>
      </c>
      <c r="C12" s="116" t="s">
        <v>1201</v>
      </c>
      <c r="D12" s="104" t="s">
        <v>1202</v>
      </c>
      <c r="E12" s="105" t="s">
        <v>1213</v>
      </c>
      <c r="F12" s="104" t="s">
        <v>1202</v>
      </c>
      <c r="G12" s="105" t="s">
        <v>1214</v>
      </c>
      <c r="H12" s="104" t="s">
        <v>1202</v>
      </c>
      <c r="I12" s="105" t="s">
        <v>1215</v>
      </c>
      <c r="J12" s="130" t="s">
        <v>1202</v>
      </c>
      <c r="K12" s="105" t="s">
        <v>1215</v>
      </c>
      <c r="L12" s="104" t="s">
        <v>1205</v>
      </c>
      <c r="M12" s="104"/>
    </row>
    <row r="13" ht="63" customHeight="1" spans="2:13">
      <c r="B13" s="115"/>
      <c r="C13" s="116" t="s">
        <v>1206</v>
      </c>
      <c r="D13" s="104"/>
      <c r="E13" s="105" t="s">
        <v>1203</v>
      </c>
      <c r="F13" s="104"/>
      <c r="G13" s="105" t="s">
        <v>1203</v>
      </c>
      <c r="H13" s="104"/>
      <c r="I13" s="112" t="s">
        <v>1216</v>
      </c>
      <c r="J13" s="104" t="s">
        <v>1205</v>
      </c>
      <c r="K13" s="104"/>
      <c r="L13" s="104"/>
      <c r="M13" s="104"/>
    </row>
    <row r="14" ht="86.25" customHeight="1" spans="2:13">
      <c r="B14" s="117" t="s">
        <v>231</v>
      </c>
      <c r="C14" s="118" t="s">
        <v>1201</v>
      </c>
      <c r="D14" s="104" t="s">
        <v>1202</v>
      </c>
      <c r="E14" s="105" t="s">
        <v>1203</v>
      </c>
      <c r="F14" s="104" t="s">
        <v>1217</v>
      </c>
      <c r="G14" s="105" t="s">
        <v>1218</v>
      </c>
      <c r="H14" s="104" t="s">
        <v>1205</v>
      </c>
      <c r="I14" s="104"/>
      <c r="J14" s="104" t="s">
        <v>1205</v>
      </c>
      <c r="K14" s="104"/>
      <c r="L14" s="104" t="s">
        <v>1205</v>
      </c>
      <c r="M14" s="104"/>
    </row>
    <row r="15" ht="45.95" customHeight="1" spans="2:13">
      <c r="B15" s="117"/>
      <c r="C15" s="118" t="s">
        <v>1206</v>
      </c>
      <c r="D15" s="104"/>
      <c r="E15" s="105" t="s">
        <v>1203</v>
      </c>
      <c r="F15" s="119" t="s">
        <v>1205</v>
      </c>
      <c r="G15" s="119"/>
      <c r="H15" s="104"/>
      <c r="I15" s="104"/>
      <c r="J15" s="104"/>
      <c r="K15" s="104"/>
      <c r="L15" s="104"/>
      <c r="M15" s="104"/>
    </row>
    <row r="16" ht="75" customHeight="1" spans="2:13">
      <c r="B16" s="120" t="s">
        <v>669</v>
      </c>
      <c r="C16" s="121" t="s">
        <v>1206</v>
      </c>
      <c r="D16" s="122" t="s">
        <v>1202</v>
      </c>
      <c r="E16" s="112" t="s">
        <v>1219</v>
      </c>
      <c r="F16" s="122" t="s">
        <v>1202</v>
      </c>
      <c r="G16" s="112" t="s">
        <v>1220</v>
      </c>
      <c r="H16" s="123" t="s">
        <v>1205</v>
      </c>
      <c r="I16" s="131"/>
      <c r="J16" s="123" t="s">
        <v>1205</v>
      </c>
      <c r="K16" s="131"/>
      <c r="L16" s="123" t="s">
        <v>1205</v>
      </c>
      <c r="M16" s="131"/>
    </row>
    <row r="17" ht="86.25" spans="2:13">
      <c r="B17" s="124" t="s">
        <v>681</v>
      </c>
      <c r="C17" s="125" t="s">
        <v>1206</v>
      </c>
      <c r="D17" s="122" t="s">
        <v>1202</v>
      </c>
      <c r="E17" s="112" t="s">
        <v>1221</v>
      </c>
      <c r="F17" s="122" t="s">
        <v>1202</v>
      </c>
      <c r="G17" s="112" t="s">
        <v>1222</v>
      </c>
      <c r="H17" s="123" t="s">
        <v>1205</v>
      </c>
      <c r="I17" s="131"/>
      <c r="J17" s="123" t="s">
        <v>1205</v>
      </c>
      <c r="K17" s="131"/>
      <c r="L17" s="123" t="s">
        <v>1205</v>
      </c>
      <c r="M17" s="131"/>
    </row>
    <row r="18" ht="104.25" customHeight="1" spans="2:13">
      <c r="B18" s="126" t="s">
        <v>1223</v>
      </c>
      <c r="C18" s="127"/>
      <c r="D18" s="127"/>
      <c r="E18" s="127"/>
      <c r="F18" s="127"/>
      <c r="G18" s="127"/>
      <c r="H18" s="127"/>
      <c r="I18" s="127"/>
      <c r="J18" s="127"/>
      <c r="K18" s="127"/>
      <c r="L18" s="127"/>
      <c r="M18" s="127"/>
    </row>
    <row r="19" ht="17.25" customHeight="1"/>
  </sheetData>
  <mergeCells count="52">
    <mergeCell ref="A1:C1"/>
    <mergeCell ref="D4:E4"/>
    <mergeCell ref="F4:G4"/>
    <mergeCell ref="H4:I4"/>
    <mergeCell ref="J4:K4"/>
    <mergeCell ref="L4:M4"/>
    <mergeCell ref="F9:G9"/>
    <mergeCell ref="H9:I9"/>
    <mergeCell ref="J9:K9"/>
    <mergeCell ref="F11:G11"/>
    <mergeCell ref="H11:I11"/>
    <mergeCell ref="J11:K11"/>
    <mergeCell ref="J13:K13"/>
    <mergeCell ref="F15:G15"/>
    <mergeCell ref="H16:I16"/>
    <mergeCell ref="J16:K16"/>
    <mergeCell ref="L16:M16"/>
    <mergeCell ref="H17:I17"/>
    <mergeCell ref="J17:K17"/>
    <mergeCell ref="L17:M17"/>
    <mergeCell ref="B18:M18"/>
    <mergeCell ref="B4:B5"/>
    <mergeCell ref="B6:B7"/>
    <mergeCell ref="B8:B9"/>
    <mergeCell ref="B10:B11"/>
    <mergeCell ref="B12:B13"/>
    <mergeCell ref="B14:B15"/>
    <mergeCell ref="C4:C5"/>
    <mergeCell ref="D6:D7"/>
    <mergeCell ref="D8:D9"/>
    <mergeCell ref="D10:D11"/>
    <mergeCell ref="D12:D13"/>
    <mergeCell ref="D14:D15"/>
    <mergeCell ref="E6:E7"/>
    <mergeCell ref="E8:E9"/>
    <mergeCell ref="E10:E11"/>
    <mergeCell ref="F6:F7"/>
    <mergeCell ref="F12:F13"/>
    <mergeCell ref="G6:G7"/>
    <mergeCell ref="H12:H13"/>
    <mergeCell ref="L8:L9"/>
    <mergeCell ref="L10:L11"/>
    <mergeCell ref="M8:M9"/>
    <mergeCell ref="M10:M11"/>
    <mergeCell ref="L12:M13"/>
    <mergeCell ref="H14:I15"/>
    <mergeCell ref="J14:K15"/>
    <mergeCell ref="L14:M15"/>
    <mergeCell ref="H6:I7"/>
    <mergeCell ref="J6:K7"/>
    <mergeCell ref="L6:M7"/>
    <mergeCell ref="B2:M3"/>
  </mergeCells>
  <hyperlinks>
    <hyperlink ref="A1" location="'目录'!A1" display="点此返回目录"/>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B1:H83"/>
  <sheetViews>
    <sheetView zoomScale="85" zoomScaleNormal="85" workbookViewId="0">
      <selection activeCell="B1" sqref="B1:C1"/>
    </sheetView>
  </sheetViews>
  <sheetFormatPr defaultColWidth="9" defaultRowHeight="16.5" outlineLevelCol="7"/>
  <cols>
    <col min="1" max="1" width="2.75" style="20" customWidth="1"/>
    <col min="2" max="2" width="13.1333333333333" style="20" customWidth="1"/>
    <col min="3" max="3" width="45.8833333333333" style="20" customWidth="1"/>
    <col min="4" max="4" width="33.8833333333333" style="20" customWidth="1"/>
    <col min="5" max="5" width="16.6333333333333" style="20" customWidth="1"/>
    <col min="6" max="6" width="16.25" style="20" customWidth="1"/>
    <col min="7" max="7" width="25.1333333333333" style="20" customWidth="1"/>
    <col min="8" max="8" width="26.6333333333333" style="20" customWidth="1"/>
    <col min="9" max="24" width="9" style="20"/>
  </cols>
  <sheetData>
    <row r="1" s="20" customFormat="1" ht="27.75" customHeight="1" spans="2:4">
      <c r="B1" s="21" t="s">
        <v>33</v>
      </c>
      <c r="C1" s="21"/>
      <c r="D1" s="22"/>
    </row>
    <row r="2" ht="50.1" customHeight="1" spans="2:8">
      <c r="B2" s="23" t="s">
        <v>1224</v>
      </c>
      <c r="C2" s="24"/>
      <c r="D2" s="24"/>
      <c r="E2" s="24"/>
      <c r="F2" s="24"/>
      <c r="G2" s="24"/>
      <c r="H2" s="25"/>
    </row>
    <row r="3" ht="35.25" customHeight="1" spans="2:8">
      <c r="B3" s="26" t="s">
        <v>35</v>
      </c>
      <c r="C3" s="27" t="s">
        <v>1225</v>
      </c>
      <c r="D3" s="28"/>
      <c r="E3" s="28"/>
      <c r="F3" s="29"/>
      <c r="G3" s="30" t="s">
        <v>1226</v>
      </c>
      <c r="H3" s="31" t="s">
        <v>794</v>
      </c>
    </row>
    <row r="4" ht="30" customHeight="1" spans="2:8">
      <c r="B4" s="32" t="s">
        <v>1227</v>
      </c>
      <c r="C4" s="33" t="s">
        <v>1228</v>
      </c>
      <c r="D4" s="34" t="s">
        <v>1229</v>
      </c>
      <c r="E4" s="34" t="s">
        <v>1230</v>
      </c>
      <c r="F4" s="35" t="s">
        <v>1231</v>
      </c>
      <c r="G4" s="36" t="s">
        <v>1232</v>
      </c>
      <c r="H4" s="37" t="s">
        <v>1233</v>
      </c>
    </row>
    <row r="5" ht="24" customHeight="1" spans="2:8">
      <c r="B5" s="38"/>
      <c r="C5" s="39" t="s">
        <v>1234</v>
      </c>
      <c r="D5" s="40" t="s">
        <v>1235</v>
      </c>
      <c r="E5" s="41">
        <v>0</v>
      </c>
      <c r="F5" s="42">
        <v>0</v>
      </c>
      <c r="G5" s="43"/>
      <c r="H5" s="37"/>
    </row>
    <row r="6" ht="22.5" customHeight="1" spans="2:8">
      <c r="B6" s="38"/>
      <c r="C6" s="44"/>
      <c r="D6" s="40" t="s">
        <v>1236</v>
      </c>
      <c r="E6" s="41">
        <v>1.5</v>
      </c>
      <c r="F6" s="42">
        <v>3</v>
      </c>
      <c r="G6" s="43"/>
      <c r="H6" s="45"/>
    </row>
    <row r="7" ht="39" customHeight="1" spans="2:8">
      <c r="B7" s="38"/>
      <c r="C7" s="44"/>
      <c r="D7" s="40" t="s">
        <v>1237</v>
      </c>
      <c r="E7" s="41">
        <v>7.5</v>
      </c>
      <c r="F7" s="42">
        <v>15</v>
      </c>
      <c r="G7" s="43"/>
      <c r="H7" s="45"/>
    </row>
    <row r="8" ht="22.5" customHeight="1" spans="2:8">
      <c r="B8" s="38"/>
      <c r="C8" s="44"/>
      <c r="D8" s="40" t="s">
        <v>1238</v>
      </c>
      <c r="E8" s="41">
        <v>25</v>
      </c>
      <c r="F8" s="42">
        <v>50</v>
      </c>
      <c r="G8" s="43"/>
      <c r="H8" s="45"/>
    </row>
    <row r="9" ht="27" customHeight="1" spans="2:8">
      <c r="B9" s="38"/>
      <c r="C9" s="44" t="s">
        <v>1239</v>
      </c>
      <c r="D9" s="40" t="s">
        <v>1235</v>
      </c>
      <c r="E9" s="41">
        <v>0</v>
      </c>
      <c r="F9" s="42">
        <v>0</v>
      </c>
      <c r="G9" s="43"/>
      <c r="H9" s="45"/>
    </row>
    <row r="10" ht="27" customHeight="1" spans="2:8">
      <c r="B10" s="38"/>
      <c r="C10" s="44"/>
      <c r="D10" s="40" t="s">
        <v>1236</v>
      </c>
      <c r="E10" s="41">
        <v>0.5</v>
      </c>
      <c r="F10" s="42">
        <v>1</v>
      </c>
      <c r="G10" s="43"/>
      <c r="H10" s="45"/>
    </row>
    <row r="11" ht="27" customHeight="1" spans="2:8">
      <c r="B11" s="38"/>
      <c r="C11" s="44"/>
      <c r="D11" s="40" t="s">
        <v>1237</v>
      </c>
      <c r="E11" s="41">
        <v>2.5</v>
      </c>
      <c r="F11" s="42">
        <v>5</v>
      </c>
      <c r="G11" s="43"/>
      <c r="H11" s="45"/>
    </row>
    <row r="12" ht="27" customHeight="1" spans="2:8">
      <c r="B12" s="38"/>
      <c r="C12" s="44"/>
      <c r="D12" s="40" t="s">
        <v>1238</v>
      </c>
      <c r="E12" s="41">
        <v>5</v>
      </c>
      <c r="F12" s="42">
        <v>10</v>
      </c>
      <c r="G12" s="43"/>
      <c r="H12" s="45"/>
    </row>
    <row r="13" ht="22.5" customHeight="1" spans="2:8">
      <c r="B13" s="38"/>
      <c r="C13" s="46" t="s">
        <v>1240</v>
      </c>
      <c r="D13" s="40" t="s">
        <v>1235</v>
      </c>
      <c r="E13" s="41">
        <v>0</v>
      </c>
      <c r="F13" s="42">
        <v>0</v>
      </c>
      <c r="G13" s="43"/>
      <c r="H13" s="45"/>
    </row>
    <row r="14" ht="22.5" customHeight="1" spans="2:8">
      <c r="B14" s="38"/>
      <c r="C14" s="46"/>
      <c r="D14" s="40" t="s">
        <v>1236</v>
      </c>
      <c r="E14" s="41">
        <v>0.1</v>
      </c>
      <c r="F14" s="42">
        <v>0.2</v>
      </c>
      <c r="G14" s="43"/>
      <c r="H14" s="45"/>
    </row>
    <row r="15" ht="24" customHeight="1" spans="2:8">
      <c r="B15" s="38"/>
      <c r="C15" s="46"/>
      <c r="D15" s="40" t="s">
        <v>1237</v>
      </c>
      <c r="E15" s="41">
        <v>0.5</v>
      </c>
      <c r="F15" s="42">
        <v>1</v>
      </c>
      <c r="G15" s="43"/>
      <c r="H15" s="45"/>
    </row>
    <row r="16" ht="21.75" customHeight="1" spans="2:8">
      <c r="B16" s="47"/>
      <c r="C16" s="48"/>
      <c r="D16" s="40" t="s">
        <v>1238</v>
      </c>
      <c r="E16" s="41">
        <v>2</v>
      </c>
      <c r="F16" s="42">
        <v>5</v>
      </c>
      <c r="G16" s="43"/>
      <c r="H16" s="45"/>
    </row>
    <row r="17" ht="30" customHeight="1" spans="2:8">
      <c r="B17" s="49" t="s">
        <v>108</v>
      </c>
      <c r="C17" s="33" t="s">
        <v>1228</v>
      </c>
      <c r="D17" s="50" t="s">
        <v>1229</v>
      </c>
      <c r="E17" s="50" t="s">
        <v>1230</v>
      </c>
      <c r="F17" s="51" t="s">
        <v>1231</v>
      </c>
      <c r="G17" s="43"/>
      <c r="H17" s="37" t="s">
        <v>1241</v>
      </c>
    </row>
    <row r="18" ht="22.5" customHeight="1" spans="2:8">
      <c r="B18" s="52"/>
      <c r="C18" s="53" t="s">
        <v>1242</v>
      </c>
      <c r="D18" s="54" t="s">
        <v>1235</v>
      </c>
      <c r="E18" s="41">
        <v>0</v>
      </c>
      <c r="F18" s="42">
        <v>0</v>
      </c>
      <c r="G18" s="43"/>
      <c r="H18" s="55"/>
    </row>
    <row r="19" ht="27.95" customHeight="1" spans="2:8">
      <c r="B19" s="52"/>
      <c r="C19" s="56"/>
      <c r="D19" s="57" t="s">
        <v>1236</v>
      </c>
      <c r="E19" s="57">
        <v>0</v>
      </c>
      <c r="F19" s="58">
        <v>3</v>
      </c>
      <c r="G19" s="43"/>
      <c r="H19" s="55"/>
    </row>
    <row r="20" ht="27.95" customHeight="1" spans="2:8">
      <c r="B20" s="52"/>
      <c r="C20" s="59"/>
      <c r="D20" s="57" t="s">
        <v>1243</v>
      </c>
      <c r="E20" s="57">
        <v>6</v>
      </c>
      <c r="F20" s="58">
        <v>15</v>
      </c>
      <c r="G20" s="43"/>
      <c r="H20" s="55"/>
    </row>
    <row r="21" ht="22.5" customHeight="1" spans="2:8">
      <c r="B21" s="52"/>
      <c r="C21" s="41" t="s">
        <v>1244</v>
      </c>
      <c r="D21" s="41" t="s">
        <v>1235</v>
      </c>
      <c r="E21" s="41">
        <v>0</v>
      </c>
      <c r="F21" s="42">
        <v>0</v>
      </c>
      <c r="G21" s="43"/>
      <c r="H21" s="55"/>
    </row>
    <row r="22" ht="22.5" customHeight="1" spans="2:8">
      <c r="B22" s="52"/>
      <c r="C22" s="41"/>
      <c r="D22" s="41" t="s">
        <v>1236</v>
      </c>
      <c r="E22" s="41">
        <v>0</v>
      </c>
      <c r="F22" s="42">
        <v>2</v>
      </c>
      <c r="G22" s="43"/>
      <c r="H22" s="55"/>
    </row>
    <row r="23" ht="22.5" customHeight="1" spans="2:8">
      <c r="B23" s="52"/>
      <c r="C23" s="60"/>
      <c r="D23" s="61" t="s">
        <v>1243</v>
      </c>
      <c r="E23" s="61">
        <v>4</v>
      </c>
      <c r="F23" s="62">
        <v>10</v>
      </c>
      <c r="G23" s="43"/>
      <c r="H23" s="55"/>
    </row>
    <row r="24" ht="22.5" customHeight="1" spans="2:8">
      <c r="B24" s="52"/>
      <c r="C24" s="57" t="s">
        <v>1245</v>
      </c>
      <c r="D24" s="57" t="s">
        <v>1235</v>
      </c>
      <c r="E24" s="57">
        <v>0</v>
      </c>
      <c r="F24" s="58">
        <v>0</v>
      </c>
      <c r="G24" s="43"/>
      <c r="H24" s="55"/>
    </row>
    <row r="25" ht="22.5" customHeight="1" spans="2:8">
      <c r="B25" s="52"/>
      <c r="C25" s="63"/>
      <c r="D25" s="57" t="s">
        <v>1236</v>
      </c>
      <c r="E25" s="57">
        <v>0</v>
      </c>
      <c r="F25" s="58">
        <v>1</v>
      </c>
      <c r="G25" s="43"/>
      <c r="H25" s="55"/>
    </row>
    <row r="26" ht="22.5" customHeight="1" spans="2:8">
      <c r="B26" s="52"/>
      <c r="C26" s="64"/>
      <c r="D26" s="63" t="s">
        <v>1243</v>
      </c>
      <c r="E26" s="63">
        <v>2</v>
      </c>
      <c r="F26" s="65">
        <v>5</v>
      </c>
      <c r="G26" s="43"/>
      <c r="H26" s="55"/>
    </row>
    <row r="27" ht="22.5" customHeight="1" spans="2:8">
      <c r="B27" s="52"/>
      <c r="C27" s="57" t="s">
        <v>1246</v>
      </c>
      <c r="D27" s="57" t="s">
        <v>1235</v>
      </c>
      <c r="E27" s="57">
        <v>0</v>
      </c>
      <c r="F27" s="58">
        <v>0</v>
      </c>
      <c r="G27" s="43"/>
      <c r="H27" s="55"/>
    </row>
    <row r="28" ht="22.5" customHeight="1" spans="2:8">
      <c r="B28" s="52"/>
      <c r="C28" s="63"/>
      <c r="D28" s="57" t="s">
        <v>1236</v>
      </c>
      <c r="E28" s="57">
        <v>0</v>
      </c>
      <c r="F28" s="58">
        <v>1</v>
      </c>
      <c r="G28" s="43"/>
      <c r="H28" s="55"/>
    </row>
    <row r="29" ht="22.5" customHeight="1" spans="2:8">
      <c r="B29" s="52"/>
      <c r="C29" s="64"/>
      <c r="D29" s="63" t="s">
        <v>1243</v>
      </c>
      <c r="E29" s="63">
        <v>2</v>
      </c>
      <c r="F29" s="65">
        <v>5</v>
      </c>
      <c r="G29" s="43"/>
      <c r="H29" s="55"/>
    </row>
    <row r="30" ht="22.5" customHeight="1" spans="2:8">
      <c r="B30" s="52"/>
      <c r="C30" s="57" t="s">
        <v>1247</v>
      </c>
      <c r="D30" s="57" t="s">
        <v>1235</v>
      </c>
      <c r="E30" s="57">
        <v>0</v>
      </c>
      <c r="F30" s="58">
        <v>0</v>
      </c>
      <c r="G30" s="43"/>
      <c r="H30" s="55"/>
    </row>
    <row r="31" ht="22.5" customHeight="1" spans="2:8">
      <c r="B31" s="52"/>
      <c r="C31" s="63"/>
      <c r="D31" s="57" t="s">
        <v>1236</v>
      </c>
      <c r="E31" s="57">
        <v>0</v>
      </c>
      <c r="F31" s="58">
        <v>0.1</v>
      </c>
      <c r="G31" s="43"/>
      <c r="H31" s="55"/>
    </row>
    <row r="32" ht="22.5" customHeight="1" spans="2:8">
      <c r="B32" s="52"/>
      <c r="C32" s="64"/>
      <c r="D32" s="63" t="s">
        <v>1243</v>
      </c>
      <c r="E32" s="63">
        <v>0.2</v>
      </c>
      <c r="F32" s="65">
        <v>0.5</v>
      </c>
      <c r="G32" s="43"/>
      <c r="H32" s="55"/>
    </row>
    <row r="33" ht="30" customHeight="1" spans="2:8">
      <c r="B33" s="66" t="s">
        <v>163</v>
      </c>
      <c r="C33" s="33" t="s">
        <v>1228</v>
      </c>
      <c r="D33" s="50" t="s">
        <v>1229</v>
      </c>
      <c r="E33" s="50" t="s">
        <v>1230</v>
      </c>
      <c r="F33" s="51" t="s">
        <v>1231</v>
      </c>
      <c r="G33" s="43"/>
      <c r="H33" s="67" t="s">
        <v>1248</v>
      </c>
    </row>
    <row r="34" s="20" customFormat="1" ht="22.5" customHeight="1" spans="2:8">
      <c r="B34" s="68"/>
      <c r="C34" s="69" t="s">
        <v>1249</v>
      </c>
      <c r="D34" s="41" t="s">
        <v>1235</v>
      </c>
      <c r="E34" s="41">
        <v>0</v>
      </c>
      <c r="F34" s="42">
        <v>0</v>
      </c>
      <c r="G34" s="43"/>
      <c r="H34" s="70"/>
    </row>
    <row r="35" s="20" customFormat="1" ht="22.5" customHeight="1" spans="2:8">
      <c r="B35" s="68"/>
      <c r="C35" s="71"/>
      <c r="D35" s="41" t="s">
        <v>1236</v>
      </c>
      <c r="E35" s="41">
        <v>0</v>
      </c>
      <c r="F35" s="42">
        <v>2</v>
      </c>
      <c r="G35" s="43"/>
      <c r="H35" s="70"/>
    </row>
    <row r="36" ht="22.5" customHeight="1" spans="2:8">
      <c r="B36" s="68"/>
      <c r="C36" s="71"/>
      <c r="D36" s="41" t="s">
        <v>1250</v>
      </c>
      <c r="E36" s="41">
        <v>5</v>
      </c>
      <c r="F36" s="42">
        <v>10</v>
      </c>
      <c r="G36" s="43"/>
      <c r="H36" s="70"/>
    </row>
    <row r="37" ht="22.5" customHeight="1" spans="2:8">
      <c r="B37" s="68"/>
      <c r="C37" s="72"/>
      <c r="D37" s="54" t="s">
        <v>1251</v>
      </c>
      <c r="E37" s="41">
        <v>10</v>
      </c>
      <c r="F37" s="42">
        <v>40</v>
      </c>
      <c r="G37" s="43"/>
      <c r="H37" s="70"/>
    </row>
    <row r="38" ht="30" customHeight="1" spans="2:8">
      <c r="B38" s="68"/>
      <c r="C38" s="73" t="s">
        <v>1252</v>
      </c>
      <c r="D38" s="57" t="s">
        <v>1235</v>
      </c>
      <c r="E38" s="57">
        <v>0</v>
      </c>
      <c r="F38" s="58">
        <v>0</v>
      </c>
      <c r="G38" s="43"/>
      <c r="H38" s="70"/>
    </row>
    <row r="39" ht="30" customHeight="1" spans="2:8">
      <c r="B39" s="68"/>
      <c r="C39" s="74"/>
      <c r="D39" s="57" t="s">
        <v>1236</v>
      </c>
      <c r="E39" s="57">
        <v>0</v>
      </c>
      <c r="F39" s="58">
        <v>3</v>
      </c>
      <c r="G39" s="43"/>
      <c r="H39" s="70"/>
    </row>
    <row r="40" ht="30" customHeight="1" spans="2:8">
      <c r="B40" s="68"/>
      <c r="C40" s="75"/>
      <c r="D40" s="57" t="s">
        <v>1243</v>
      </c>
      <c r="E40" s="57">
        <v>7.5</v>
      </c>
      <c r="F40" s="58">
        <v>15</v>
      </c>
      <c r="G40" s="43"/>
      <c r="H40" s="70"/>
    </row>
    <row r="41" ht="30" customHeight="1" spans="2:8">
      <c r="B41" s="68"/>
      <c r="C41" s="73" t="s">
        <v>1253</v>
      </c>
      <c r="D41" s="57" t="s">
        <v>1235</v>
      </c>
      <c r="E41" s="57">
        <v>0</v>
      </c>
      <c r="F41" s="58">
        <v>0</v>
      </c>
      <c r="G41" s="43"/>
      <c r="H41" s="70"/>
    </row>
    <row r="42" ht="30" customHeight="1" spans="2:8">
      <c r="B42" s="68"/>
      <c r="C42" s="74"/>
      <c r="D42" s="57" t="s">
        <v>1236</v>
      </c>
      <c r="E42" s="57">
        <v>0</v>
      </c>
      <c r="F42" s="58">
        <v>1</v>
      </c>
      <c r="G42" s="43"/>
      <c r="H42" s="70"/>
    </row>
    <row r="43" ht="30" customHeight="1" spans="2:8">
      <c r="B43" s="68"/>
      <c r="C43" s="75"/>
      <c r="D43" s="57" t="s">
        <v>1243</v>
      </c>
      <c r="E43" s="57">
        <v>2.5</v>
      </c>
      <c r="F43" s="58">
        <v>5</v>
      </c>
      <c r="G43" s="43"/>
      <c r="H43" s="70"/>
    </row>
    <row r="44" ht="30" customHeight="1" spans="2:8">
      <c r="B44" s="68"/>
      <c r="C44" s="73" t="s">
        <v>1246</v>
      </c>
      <c r="D44" s="57" t="s">
        <v>1235</v>
      </c>
      <c r="E44" s="57">
        <v>0</v>
      </c>
      <c r="F44" s="58">
        <v>0</v>
      </c>
      <c r="G44" s="43"/>
      <c r="H44" s="70"/>
    </row>
    <row r="45" ht="30" customHeight="1" spans="2:8">
      <c r="B45" s="68"/>
      <c r="C45" s="74"/>
      <c r="D45" s="57" t="s">
        <v>1236</v>
      </c>
      <c r="E45" s="57">
        <v>0</v>
      </c>
      <c r="F45" s="58">
        <v>1</v>
      </c>
      <c r="G45" s="43"/>
      <c r="H45" s="70"/>
    </row>
    <row r="46" ht="30" customHeight="1" spans="2:8">
      <c r="B46" s="68"/>
      <c r="C46" s="75"/>
      <c r="D46" s="57" t="s">
        <v>1243</v>
      </c>
      <c r="E46" s="57">
        <v>2.5</v>
      </c>
      <c r="F46" s="58">
        <v>5</v>
      </c>
      <c r="G46" s="43"/>
      <c r="H46" s="70"/>
    </row>
    <row r="47" ht="27.95" customHeight="1" spans="2:8">
      <c r="B47" s="76" t="s">
        <v>220</v>
      </c>
      <c r="C47" s="33" t="s">
        <v>1228</v>
      </c>
      <c r="D47" s="77" t="s">
        <v>1229</v>
      </c>
      <c r="E47" s="77" t="s">
        <v>1230</v>
      </c>
      <c r="F47" s="78" t="s">
        <v>1231</v>
      </c>
      <c r="G47" s="43"/>
      <c r="H47" s="79" t="s">
        <v>1254</v>
      </c>
    </row>
    <row r="48" ht="21.95" customHeight="1" spans="2:8">
      <c r="B48" s="80"/>
      <c r="C48" s="81" t="s">
        <v>1255</v>
      </c>
      <c r="D48" s="57" t="s">
        <v>1235</v>
      </c>
      <c r="E48" s="57">
        <v>0</v>
      </c>
      <c r="F48" s="58">
        <v>0</v>
      </c>
      <c r="G48" s="43"/>
      <c r="H48" s="82"/>
    </row>
    <row r="49" ht="21.95" customHeight="1" spans="2:8">
      <c r="B49" s="80"/>
      <c r="C49" s="83"/>
      <c r="D49" s="57" t="s">
        <v>1236</v>
      </c>
      <c r="E49" s="57">
        <v>0</v>
      </c>
      <c r="F49" s="58">
        <v>1</v>
      </c>
      <c r="G49" s="43"/>
      <c r="H49" s="82"/>
    </row>
    <row r="50" ht="21.95" customHeight="1" spans="2:8">
      <c r="B50" s="80"/>
      <c r="C50" s="84"/>
      <c r="D50" s="57" t="s">
        <v>1243</v>
      </c>
      <c r="E50" s="57">
        <v>2</v>
      </c>
      <c r="F50" s="58">
        <v>5</v>
      </c>
      <c r="G50" s="43"/>
      <c r="H50" s="82"/>
    </row>
    <row r="51" ht="21.95" customHeight="1" spans="2:8">
      <c r="B51" s="80"/>
      <c r="C51" s="81" t="s">
        <v>1256</v>
      </c>
      <c r="D51" s="57" t="s">
        <v>1235</v>
      </c>
      <c r="E51" s="57">
        <v>0</v>
      </c>
      <c r="F51" s="58">
        <v>0</v>
      </c>
      <c r="G51" s="43"/>
      <c r="H51" s="82"/>
    </row>
    <row r="52" ht="21.95" customHeight="1" spans="2:8">
      <c r="B52" s="80"/>
      <c r="C52" s="83"/>
      <c r="D52" s="57" t="s">
        <v>1236</v>
      </c>
      <c r="E52" s="57">
        <v>0</v>
      </c>
      <c r="F52" s="58">
        <v>2</v>
      </c>
      <c r="G52" s="43"/>
      <c r="H52" s="82"/>
    </row>
    <row r="53" ht="21.95" customHeight="1" spans="2:8">
      <c r="B53" s="80"/>
      <c r="C53" s="84"/>
      <c r="D53" s="57" t="s">
        <v>1243</v>
      </c>
      <c r="E53" s="57">
        <v>4</v>
      </c>
      <c r="F53" s="58">
        <v>10</v>
      </c>
      <c r="G53" s="43"/>
      <c r="H53" s="82"/>
    </row>
    <row r="54" ht="21.95" customHeight="1" spans="2:8">
      <c r="B54" s="80"/>
      <c r="C54" s="81" t="s">
        <v>1257</v>
      </c>
      <c r="D54" s="57" t="s">
        <v>1235</v>
      </c>
      <c r="E54" s="57">
        <v>0</v>
      </c>
      <c r="F54" s="58">
        <v>0</v>
      </c>
      <c r="G54" s="43"/>
      <c r="H54" s="82"/>
    </row>
    <row r="55" ht="21.95" customHeight="1" spans="2:8">
      <c r="B55" s="80"/>
      <c r="C55" s="83"/>
      <c r="D55" s="57" t="s">
        <v>1236</v>
      </c>
      <c r="E55" s="57">
        <v>0</v>
      </c>
      <c r="F55" s="58">
        <v>1</v>
      </c>
      <c r="G55" s="43"/>
      <c r="H55" s="82"/>
    </row>
    <row r="56" ht="21.95" customHeight="1" spans="2:8">
      <c r="B56" s="80"/>
      <c r="C56" s="84"/>
      <c r="D56" s="57" t="s">
        <v>1243</v>
      </c>
      <c r="E56" s="57">
        <v>2</v>
      </c>
      <c r="F56" s="58">
        <v>5</v>
      </c>
      <c r="G56" s="43"/>
      <c r="H56" s="82"/>
    </row>
    <row r="57" ht="30" customHeight="1" spans="2:8">
      <c r="B57" s="85" t="s">
        <v>231</v>
      </c>
      <c r="C57" s="33" t="s">
        <v>1228</v>
      </c>
      <c r="D57" s="34" t="s">
        <v>1229</v>
      </c>
      <c r="E57" s="34" t="s">
        <v>1230</v>
      </c>
      <c r="F57" s="35" t="s">
        <v>1231</v>
      </c>
      <c r="G57" s="43"/>
      <c r="H57" s="86" t="s">
        <v>1258</v>
      </c>
    </row>
    <row r="58" ht="22.5" customHeight="1" spans="2:8">
      <c r="B58" s="87"/>
      <c r="C58" s="88" t="s">
        <v>1259</v>
      </c>
      <c r="D58" s="57" t="s">
        <v>1235</v>
      </c>
      <c r="E58" s="57">
        <v>0</v>
      </c>
      <c r="F58" s="58">
        <v>0</v>
      </c>
      <c r="G58" s="43"/>
      <c r="H58" s="89"/>
    </row>
    <row r="59" ht="22.5" customHeight="1" spans="2:8">
      <c r="B59" s="87"/>
      <c r="C59" s="90"/>
      <c r="D59" s="57" t="s">
        <v>1236</v>
      </c>
      <c r="E59" s="57">
        <v>0</v>
      </c>
      <c r="F59" s="58">
        <v>1</v>
      </c>
      <c r="G59" s="43"/>
      <c r="H59" s="89"/>
    </row>
    <row r="60" ht="22.5" customHeight="1" spans="2:8">
      <c r="B60" s="87"/>
      <c r="C60" s="90"/>
      <c r="D60" s="57" t="s">
        <v>1260</v>
      </c>
      <c r="E60" s="57">
        <v>10</v>
      </c>
      <c r="F60" s="58">
        <v>20</v>
      </c>
      <c r="G60" s="43"/>
      <c r="H60" s="89"/>
    </row>
    <row r="61" ht="22.5" customHeight="1" spans="2:8">
      <c r="B61" s="87"/>
      <c r="C61" s="90"/>
      <c r="D61" s="53" t="s">
        <v>1261</v>
      </c>
      <c r="E61" s="53">
        <v>20</v>
      </c>
      <c r="F61" s="91">
        <v>50</v>
      </c>
      <c r="G61" s="43"/>
      <c r="H61" s="89"/>
    </row>
    <row r="62" ht="17.25" spans="2:8">
      <c r="B62" s="87"/>
      <c r="C62" s="88" t="s">
        <v>1262</v>
      </c>
      <c r="D62" s="57" t="s">
        <v>1263</v>
      </c>
      <c r="E62" s="57">
        <v>0</v>
      </c>
      <c r="F62" s="58">
        <v>0</v>
      </c>
      <c r="G62" s="43"/>
      <c r="H62" s="89"/>
    </row>
    <row r="63" ht="17.25" spans="2:8">
      <c r="B63" s="87"/>
      <c r="C63" s="90"/>
      <c r="D63" s="57" t="s">
        <v>1264</v>
      </c>
      <c r="E63" s="57">
        <v>0</v>
      </c>
      <c r="F63" s="58">
        <v>2</v>
      </c>
      <c r="G63" s="43"/>
      <c r="H63" s="89"/>
    </row>
    <row r="64" ht="17.25" spans="2:8">
      <c r="B64" s="87"/>
      <c r="C64" s="90"/>
      <c r="D64" s="57" t="s">
        <v>1236</v>
      </c>
      <c r="E64" s="57">
        <v>4</v>
      </c>
      <c r="F64" s="58">
        <v>6</v>
      </c>
      <c r="G64" s="43"/>
      <c r="H64" s="89"/>
    </row>
    <row r="65" ht="17.25" spans="2:8">
      <c r="B65" s="87"/>
      <c r="C65" s="90"/>
      <c r="D65" s="53" t="s">
        <v>1243</v>
      </c>
      <c r="E65" s="53">
        <v>6</v>
      </c>
      <c r="F65" s="91">
        <v>8</v>
      </c>
      <c r="G65" s="43"/>
      <c r="H65" s="89"/>
    </row>
    <row r="66" ht="17.25" spans="2:8">
      <c r="B66" s="87"/>
      <c r="C66" s="88" t="s">
        <v>1265</v>
      </c>
      <c r="D66" s="57" t="s">
        <v>1235</v>
      </c>
      <c r="E66" s="53">
        <v>0</v>
      </c>
      <c r="F66" s="91">
        <v>0</v>
      </c>
      <c r="G66" s="43"/>
      <c r="H66" s="89"/>
    </row>
    <row r="67" ht="17.25" spans="2:8">
      <c r="B67" s="87"/>
      <c r="C67" s="90"/>
      <c r="D67" s="57" t="s">
        <v>1236</v>
      </c>
      <c r="E67" s="53">
        <v>0</v>
      </c>
      <c r="F67" s="91">
        <v>0.1</v>
      </c>
      <c r="G67" s="43"/>
      <c r="H67" s="89"/>
    </row>
    <row r="68" ht="17.25" spans="2:8">
      <c r="B68" s="87"/>
      <c r="C68" s="90"/>
      <c r="D68" s="57" t="s">
        <v>1260</v>
      </c>
      <c r="E68" s="53">
        <v>0.1</v>
      </c>
      <c r="F68" s="91">
        <v>0.2</v>
      </c>
      <c r="G68" s="43"/>
      <c r="H68" s="89"/>
    </row>
    <row r="69" ht="17.25" spans="2:8">
      <c r="B69" s="87"/>
      <c r="C69" s="90"/>
      <c r="D69" s="53" t="s">
        <v>1261</v>
      </c>
      <c r="E69" s="53">
        <v>0.2</v>
      </c>
      <c r="F69" s="91">
        <v>0.4</v>
      </c>
      <c r="G69" s="43"/>
      <c r="H69" s="89"/>
    </row>
    <row r="70" ht="70.5" customHeight="1" spans="2:8">
      <c r="B70" s="92" t="s">
        <v>1266</v>
      </c>
      <c r="C70" s="93"/>
      <c r="D70" s="93"/>
      <c r="E70" s="93"/>
      <c r="F70" s="93"/>
      <c r="G70" s="93"/>
      <c r="H70" s="94"/>
    </row>
    <row r="71" ht="21" spans="2:2">
      <c r="B71" s="95"/>
    </row>
    <row r="72" ht="21" spans="2:2">
      <c r="B72" s="95"/>
    </row>
    <row r="73" ht="21" spans="2:2">
      <c r="B73" s="95"/>
    </row>
    <row r="74" ht="21" spans="2:2">
      <c r="B74" s="95"/>
    </row>
    <row r="75" ht="21" spans="2:2">
      <c r="B75" s="95"/>
    </row>
    <row r="76" ht="21" spans="2:2">
      <c r="B76" s="95"/>
    </row>
    <row r="77" ht="21" spans="2:2">
      <c r="B77" s="95"/>
    </row>
    <row r="78" ht="21" spans="2:2">
      <c r="B78" s="95"/>
    </row>
    <row r="79" ht="21" spans="2:2">
      <c r="B79" s="95"/>
    </row>
    <row r="80" ht="21" spans="2:2">
      <c r="B80" s="95"/>
    </row>
    <row r="81" ht="21" spans="2:2">
      <c r="B81" s="95"/>
    </row>
    <row r="82" ht="21" spans="2:2">
      <c r="B82" s="95"/>
    </row>
    <row r="83" ht="21" spans="2:2">
      <c r="B83" s="95"/>
    </row>
  </sheetData>
  <mergeCells count="33">
    <mergeCell ref="B1:C1"/>
    <mergeCell ref="B2:H2"/>
    <mergeCell ref="C3:F3"/>
    <mergeCell ref="B70:H70"/>
    <mergeCell ref="B4:B16"/>
    <mergeCell ref="B17:B32"/>
    <mergeCell ref="B33:B43"/>
    <mergeCell ref="B47:B56"/>
    <mergeCell ref="B57:B69"/>
    <mergeCell ref="C5:C8"/>
    <mergeCell ref="C9:C12"/>
    <mergeCell ref="C13:C16"/>
    <mergeCell ref="C18:C20"/>
    <mergeCell ref="C21:C23"/>
    <mergeCell ref="C24:C26"/>
    <mergeCell ref="C27:C29"/>
    <mergeCell ref="C30:C32"/>
    <mergeCell ref="C34:C37"/>
    <mergeCell ref="C38:C40"/>
    <mergeCell ref="C41:C43"/>
    <mergeCell ref="C44:C46"/>
    <mergeCell ref="C48:C50"/>
    <mergeCell ref="C51:C53"/>
    <mergeCell ref="C54:C56"/>
    <mergeCell ref="C58:C61"/>
    <mergeCell ref="C62:C65"/>
    <mergeCell ref="C66:C69"/>
    <mergeCell ref="G4:G69"/>
    <mergeCell ref="H4:H16"/>
    <mergeCell ref="H17:H32"/>
    <mergeCell ref="H33:H46"/>
    <mergeCell ref="H47:H56"/>
    <mergeCell ref="H57:H69"/>
  </mergeCells>
  <hyperlinks>
    <hyperlink ref="B1" location="'目录'!A1" display="点此返回目录"/>
  </hyperlink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Z233"/>
  <sheetViews>
    <sheetView topLeftCell="A220" workbookViewId="0">
      <selection activeCell="C233" sqref="C233"/>
    </sheetView>
  </sheetViews>
  <sheetFormatPr defaultColWidth="9" defaultRowHeight="16.5"/>
  <cols>
    <col min="1" max="1" width="3.38333333333333" style="4" customWidth="1"/>
    <col min="2" max="2" width="11.5" style="4" customWidth="1"/>
    <col min="3" max="3" width="30.1333333333333" style="4" customWidth="1"/>
    <col min="4" max="4" width="70.3833333333333" style="4" customWidth="1"/>
    <col min="5" max="5" width="31.75" style="4" customWidth="1"/>
    <col min="6" max="26" width="9" style="4"/>
    <col min="27" max="16384" width="9" style="5"/>
  </cols>
  <sheetData>
    <row r="1" ht="25.5" customHeight="1" spans="1:3">
      <c r="A1" s="6" t="s">
        <v>33</v>
      </c>
      <c r="B1" s="6"/>
      <c r="C1" s="6"/>
    </row>
    <row r="2" ht="51" customHeight="1" spans="2:5">
      <c r="B2" s="7" t="s">
        <v>31</v>
      </c>
      <c r="C2" s="7"/>
      <c r="D2" s="7"/>
      <c r="E2" s="7"/>
    </row>
    <row r="3" ht="39" customHeight="1" spans="2:5">
      <c r="B3" s="8" t="s">
        <v>1267</v>
      </c>
      <c r="C3" s="8" t="s">
        <v>1268</v>
      </c>
      <c r="D3" s="8" t="s">
        <v>1269</v>
      </c>
      <c r="E3" s="8" t="s">
        <v>794</v>
      </c>
    </row>
    <row r="4" ht="27" customHeight="1" spans="2:5">
      <c r="B4" s="9">
        <v>20240117</v>
      </c>
      <c r="C4" s="10" t="s">
        <v>1270</v>
      </c>
      <c r="D4" s="10" t="s">
        <v>1271</v>
      </c>
      <c r="E4" s="11"/>
    </row>
    <row r="5" ht="27" customHeight="1" spans="2:5">
      <c r="B5" s="9">
        <v>20240124</v>
      </c>
      <c r="C5" s="11" t="s">
        <v>30</v>
      </c>
      <c r="D5" s="10" t="s">
        <v>1272</v>
      </c>
      <c r="E5" s="11" t="s">
        <v>1273</v>
      </c>
    </row>
    <row r="6" ht="57" customHeight="1" spans="2:5">
      <c r="B6" s="11">
        <v>20240219</v>
      </c>
      <c r="C6" s="11" t="s">
        <v>14</v>
      </c>
      <c r="D6" s="11" t="s">
        <v>1274</v>
      </c>
      <c r="E6" s="11"/>
    </row>
    <row r="7" ht="27" customHeight="1" spans="2:5">
      <c r="B7" s="11">
        <v>20240223</v>
      </c>
      <c r="C7" s="11" t="s">
        <v>1275</v>
      </c>
      <c r="D7" s="11" t="s">
        <v>1276</v>
      </c>
      <c r="E7" s="11"/>
    </row>
    <row r="8" ht="27" customHeight="1" spans="2:5">
      <c r="B8" s="11">
        <v>20240223</v>
      </c>
      <c r="C8" s="11" t="s">
        <v>20</v>
      </c>
      <c r="D8" s="11" t="s">
        <v>1277</v>
      </c>
      <c r="E8" s="11"/>
    </row>
    <row r="9" ht="27" customHeight="1" spans="2:5">
      <c r="B9" s="11">
        <v>20240319</v>
      </c>
      <c r="C9" s="11" t="s">
        <v>14</v>
      </c>
      <c r="D9" s="11" t="s">
        <v>1278</v>
      </c>
      <c r="E9" s="11" t="s">
        <v>1279</v>
      </c>
    </row>
    <row r="10" ht="27" customHeight="1" spans="2:5">
      <c r="B10" s="11">
        <v>20240319</v>
      </c>
      <c r="C10" s="11" t="s">
        <v>20</v>
      </c>
      <c r="D10" s="11" t="s">
        <v>1280</v>
      </c>
      <c r="E10" s="11" t="s">
        <v>1281</v>
      </c>
    </row>
    <row r="11" ht="27" customHeight="1" spans="2:5">
      <c r="B11" s="11">
        <v>20240319</v>
      </c>
      <c r="C11" s="11" t="s">
        <v>26</v>
      </c>
      <c r="D11" s="11" t="s">
        <v>1280</v>
      </c>
      <c r="E11" s="11" t="s">
        <v>1281</v>
      </c>
    </row>
    <row r="12" ht="27" customHeight="1" spans="2:5">
      <c r="B12" s="11">
        <v>20240319</v>
      </c>
      <c r="C12" s="11" t="s">
        <v>29</v>
      </c>
      <c r="D12" s="11" t="s">
        <v>1282</v>
      </c>
      <c r="E12" s="11" t="s">
        <v>1283</v>
      </c>
    </row>
    <row r="13" ht="27" customHeight="1" spans="2:5">
      <c r="B13" s="11">
        <v>20240319</v>
      </c>
      <c r="C13" s="11" t="s">
        <v>29</v>
      </c>
      <c r="D13" s="11" t="s">
        <v>1284</v>
      </c>
      <c r="E13" s="11" t="s">
        <v>1283</v>
      </c>
    </row>
    <row r="14" ht="27" customHeight="1" spans="2:5">
      <c r="B14" s="11">
        <v>20240319</v>
      </c>
      <c r="C14" s="11" t="s">
        <v>1191</v>
      </c>
      <c r="D14" s="11" t="s">
        <v>1285</v>
      </c>
      <c r="E14" s="11" t="s">
        <v>1286</v>
      </c>
    </row>
    <row r="15" ht="27" customHeight="1" spans="2:5">
      <c r="B15" s="11">
        <v>20240321</v>
      </c>
      <c r="C15" s="11" t="s">
        <v>17</v>
      </c>
      <c r="D15" s="11" t="s">
        <v>1287</v>
      </c>
      <c r="E15" s="11"/>
    </row>
    <row r="16" ht="27" customHeight="1" spans="2:5">
      <c r="B16" s="11">
        <v>20240321</v>
      </c>
      <c r="C16" s="11" t="s">
        <v>27</v>
      </c>
      <c r="D16" s="11" t="s">
        <v>1288</v>
      </c>
      <c r="E16" s="11"/>
    </row>
    <row r="17" ht="27" customHeight="1" spans="2:5">
      <c r="B17" s="11">
        <v>20240410</v>
      </c>
      <c r="C17" s="11" t="s">
        <v>20</v>
      </c>
      <c r="D17" s="11" t="s">
        <v>1289</v>
      </c>
      <c r="E17" s="11" t="s">
        <v>1290</v>
      </c>
    </row>
    <row r="18" ht="27" customHeight="1" spans="2:5">
      <c r="B18" s="11">
        <v>20240416</v>
      </c>
      <c r="C18" s="11" t="s">
        <v>14</v>
      </c>
      <c r="D18" s="11" t="s">
        <v>1291</v>
      </c>
      <c r="E18" s="11" t="s">
        <v>1292</v>
      </c>
    </row>
    <row r="19" ht="45.95" customHeight="1" spans="2:5">
      <c r="B19" s="11">
        <v>20240417</v>
      </c>
      <c r="C19" s="11" t="s">
        <v>14</v>
      </c>
      <c r="D19" s="11" t="s">
        <v>1293</v>
      </c>
      <c r="E19" s="11" t="s">
        <v>1294</v>
      </c>
    </row>
    <row r="20" ht="27" customHeight="1" spans="2:5">
      <c r="B20" s="11">
        <v>20240423</v>
      </c>
      <c r="C20" s="11" t="s">
        <v>20</v>
      </c>
      <c r="D20" s="11" t="s">
        <v>1295</v>
      </c>
      <c r="E20" s="11" t="s">
        <v>1296</v>
      </c>
    </row>
    <row r="21" ht="27" customHeight="1" spans="2:5">
      <c r="B21" s="11">
        <v>20240425</v>
      </c>
      <c r="C21" s="11" t="s">
        <v>20</v>
      </c>
      <c r="D21" s="11" t="s">
        <v>1297</v>
      </c>
      <c r="E21" s="11" t="s">
        <v>1298</v>
      </c>
    </row>
    <row r="22" ht="27" customHeight="1" spans="2:5">
      <c r="B22" s="12">
        <v>20240513</v>
      </c>
      <c r="C22" s="12" t="s">
        <v>20</v>
      </c>
      <c r="D22" s="12" t="s">
        <v>1299</v>
      </c>
      <c r="E22" s="12" t="s">
        <v>1300</v>
      </c>
    </row>
    <row r="23" ht="27" customHeight="1" spans="2:5">
      <c r="B23" s="12">
        <v>20240513</v>
      </c>
      <c r="C23" s="12" t="s">
        <v>20</v>
      </c>
      <c r="D23" s="12" t="s">
        <v>1301</v>
      </c>
      <c r="E23" s="12" t="s">
        <v>1300</v>
      </c>
    </row>
    <row r="24" ht="27" customHeight="1" spans="2:5">
      <c r="B24" s="12">
        <v>20240514</v>
      </c>
      <c r="C24" s="12" t="s">
        <v>14</v>
      </c>
      <c r="D24" s="12" t="s">
        <v>1302</v>
      </c>
      <c r="E24" s="12" t="s">
        <v>1303</v>
      </c>
    </row>
    <row r="25" ht="27" customHeight="1" spans="2:5">
      <c r="B25" s="12">
        <v>20240514</v>
      </c>
      <c r="C25" s="12" t="s">
        <v>20</v>
      </c>
      <c r="D25" s="12" t="s">
        <v>1304</v>
      </c>
      <c r="E25" s="12" t="s">
        <v>1305</v>
      </c>
    </row>
    <row r="26" ht="27" customHeight="1" spans="2:5">
      <c r="B26" s="12">
        <v>20240520</v>
      </c>
      <c r="C26" s="12" t="s">
        <v>1306</v>
      </c>
      <c r="D26" s="12" t="s">
        <v>1307</v>
      </c>
      <c r="E26" s="12" t="s">
        <v>1308</v>
      </c>
    </row>
    <row r="27" ht="27" customHeight="1" spans="2:5">
      <c r="B27" s="12">
        <v>20240520</v>
      </c>
      <c r="C27" s="12" t="s">
        <v>1306</v>
      </c>
      <c r="D27" s="12" t="s">
        <v>1309</v>
      </c>
      <c r="E27" s="12" t="s">
        <v>1308</v>
      </c>
    </row>
    <row r="28" ht="27" customHeight="1" spans="2:5">
      <c r="B28" s="12">
        <v>20240521</v>
      </c>
      <c r="C28" s="12" t="s">
        <v>14</v>
      </c>
      <c r="D28" s="12" t="s">
        <v>1310</v>
      </c>
      <c r="E28" s="12" t="s">
        <v>1311</v>
      </c>
    </row>
    <row r="29" ht="51" customHeight="1" spans="2:5">
      <c r="B29" s="12">
        <v>20240524</v>
      </c>
      <c r="C29" s="12" t="s">
        <v>1312</v>
      </c>
      <c r="D29" s="12" t="s">
        <v>1313</v>
      </c>
      <c r="E29" s="12" t="s">
        <v>1314</v>
      </c>
    </row>
    <row r="30" ht="27" customHeight="1" spans="2:5">
      <c r="B30" s="12">
        <v>20240601</v>
      </c>
      <c r="C30" s="12" t="s">
        <v>14</v>
      </c>
      <c r="D30" s="12" t="s">
        <v>1315</v>
      </c>
      <c r="E30" s="12" t="s">
        <v>1316</v>
      </c>
    </row>
    <row r="31" ht="27" customHeight="1" spans="2:5">
      <c r="B31" s="12">
        <v>20240606</v>
      </c>
      <c r="C31" s="12" t="s">
        <v>14</v>
      </c>
      <c r="D31" s="12" t="s">
        <v>1317</v>
      </c>
      <c r="E31" s="12" t="s">
        <v>1318</v>
      </c>
    </row>
    <row r="32" ht="27" customHeight="1" spans="2:5">
      <c r="B32" s="12">
        <v>20240606</v>
      </c>
      <c r="C32" s="12" t="s">
        <v>1319</v>
      </c>
      <c r="D32" s="12" t="s">
        <v>1320</v>
      </c>
      <c r="E32" s="12"/>
    </row>
    <row r="33" ht="27" customHeight="1" spans="2:5">
      <c r="B33" s="12">
        <v>20240606</v>
      </c>
      <c r="C33" s="12" t="s">
        <v>30</v>
      </c>
      <c r="D33" s="12" t="s">
        <v>1321</v>
      </c>
      <c r="E33" s="12"/>
    </row>
    <row r="34" ht="27" customHeight="1" spans="2:5">
      <c r="B34" s="12">
        <v>20240620</v>
      </c>
      <c r="C34" s="12" t="s">
        <v>1319</v>
      </c>
      <c r="D34" s="12" t="s">
        <v>1322</v>
      </c>
      <c r="E34" s="12"/>
    </row>
    <row r="35" ht="27" customHeight="1" spans="2:5">
      <c r="B35" s="12">
        <v>20240620</v>
      </c>
      <c r="C35" s="12" t="s">
        <v>11</v>
      </c>
      <c r="D35" s="12" t="s">
        <v>1323</v>
      </c>
      <c r="E35" s="12"/>
    </row>
    <row r="36" ht="27" customHeight="1" spans="2:5">
      <c r="B36" s="12">
        <v>20240620</v>
      </c>
      <c r="C36" s="12" t="s">
        <v>14</v>
      </c>
      <c r="D36" s="12" t="s">
        <v>1324</v>
      </c>
      <c r="E36" s="12" t="s">
        <v>1325</v>
      </c>
    </row>
    <row r="37" ht="33" spans="2:5">
      <c r="B37" s="12">
        <v>20240620</v>
      </c>
      <c r="C37" s="12" t="s">
        <v>1326</v>
      </c>
      <c r="D37" s="12" t="s">
        <v>1327</v>
      </c>
      <c r="E37" s="12" t="s">
        <v>1328</v>
      </c>
    </row>
    <row r="38" ht="27" customHeight="1" spans="2:5">
      <c r="B38" s="12">
        <v>20240704</v>
      </c>
      <c r="C38" s="12" t="s">
        <v>26</v>
      </c>
      <c r="D38" s="12" t="s">
        <v>1329</v>
      </c>
      <c r="E38" s="12" t="s">
        <v>1330</v>
      </c>
    </row>
    <row r="39" ht="27" customHeight="1" spans="2:5">
      <c r="B39" s="12">
        <v>20240705</v>
      </c>
      <c r="C39" s="12" t="s">
        <v>14</v>
      </c>
      <c r="D39" s="12" t="s">
        <v>1331</v>
      </c>
      <c r="E39" s="12" t="s">
        <v>1332</v>
      </c>
    </row>
    <row r="40" ht="27" customHeight="1" spans="2:5">
      <c r="B40" s="12">
        <v>20240719</v>
      </c>
      <c r="C40" s="12" t="s">
        <v>14</v>
      </c>
      <c r="D40" s="12" t="s">
        <v>1333</v>
      </c>
      <c r="E40" s="12" t="s">
        <v>1334</v>
      </c>
    </row>
    <row r="41" ht="27" customHeight="1" spans="2:5">
      <c r="B41" s="12">
        <v>20240719</v>
      </c>
      <c r="C41" s="12" t="s">
        <v>30</v>
      </c>
      <c r="D41" s="12" t="s">
        <v>1335</v>
      </c>
      <c r="E41" s="12" t="s">
        <v>1336</v>
      </c>
    </row>
    <row r="42" ht="38.1" customHeight="1" spans="2:5">
      <c r="B42" s="12">
        <v>20240719</v>
      </c>
      <c r="C42" s="12" t="s">
        <v>26</v>
      </c>
      <c r="D42" s="12" t="s">
        <v>1337</v>
      </c>
      <c r="E42" s="12" t="s">
        <v>1336</v>
      </c>
    </row>
    <row r="43" ht="27" customHeight="1" spans="2:5">
      <c r="B43" s="12">
        <v>20240729</v>
      </c>
      <c r="C43" s="12" t="s">
        <v>14</v>
      </c>
      <c r="D43" s="12" t="s">
        <v>1338</v>
      </c>
      <c r="E43" s="12" t="s">
        <v>1339</v>
      </c>
    </row>
    <row r="44" ht="27" customHeight="1" spans="2:5">
      <c r="B44" s="12">
        <v>20240805</v>
      </c>
      <c r="C44" s="12" t="s">
        <v>14</v>
      </c>
      <c r="D44" s="12" t="s">
        <v>1340</v>
      </c>
      <c r="E44" s="12" t="s">
        <v>1341</v>
      </c>
    </row>
    <row r="45" ht="27" customHeight="1" spans="2:5">
      <c r="B45" s="12">
        <v>20240807</v>
      </c>
      <c r="C45" s="12" t="s">
        <v>1319</v>
      </c>
      <c r="D45" s="12" t="s">
        <v>1342</v>
      </c>
      <c r="E45" s="13"/>
    </row>
    <row r="46" ht="27" customHeight="1" spans="2:5">
      <c r="B46" s="12">
        <v>20240819</v>
      </c>
      <c r="C46" s="12" t="s">
        <v>11</v>
      </c>
      <c r="D46" s="12" t="s">
        <v>1343</v>
      </c>
      <c r="E46" s="13"/>
    </row>
    <row r="47" ht="33" spans="2:5">
      <c r="B47" s="12">
        <v>20240822</v>
      </c>
      <c r="C47" s="12" t="s">
        <v>1344</v>
      </c>
      <c r="D47" s="12" t="s">
        <v>1345</v>
      </c>
      <c r="E47" s="14" t="s">
        <v>1346</v>
      </c>
    </row>
    <row r="48" ht="30.95" customHeight="1" spans="2:5">
      <c r="B48" s="12">
        <v>20240826</v>
      </c>
      <c r="C48" s="12" t="s">
        <v>1347</v>
      </c>
      <c r="D48" s="12" t="s">
        <v>1348</v>
      </c>
      <c r="E48" s="14"/>
    </row>
    <row r="49" ht="33" spans="2:5">
      <c r="B49" s="12">
        <v>20240828</v>
      </c>
      <c r="C49" s="12" t="s">
        <v>1347</v>
      </c>
      <c r="D49" s="12" t="s">
        <v>1349</v>
      </c>
      <c r="E49" s="15"/>
    </row>
    <row r="50" ht="30.75" customHeight="1" spans="2:5">
      <c r="B50" s="12">
        <v>20240830</v>
      </c>
      <c r="C50" s="12" t="s">
        <v>14</v>
      </c>
      <c r="D50" s="12" t="s">
        <v>1350</v>
      </c>
      <c r="E50" s="12" t="s">
        <v>1351</v>
      </c>
    </row>
    <row r="51" ht="27" customHeight="1" spans="2:5">
      <c r="B51" s="12">
        <v>20240906</v>
      </c>
      <c r="C51" s="12" t="s">
        <v>30</v>
      </c>
      <c r="D51" s="12" t="s">
        <v>1352</v>
      </c>
      <c r="E51" s="12" t="s">
        <v>1353</v>
      </c>
    </row>
    <row r="52" ht="33" spans="2:5">
      <c r="B52" s="12">
        <v>20240912</v>
      </c>
      <c r="C52" s="12" t="s">
        <v>14</v>
      </c>
      <c r="D52" s="12" t="s">
        <v>1354</v>
      </c>
      <c r="E52" s="12" t="s">
        <v>1355</v>
      </c>
    </row>
    <row r="53" ht="27" customHeight="1" spans="2:5">
      <c r="B53" s="12">
        <v>20241011</v>
      </c>
      <c r="C53" s="12" t="s">
        <v>14</v>
      </c>
      <c r="D53" s="12" t="s">
        <v>1356</v>
      </c>
      <c r="E53" s="12" t="s">
        <v>1357</v>
      </c>
    </row>
    <row r="54" ht="27" customHeight="1" spans="2:5">
      <c r="B54" s="12">
        <v>20241017</v>
      </c>
      <c r="C54" s="12" t="s">
        <v>14</v>
      </c>
      <c r="D54" s="12" t="s">
        <v>1358</v>
      </c>
      <c r="E54" s="12" t="s">
        <v>1359</v>
      </c>
    </row>
    <row r="55" s="1" customFormat="1" ht="27" customHeight="1" spans="1:26">
      <c r="A55" s="16"/>
      <c r="B55" s="12">
        <v>20241023</v>
      </c>
      <c r="C55" s="12" t="s">
        <v>14</v>
      </c>
      <c r="D55" s="12" t="s">
        <v>1358</v>
      </c>
      <c r="E55" s="12" t="s">
        <v>1360</v>
      </c>
      <c r="F55" s="16"/>
      <c r="G55" s="16"/>
      <c r="H55" s="16"/>
      <c r="I55" s="16"/>
      <c r="J55" s="16"/>
      <c r="K55" s="16"/>
      <c r="L55" s="16"/>
      <c r="M55" s="16"/>
      <c r="N55" s="16"/>
      <c r="O55" s="16"/>
      <c r="P55" s="16"/>
      <c r="Q55" s="16"/>
      <c r="R55" s="16"/>
      <c r="S55" s="16"/>
      <c r="T55" s="16"/>
      <c r="U55" s="16"/>
      <c r="V55" s="16"/>
      <c r="W55" s="16"/>
      <c r="X55" s="16"/>
      <c r="Y55" s="16"/>
      <c r="Z55" s="16"/>
    </row>
    <row r="56" s="1" customFormat="1" ht="27" customHeight="1" spans="1:26">
      <c r="A56" s="16"/>
      <c r="B56" s="12">
        <v>20241028</v>
      </c>
      <c r="C56" s="12" t="s">
        <v>14</v>
      </c>
      <c r="D56" s="12" t="s">
        <v>1358</v>
      </c>
      <c r="E56" s="12" t="s">
        <v>1361</v>
      </c>
      <c r="F56" s="16"/>
      <c r="G56" s="16"/>
      <c r="H56" s="16"/>
      <c r="I56" s="16"/>
      <c r="J56" s="16"/>
      <c r="K56" s="16"/>
      <c r="L56" s="16"/>
      <c r="M56" s="16"/>
      <c r="N56" s="16"/>
      <c r="O56" s="16"/>
      <c r="P56" s="16"/>
      <c r="Q56" s="16"/>
      <c r="R56" s="16"/>
      <c r="S56" s="16"/>
      <c r="T56" s="16"/>
      <c r="U56" s="16"/>
      <c r="V56" s="16"/>
      <c r="W56" s="16"/>
      <c r="X56" s="16"/>
      <c r="Y56" s="16"/>
      <c r="Z56" s="16"/>
    </row>
    <row r="57" ht="27" customHeight="1" spans="2:5">
      <c r="B57" s="12">
        <v>20241030</v>
      </c>
      <c r="C57" s="12" t="s">
        <v>1319</v>
      </c>
      <c r="D57" s="12" t="s">
        <v>1362</v>
      </c>
      <c r="E57" s="12"/>
    </row>
    <row r="58" ht="27" customHeight="1" spans="2:5">
      <c r="B58" s="12">
        <v>20241106</v>
      </c>
      <c r="C58" s="12" t="s">
        <v>1319</v>
      </c>
      <c r="D58" s="12" t="s">
        <v>1363</v>
      </c>
      <c r="E58" s="12" t="s">
        <v>1364</v>
      </c>
    </row>
    <row r="59" ht="27" customHeight="1" spans="2:5">
      <c r="B59" s="12">
        <v>20241106</v>
      </c>
      <c r="C59" s="12" t="s">
        <v>17</v>
      </c>
      <c r="D59" s="12" t="s">
        <v>1365</v>
      </c>
      <c r="E59" s="12" t="s">
        <v>1364</v>
      </c>
    </row>
    <row r="60" ht="62.1" customHeight="1" spans="2:5">
      <c r="B60" s="12">
        <v>20241114</v>
      </c>
      <c r="C60" s="15" t="s">
        <v>1366</v>
      </c>
      <c r="D60" s="12" t="s">
        <v>1367</v>
      </c>
      <c r="E60" s="15"/>
    </row>
    <row r="61" ht="33" customHeight="1" spans="2:5">
      <c r="B61" s="12">
        <v>20241121</v>
      </c>
      <c r="C61" s="12" t="s">
        <v>1344</v>
      </c>
      <c r="D61" s="12" t="s">
        <v>1368</v>
      </c>
      <c r="E61" s="12" t="s">
        <v>1369</v>
      </c>
    </row>
    <row r="62" ht="33" customHeight="1" spans="2:5">
      <c r="B62" s="12">
        <v>20241203</v>
      </c>
      <c r="C62" s="12" t="s">
        <v>1191</v>
      </c>
      <c r="D62" s="12" t="s">
        <v>1370</v>
      </c>
      <c r="E62" s="12"/>
    </row>
    <row r="63" ht="33" spans="2:5">
      <c r="B63" s="12">
        <v>20241204</v>
      </c>
      <c r="C63" s="12" t="s">
        <v>1371</v>
      </c>
      <c r="D63" s="12" t="s">
        <v>1372</v>
      </c>
      <c r="E63" s="12" t="s">
        <v>1373</v>
      </c>
    </row>
    <row r="64" ht="33" spans="2:5">
      <c r="B64" s="12">
        <v>20241206</v>
      </c>
      <c r="C64" s="12" t="s">
        <v>1374</v>
      </c>
      <c r="D64" s="12" t="s">
        <v>1375</v>
      </c>
      <c r="E64" s="12" t="s">
        <v>1376</v>
      </c>
    </row>
    <row r="65" ht="27" customHeight="1" spans="2:5">
      <c r="B65" s="12">
        <v>20241219</v>
      </c>
      <c r="C65" s="12" t="s">
        <v>14</v>
      </c>
      <c r="D65" s="12" t="s">
        <v>1377</v>
      </c>
      <c r="E65" s="12" t="s">
        <v>1378</v>
      </c>
    </row>
    <row r="66" ht="27" customHeight="1" spans="2:5">
      <c r="B66" s="12">
        <v>20241219</v>
      </c>
      <c r="C66" s="12" t="s">
        <v>14</v>
      </c>
      <c r="D66" s="12" t="s">
        <v>1379</v>
      </c>
      <c r="E66" s="12" t="s">
        <v>1380</v>
      </c>
    </row>
    <row r="67" ht="75.95" customHeight="1" spans="2:5">
      <c r="B67" s="12">
        <v>20241223</v>
      </c>
      <c r="C67" s="15" t="s">
        <v>1366</v>
      </c>
      <c r="D67" s="12" t="s">
        <v>1381</v>
      </c>
      <c r="E67" s="12"/>
    </row>
    <row r="68" ht="24" customHeight="1" spans="2:5">
      <c r="B68" s="12">
        <v>20241223</v>
      </c>
      <c r="C68" s="12" t="s">
        <v>14</v>
      </c>
      <c r="D68" s="12" t="s">
        <v>1382</v>
      </c>
      <c r="E68" s="12" t="s">
        <v>1383</v>
      </c>
    </row>
    <row r="69" ht="24" customHeight="1" spans="2:5">
      <c r="B69" s="12">
        <v>20241226</v>
      </c>
      <c r="C69" s="12" t="s">
        <v>1384</v>
      </c>
      <c r="D69" s="12" t="s">
        <v>1385</v>
      </c>
      <c r="E69" s="12" t="s">
        <v>1386</v>
      </c>
    </row>
    <row r="70" ht="24" customHeight="1" spans="2:5">
      <c r="B70" s="12">
        <v>20250113</v>
      </c>
      <c r="C70" s="12" t="s">
        <v>1387</v>
      </c>
      <c r="D70" s="12" t="s">
        <v>1388</v>
      </c>
      <c r="E70" s="12" t="s">
        <v>1389</v>
      </c>
    </row>
    <row r="71" ht="24" customHeight="1" spans="2:5">
      <c r="B71" s="12">
        <v>20250123</v>
      </c>
      <c r="C71" s="12" t="s">
        <v>14</v>
      </c>
      <c r="D71" s="12" t="s">
        <v>1390</v>
      </c>
      <c r="E71" s="12" t="s">
        <v>1391</v>
      </c>
    </row>
    <row r="72" ht="33" spans="2:5">
      <c r="B72" s="12">
        <v>20250123</v>
      </c>
      <c r="C72" s="12" t="s">
        <v>14</v>
      </c>
      <c r="D72" s="12" t="s">
        <v>1392</v>
      </c>
      <c r="E72" s="12" t="s">
        <v>1391</v>
      </c>
    </row>
    <row r="73" ht="24" customHeight="1" spans="2:5">
      <c r="B73" s="12">
        <v>20250206</v>
      </c>
      <c r="C73" s="12" t="s">
        <v>1319</v>
      </c>
      <c r="D73" s="12" t="s">
        <v>1393</v>
      </c>
      <c r="E73" s="12" t="s">
        <v>1394</v>
      </c>
    </row>
    <row r="74" ht="24" customHeight="1" spans="2:5">
      <c r="B74" s="12">
        <v>20250219</v>
      </c>
      <c r="C74" s="12" t="s">
        <v>17</v>
      </c>
      <c r="D74" s="12" t="s">
        <v>1395</v>
      </c>
      <c r="E74" s="12" t="s">
        <v>1396</v>
      </c>
    </row>
    <row r="75" ht="24" customHeight="1" spans="2:5">
      <c r="B75" s="12">
        <v>20250224</v>
      </c>
      <c r="C75" s="12" t="s">
        <v>14</v>
      </c>
      <c r="D75" s="12" t="s">
        <v>1397</v>
      </c>
      <c r="E75" s="12" t="s">
        <v>1398</v>
      </c>
    </row>
    <row r="76" ht="24" customHeight="1" spans="2:5">
      <c r="B76" s="12">
        <v>20250307</v>
      </c>
      <c r="C76" s="12" t="s">
        <v>1399</v>
      </c>
      <c r="D76" s="12" t="s">
        <v>1400</v>
      </c>
      <c r="E76" s="12"/>
    </row>
    <row r="77" ht="33" spans="2:5">
      <c r="B77" s="12">
        <v>20250307</v>
      </c>
      <c r="C77" s="12" t="s">
        <v>1401</v>
      </c>
      <c r="D77" s="12" t="s">
        <v>1402</v>
      </c>
      <c r="E77" s="15"/>
    </row>
    <row r="78" ht="24" customHeight="1" spans="2:5">
      <c r="B78" s="12">
        <v>20250307</v>
      </c>
      <c r="C78" s="12" t="s">
        <v>14</v>
      </c>
      <c r="D78" s="12" t="s">
        <v>1403</v>
      </c>
      <c r="E78" s="12" t="s">
        <v>1404</v>
      </c>
    </row>
    <row r="79" ht="24" customHeight="1" spans="2:5">
      <c r="B79" s="12">
        <v>20250310</v>
      </c>
      <c r="C79" s="12" t="s">
        <v>1405</v>
      </c>
      <c r="D79" s="12" t="s">
        <v>1406</v>
      </c>
      <c r="E79" s="12" t="s">
        <v>1407</v>
      </c>
    </row>
    <row r="80" ht="24" customHeight="1" spans="2:5">
      <c r="B80" s="12">
        <v>20250311</v>
      </c>
      <c r="C80" s="12" t="s">
        <v>14</v>
      </c>
      <c r="D80" s="12" t="s">
        <v>1408</v>
      </c>
      <c r="E80" s="12" t="s">
        <v>1409</v>
      </c>
    </row>
    <row r="81" ht="24" customHeight="1" spans="2:5">
      <c r="B81" s="12">
        <v>20250326</v>
      </c>
      <c r="C81" s="12" t="s">
        <v>1410</v>
      </c>
      <c r="D81" s="12" t="s">
        <v>1411</v>
      </c>
      <c r="E81" s="12" t="s">
        <v>1412</v>
      </c>
    </row>
    <row r="82" ht="33" spans="2:5">
      <c r="B82" s="12">
        <v>20250408</v>
      </c>
      <c r="C82" s="12" t="s">
        <v>14</v>
      </c>
      <c r="D82" s="12" t="s">
        <v>1413</v>
      </c>
      <c r="E82" s="12" t="s">
        <v>1414</v>
      </c>
    </row>
    <row r="83" ht="33" spans="2:5">
      <c r="B83" s="12">
        <v>20250408</v>
      </c>
      <c r="C83" s="12" t="s">
        <v>14</v>
      </c>
      <c r="D83" s="12" t="s">
        <v>1415</v>
      </c>
      <c r="E83" s="12" t="s">
        <v>1416</v>
      </c>
    </row>
    <row r="84" ht="24" customHeight="1" spans="2:5">
      <c r="B84" s="12">
        <v>20250409</v>
      </c>
      <c r="C84" s="12" t="s">
        <v>14</v>
      </c>
      <c r="D84" s="12" t="s">
        <v>1417</v>
      </c>
      <c r="E84" s="12" t="s">
        <v>1418</v>
      </c>
    </row>
    <row r="85" ht="24" customHeight="1" spans="2:5">
      <c r="B85" s="12">
        <v>20250411</v>
      </c>
      <c r="C85" s="12" t="s">
        <v>14</v>
      </c>
      <c r="D85" s="12" t="s">
        <v>1419</v>
      </c>
      <c r="E85" s="12" t="s">
        <v>1420</v>
      </c>
    </row>
    <row r="86" ht="24" customHeight="1" spans="2:5">
      <c r="B86" s="12">
        <v>20250506</v>
      </c>
      <c r="C86" s="12" t="s">
        <v>14</v>
      </c>
      <c r="D86" s="12" t="s">
        <v>1421</v>
      </c>
      <c r="E86" s="12" t="s">
        <v>1422</v>
      </c>
    </row>
    <row r="87" ht="24" customHeight="1" spans="2:5">
      <c r="B87" s="12">
        <v>20250506</v>
      </c>
      <c r="C87" s="12" t="s">
        <v>14</v>
      </c>
      <c r="D87" s="12" t="s">
        <v>1423</v>
      </c>
      <c r="E87" s="12" t="s">
        <v>1422</v>
      </c>
    </row>
    <row r="88" ht="24" customHeight="1" spans="2:5">
      <c r="B88" s="11">
        <v>20250603</v>
      </c>
      <c r="C88" s="11" t="s">
        <v>14</v>
      </c>
      <c r="D88" s="11" t="s">
        <v>1424</v>
      </c>
      <c r="E88" s="11" t="s">
        <v>1425</v>
      </c>
    </row>
    <row r="89" ht="24" customHeight="1" spans="2:5">
      <c r="B89" s="12">
        <v>20250609</v>
      </c>
      <c r="C89" s="12" t="s">
        <v>27</v>
      </c>
      <c r="D89" s="12" t="s">
        <v>1426</v>
      </c>
      <c r="E89" s="12" t="s">
        <v>1427</v>
      </c>
    </row>
    <row r="90" ht="49.5" spans="2:5">
      <c r="B90" s="12">
        <v>20250609</v>
      </c>
      <c r="C90" s="15" t="s">
        <v>1428</v>
      </c>
      <c r="D90" s="12" t="s">
        <v>1429</v>
      </c>
      <c r="E90" s="12" t="s">
        <v>1430</v>
      </c>
    </row>
    <row r="91" ht="24" customHeight="1" spans="2:5">
      <c r="B91" s="12">
        <v>20250609</v>
      </c>
      <c r="C91" s="12" t="s">
        <v>14</v>
      </c>
      <c r="D91" s="12" t="s">
        <v>1431</v>
      </c>
      <c r="E91" s="12" t="s">
        <v>1430</v>
      </c>
    </row>
    <row r="92" ht="24" customHeight="1" spans="2:5">
      <c r="B92" s="12">
        <v>20250618</v>
      </c>
      <c r="C92" s="12" t="s">
        <v>20</v>
      </c>
      <c r="D92" s="12" t="s">
        <v>1432</v>
      </c>
      <c r="E92" s="12" t="s">
        <v>1433</v>
      </c>
    </row>
    <row r="93" spans="2:5">
      <c r="B93" s="12">
        <v>20250618</v>
      </c>
      <c r="C93" s="12" t="s">
        <v>14</v>
      </c>
      <c r="D93" s="12" t="s">
        <v>1434</v>
      </c>
      <c r="E93" s="12" t="s">
        <v>1435</v>
      </c>
    </row>
    <row r="94" ht="33" spans="2:5">
      <c r="B94" s="12">
        <v>20250618</v>
      </c>
      <c r="C94" s="12" t="s">
        <v>1436</v>
      </c>
      <c r="D94" s="12" t="s">
        <v>1437</v>
      </c>
      <c r="E94" s="12" t="s">
        <v>1433</v>
      </c>
    </row>
    <row r="95" ht="33" spans="2:5">
      <c r="B95" s="12">
        <v>20250630</v>
      </c>
      <c r="C95" s="12" t="s">
        <v>1319</v>
      </c>
      <c r="D95" s="12" t="s">
        <v>1438</v>
      </c>
      <c r="E95" s="12"/>
    </row>
    <row r="96" spans="2:5">
      <c r="B96" s="12">
        <v>20250630</v>
      </c>
      <c r="C96" s="12" t="s">
        <v>1319</v>
      </c>
      <c r="D96" s="12" t="s">
        <v>1439</v>
      </c>
      <c r="E96" s="12"/>
    </row>
    <row r="97" ht="33" spans="2:5">
      <c r="B97" s="12">
        <v>20250630</v>
      </c>
      <c r="C97" s="12" t="s">
        <v>1319</v>
      </c>
      <c r="D97" s="12" t="s">
        <v>1440</v>
      </c>
      <c r="E97" s="12"/>
    </row>
    <row r="98" spans="2:5">
      <c r="B98" s="12">
        <v>20250630</v>
      </c>
      <c r="C98" s="12" t="s">
        <v>1319</v>
      </c>
      <c r="D98" s="12" t="s">
        <v>1441</v>
      </c>
      <c r="E98" s="12"/>
    </row>
    <row r="99" spans="2:5">
      <c r="B99" s="12">
        <v>20250630</v>
      </c>
      <c r="C99" s="12" t="s">
        <v>1319</v>
      </c>
      <c r="D99" s="12" t="s">
        <v>1442</v>
      </c>
      <c r="E99" s="12"/>
    </row>
    <row r="100" ht="24" customHeight="1" spans="2:5">
      <c r="B100" s="12">
        <v>20250630</v>
      </c>
      <c r="C100" s="12" t="s">
        <v>29</v>
      </c>
      <c r="D100" s="12" t="s">
        <v>1443</v>
      </c>
      <c r="E100" s="12" t="s">
        <v>1444</v>
      </c>
    </row>
    <row r="101" ht="49.5" spans="2:5">
      <c r="B101" s="12">
        <v>20250708</v>
      </c>
      <c r="C101" s="12" t="s">
        <v>1428</v>
      </c>
      <c r="D101" s="12" t="s">
        <v>1445</v>
      </c>
      <c r="E101" s="12" t="s">
        <v>1446</v>
      </c>
    </row>
    <row r="102" ht="24" customHeight="1" spans="2:5">
      <c r="B102" s="12">
        <v>20250714</v>
      </c>
      <c r="C102" s="12" t="s">
        <v>14</v>
      </c>
      <c r="D102" s="12" t="s">
        <v>1447</v>
      </c>
      <c r="E102" s="12" t="s">
        <v>1448</v>
      </c>
    </row>
    <row r="103" ht="24" customHeight="1" spans="2:5">
      <c r="B103" s="12">
        <v>20250717</v>
      </c>
      <c r="C103" s="12" t="s">
        <v>1410</v>
      </c>
      <c r="D103" s="12" t="s">
        <v>1449</v>
      </c>
      <c r="E103" s="12" t="s">
        <v>1450</v>
      </c>
    </row>
    <row r="104" s="2" customFormat="1" ht="49.5" spans="1:26">
      <c r="A104" s="17"/>
      <c r="B104" s="12">
        <v>20250717</v>
      </c>
      <c r="C104" s="12" t="s">
        <v>1428</v>
      </c>
      <c r="D104" s="12" t="s">
        <v>1451</v>
      </c>
      <c r="E104" s="12" t="s">
        <v>1452</v>
      </c>
      <c r="F104" s="17"/>
      <c r="G104" s="17"/>
      <c r="H104" s="17"/>
      <c r="I104" s="17"/>
      <c r="J104" s="17"/>
      <c r="K104" s="17"/>
      <c r="L104" s="17"/>
      <c r="M104" s="17"/>
      <c r="N104" s="17"/>
      <c r="O104" s="17"/>
      <c r="P104" s="17"/>
      <c r="Q104" s="17"/>
      <c r="R104" s="17"/>
      <c r="S104" s="17"/>
      <c r="T104" s="17"/>
      <c r="U104" s="17"/>
      <c r="V104" s="17"/>
      <c r="W104" s="17"/>
      <c r="X104" s="17"/>
      <c r="Y104" s="17"/>
      <c r="Z104" s="17"/>
    </row>
    <row r="105" ht="24" customHeight="1" spans="2:5">
      <c r="B105" s="12">
        <v>20250723</v>
      </c>
      <c r="C105" s="12" t="s">
        <v>14</v>
      </c>
      <c r="D105" s="12" t="s">
        <v>1453</v>
      </c>
      <c r="E105" s="12" t="s">
        <v>1454</v>
      </c>
    </row>
    <row r="106" ht="24" customHeight="1" spans="2:5">
      <c r="B106" s="12">
        <v>20250723</v>
      </c>
      <c r="C106" s="12" t="s">
        <v>1410</v>
      </c>
      <c r="D106" s="12" t="s">
        <v>1455</v>
      </c>
      <c r="E106" s="12" t="s">
        <v>1456</v>
      </c>
    </row>
    <row r="107" ht="24" customHeight="1" spans="2:5">
      <c r="B107" s="12">
        <v>20250725</v>
      </c>
      <c r="C107" s="12" t="s">
        <v>1306</v>
      </c>
      <c r="D107" s="12" t="s">
        <v>1457</v>
      </c>
      <c r="E107" s="12" t="s">
        <v>1458</v>
      </c>
    </row>
    <row r="108" ht="24" customHeight="1" spans="2:5">
      <c r="B108" s="12">
        <v>20250725</v>
      </c>
      <c r="C108" s="12" t="s">
        <v>1410</v>
      </c>
      <c r="D108" s="12" t="s">
        <v>1459</v>
      </c>
      <c r="E108" s="12" t="s">
        <v>1460</v>
      </c>
    </row>
    <row r="109" ht="24" customHeight="1" spans="2:5">
      <c r="B109" s="12">
        <v>20250725</v>
      </c>
      <c r="C109" s="12" t="s">
        <v>1410</v>
      </c>
      <c r="D109" s="12" t="s">
        <v>1461</v>
      </c>
      <c r="E109" s="12" t="s">
        <v>1462</v>
      </c>
    </row>
    <row r="110" ht="24" customHeight="1" spans="2:5">
      <c r="B110" s="12">
        <v>20250730</v>
      </c>
      <c r="C110" s="12" t="s">
        <v>1410</v>
      </c>
      <c r="D110" s="12" t="s">
        <v>1463</v>
      </c>
      <c r="E110" s="12" t="s">
        <v>1464</v>
      </c>
    </row>
    <row r="111" ht="24" customHeight="1" spans="2:5">
      <c r="B111" s="12">
        <v>20250813</v>
      </c>
      <c r="C111" s="12" t="s">
        <v>1410</v>
      </c>
      <c r="D111" s="12" t="s">
        <v>1465</v>
      </c>
      <c r="E111" s="12" t="s">
        <v>1466</v>
      </c>
    </row>
    <row r="112" ht="24" customHeight="1" spans="2:5">
      <c r="B112" s="12">
        <v>20250828</v>
      </c>
      <c r="C112" s="12" t="s">
        <v>14</v>
      </c>
      <c r="D112" s="12" t="s">
        <v>1467</v>
      </c>
      <c r="E112" s="12" t="s">
        <v>1468</v>
      </c>
    </row>
    <row r="113" ht="24" customHeight="1" spans="2:5">
      <c r="B113" s="12">
        <v>20250829</v>
      </c>
      <c r="C113" s="12" t="s">
        <v>1410</v>
      </c>
      <c r="D113" s="12" t="s">
        <v>1469</v>
      </c>
      <c r="E113" s="12" t="s">
        <v>1470</v>
      </c>
    </row>
    <row r="114" ht="24" customHeight="1" spans="2:5">
      <c r="B114" s="18">
        <v>20250902</v>
      </c>
      <c r="C114" s="18" t="s">
        <v>8</v>
      </c>
      <c r="D114" s="18" t="s">
        <v>1471</v>
      </c>
      <c r="E114" s="18" t="s">
        <v>1472</v>
      </c>
    </row>
    <row r="115" ht="29.1" customHeight="1" spans="2:5">
      <c r="B115" s="18">
        <v>20250902</v>
      </c>
      <c r="C115" s="18" t="s">
        <v>1473</v>
      </c>
      <c r="D115" s="18" t="s">
        <v>1474</v>
      </c>
      <c r="E115" s="18" t="s">
        <v>1472</v>
      </c>
    </row>
    <row r="116" ht="49.5" spans="2:5">
      <c r="B116" s="12">
        <v>20250908</v>
      </c>
      <c r="C116" s="12" t="s">
        <v>1428</v>
      </c>
      <c r="D116" s="12" t="s">
        <v>1475</v>
      </c>
      <c r="E116" s="12" t="s">
        <v>1472</v>
      </c>
    </row>
    <row r="117" spans="2:5">
      <c r="B117" s="12">
        <v>20250909</v>
      </c>
      <c r="C117" s="12" t="s">
        <v>1410</v>
      </c>
      <c r="D117" s="12" t="s">
        <v>1476</v>
      </c>
      <c r="E117" s="12" t="s">
        <v>1477</v>
      </c>
    </row>
    <row r="118" spans="2:5">
      <c r="B118" s="12">
        <v>20250910</v>
      </c>
      <c r="C118" s="12" t="s">
        <v>8</v>
      </c>
      <c r="D118" s="12" t="s">
        <v>1478</v>
      </c>
      <c r="E118" s="12"/>
    </row>
    <row r="119" spans="2:5">
      <c r="B119" s="12">
        <v>20250910</v>
      </c>
      <c r="C119" s="12" t="s">
        <v>11</v>
      </c>
      <c r="D119" s="12" t="s">
        <v>1479</v>
      </c>
      <c r="E119" s="12"/>
    </row>
    <row r="120" spans="2:5">
      <c r="B120" s="11">
        <v>20250912</v>
      </c>
      <c r="C120" s="11" t="s">
        <v>11</v>
      </c>
      <c r="D120" s="11" t="s">
        <v>1480</v>
      </c>
      <c r="E120" s="11" t="s">
        <v>1481</v>
      </c>
    </row>
    <row r="121" spans="2:5">
      <c r="B121" s="12">
        <v>20250926</v>
      </c>
      <c r="C121" s="12" t="s">
        <v>14</v>
      </c>
      <c r="D121" s="12" t="s">
        <v>1482</v>
      </c>
      <c r="E121" s="12" t="s">
        <v>1483</v>
      </c>
    </row>
    <row r="122" spans="2:5">
      <c r="B122" s="12">
        <v>20251009</v>
      </c>
      <c r="C122" s="12" t="s">
        <v>14</v>
      </c>
      <c r="D122" s="12" t="s">
        <v>1484</v>
      </c>
      <c r="E122" s="12" t="s">
        <v>1485</v>
      </c>
    </row>
    <row r="123" spans="2:5">
      <c r="B123" s="12">
        <v>20251009</v>
      </c>
      <c r="C123" s="12" t="s">
        <v>14</v>
      </c>
      <c r="D123" s="12" t="s">
        <v>1486</v>
      </c>
      <c r="E123" s="12" t="s">
        <v>1485</v>
      </c>
    </row>
    <row r="124" spans="2:5">
      <c r="B124" s="12">
        <v>20251010</v>
      </c>
      <c r="C124" s="12" t="s">
        <v>1410</v>
      </c>
      <c r="D124" s="12" t="s">
        <v>1487</v>
      </c>
      <c r="E124" s="12" t="s">
        <v>1488</v>
      </c>
    </row>
    <row r="125" ht="33" spans="2:5">
      <c r="B125" s="12">
        <v>20251010</v>
      </c>
      <c r="C125" s="12" t="s">
        <v>14</v>
      </c>
      <c r="D125" s="12" t="s">
        <v>1489</v>
      </c>
      <c r="E125" s="12" t="s">
        <v>1490</v>
      </c>
    </row>
    <row r="126" ht="33" spans="2:5">
      <c r="B126" s="12">
        <v>20251017</v>
      </c>
      <c r="C126" s="12" t="s">
        <v>1491</v>
      </c>
      <c r="D126" s="12" t="s">
        <v>1492</v>
      </c>
      <c r="E126" s="12"/>
    </row>
    <row r="127" spans="2:5">
      <c r="B127" s="12">
        <v>20251017</v>
      </c>
      <c r="C127" s="12" t="s">
        <v>14</v>
      </c>
      <c r="D127" s="12" t="s">
        <v>1493</v>
      </c>
      <c r="E127" s="12" t="s">
        <v>1494</v>
      </c>
    </row>
    <row r="128" ht="66" spans="2:5">
      <c r="B128" s="12">
        <v>20251020</v>
      </c>
      <c r="C128" s="12" t="s">
        <v>1495</v>
      </c>
      <c r="D128" s="12" t="s">
        <v>1496</v>
      </c>
      <c r="E128" s="12" t="s">
        <v>1497</v>
      </c>
    </row>
    <row r="129" spans="2:5">
      <c r="B129" s="12">
        <v>20251030</v>
      </c>
      <c r="C129" s="12" t="s">
        <v>29</v>
      </c>
      <c r="D129" s="12" t="s">
        <v>1498</v>
      </c>
      <c r="E129" s="12" t="s">
        <v>1499</v>
      </c>
    </row>
    <row r="130" spans="2:5">
      <c r="B130" s="12">
        <v>20251104</v>
      </c>
      <c r="C130" s="12" t="s">
        <v>14</v>
      </c>
      <c r="D130" s="12" t="s">
        <v>1500</v>
      </c>
      <c r="E130" s="12" t="s">
        <v>1501</v>
      </c>
    </row>
    <row r="131" spans="2:5">
      <c r="B131" s="12">
        <v>20251120</v>
      </c>
      <c r="C131" s="12" t="s">
        <v>1410</v>
      </c>
      <c r="D131" s="12" t="s">
        <v>1502</v>
      </c>
      <c r="E131" s="12" t="s">
        <v>1503</v>
      </c>
    </row>
    <row r="132" s="1" customFormat="1" ht="49.5" spans="1:26">
      <c r="A132" s="16"/>
      <c r="B132" s="12">
        <v>20251124</v>
      </c>
      <c r="C132" s="12" t="s">
        <v>1428</v>
      </c>
      <c r="D132" s="12" t="s">
        <v>1504</v>
      </c>
      <c r="E132" s="12" t="s">
        <v>1505</v>
      </c>
      <c r="F132" s="16"/>
      <c r="G132" s="16"/>
      <c r="H132" s="16"/>
      <c r="I132" s="16"/>
      <c r="J132" s="16"/>
      <c r="K132" s="16"/>
      <c r="L132" s="16"/>
      <c r="M132" s="16"/>
      <c r="N132" s="16"/>
      <c r="O132" s="16"/>
      <c r="P132" s="16"/>
      <c r="Q132" s="16"/>
      <c r="R132" s="16"/>
      <c r="S132" s="16"/>
      <c r="T132" s="16"/>
      <c r="U132" s="16"/>
      <c r="V132" s="16"/>
      <c r="W132" s="16"/>
      <c r="X132" s="16"/>
      <c r="Y132" s="16"/>
      <c r="Z132" s="16"/>
    </row>
    <row r="133" s="2" customFormat="1" spans="1:26">
      <c r="A133" s="17"/>
      <c r="B133" s="12">
        <v>20251128</v>
      </c>
      <c r="C133" s="12" t="s">
        <v>17</v>
      </c>
      <c r="D133" s="12" t="s">
        <v>1506</v>
      </c>
      <c r="E133" s="12" t="s">
        <v>1507</v>
      </c>
      <c r="F133" s="17"/>
      <c r="G133" s="17"/>
      <c r="H133" s="17"/>
      <c r="I133" s="17"/>
      <c r="J133" s="17"/>
      <c r="K133" s="17"/>
      <c r="L133" s="17"/>
      <c r="M133" s="17"/>
      <c r="N133" s="17"/>
      <c r="O133" s="17"/>
      <c r="P133" s="17"/>
      <c r="Q133" s="17"/>
      <c r="R133" s="17"/>
      <c r="S133" s="17"/>
      <c r="T133" s="17"/>
      <c r="U133" s="17"/>
      <c r="V133" s="17"/>
      <c r="W133" s="17"/>
      <c r="X133" s="17"/>
      <c r="Y133" s="17"/>
      <c r="Z133" s="17"/>
    </row>
    <row r="134" ht="33" spans="2:5">
      <c r="B134" s="12">
        <v>20251201</v>
      </c>
      <c r="C134" s="12" t="s">
        <v>1344</v>
      </c>
      <c r="D134" s="12" t="s">
        <v>1508</v>
      </c>
      <c r="E134" s="12" t="s">
        <v>1509</v>
      </c>
    </row>
    <row r="135" ht="66" spans="2:5">
      <c r="B135" s="12">
        <v>20251201</v>
      </c>
      <c r="C135" s="12" t="s">
        <v>11</v>
      </c>
      <c r="D135" s="12" t="s">
        <v>1510</v>
      </c>
      <c r="E135" s="12" t="s">
        <v>1511</v>
      </c>
    </row>
    <row r="136" spans="2:5">
      <c r="B136" s="12">
        <v>20251205</v>
      </c>
      <c r="C136" s="12" t="s">
        <v>14</v>
      </c>
      <c r="D136" s="12" t="s">
        <v>1512</v>
      </c>
      <c r="E136" s="12" t="s">
        <v>1513</v>
      </c>
    </row>
    <row r="137" s="3" customFormat="1" ht="35.1" customHeight="1" spans="1:26">
      <c r="A137" s="19"/>
      <c r="B137" s="12">
        <v>20251210</v>
      </c>
      <c r="C137" s="12" t="s">
        <v>14</v>
      </c>
      <c r="D137" s="12" t="s">
        <v>1514</v>
      </c>
      <c r="E137" s="12" t="s">
        <v>1515</v>
      </c>
      <c r="F137" s="19"/>
      <c r="G137" s="19"/>
      <c r="H137" s="19"/>
      <c r="I137" s="19"/>
      <c r="J137" s="19"/>
      <c r="K137" s="19"/>
      <c r="L137" s="19"/>
      <c r="M137" s="19"/>
      <c r="N137" s="19"/>
      <c r="O137" s="19"/>
      <c r="P137" s="19"/>
      <c r="Q137" s="19"/>
      <c r="R137" s="19"/>
      <c r="S137" s="19"/>
      <c r="T137" s="19"/>
      <c r="U137" s="19"/>
      <c r="V137" s="19"/>
      <c r="W137" s="19"/>
      <c r="X137" s="19"/>
      <c r="Y137" s="19"/>
      <c r="Z137" s="19"/>
    </row>
    <row r="138" ht="33" spans="2:5">
      <c r="B138" s="12">
        <v>20251211</v>
      </c>
      <c r="C138" s="12" t="s">
        <v>1516</v>
      </c>
      <c r="D138" s="12" t="s">
        <v>1517</v>
      </c>
      <c r="E138" s="12"/>
    </row>
    <row r="139" spans="2:5">
      <c r="B139" s="12">
        <v>20251218</v>
      </c>
      <c r="C139" s="12" t="s">
        <v>1410</v>
      </c>
      <c r="D139" s="12" t="s">
        <v>1518</v>
      </c>
      <c r="E139" s="12" t="s">
        <v>1519</v>
      </c>
    </row>
    <row r="140" spans="2:5">
      <c r="B140" s="12">
        <v>20251218</v>
      </c>
      <c r="C140" s="12" t="s">
        <v>20</v>
      </c>
      <c r="D140" s="12" t="s">
        <v>1520</v>
      </c>
      <c r="E140" s="12" t="s">
        <v>1521</v>
      </c>
    </row>
    <row r="141" spans="2:5">
      <c r="B141" s="12">
        <v>20251219</v>
      </c>
      <c r="C141" s="12" t="s">
        <v>1410</v>
      </c>
      <c r="D141" s="12" t="s">
        <v>1522</v>
      </c>
      <c r="E141" s="12" t="s">
        <v>1519</v>
      </c>
    </row>
    <row r="142" spans="2:5">
      <c r="B142" s="12">
        <v>20251222</v>
      </c>
      <c r="C142" s="12" t="s">
        <v>1410</v>
      </c>
      <c r="D142" s="12" t="s">
        <v>1523</v>
      </c>
      <c r="E142" s="12" t="s">
        <v>1524</v>
      </c>
    </row>
    <row r="143" spans="2:5">
      <c r="B143" s="12">
        <v>20251223</v>
      </c>
      <c r="C143" s="12" t="s">
        <v>14</v>
      </c>
      <c r="D143" s="12" t="s">
        <v>1525</v>
      </c>
      <c r="E143" s="12" t="s">
        <v>1526</v>
      </c>
    </row>
    <row r="144" spans="2:5">
      <c r="B144" s="12">
        <v>20251223</v>
      </c>
      <c r="C144" s="12" t="s">
        <v>1410</v>
      </c>
      <c r="D144" s="12" t="s">
        <v>1527</v>
      </c>
      <c r="E144" s="12" t="s">
        <v>1528</v>
      </c>
    </row>
    <row r="145" spans="2:5">
      <c r="B145" s="12">
        <v>20251224</v>
      </c>
      <c r="C145" s="12" t="s">
        <v>1410</v>
      </c>
      <c r="D145" s="12" t="s">
        <v>1529</v>
      </c>
      <c r="E145" s="12" t="s">
        <v>1530</v>
      </c>
    </row>
    <row r="146" ht="33" spans="2:5">
      <c r="B146" s="12">
        <v>20251225</v>
      </c>
      <c r="C146" s="12" t="s">
        <v>1410</v>
      </c>
      <c r="D146" s="12" t="s">
        <v>1531</v>
      </c>
      <c r="E146" s="12" t="s">
        <v>1532</v>
      </c>
    </row>
    <row r="147" spans="2:5">
      <c r="B147" s="12">
        <v>20251225</v>
      </c>
      <c r="C147" s="12" t="s">
        <v>1410</v>
      </c>
      <c r="D147" s="12" t="s">
        <v>1533</v>
      </c>
      <c r="E147" s="12" t="s">
        <v>1532</v>
      </c>
    </row>
    <row r="148" spans="2:5">
      <c r="B148" s="12">
        <v>20260108</v>
      </c>
      <c r="C148" s="12" t="s">
        <v>14</v>
      </c>
      <c r="D148" s="12" t="s">
        <v>1534</v>
      </c>
      <c r="E148" s="12" t="s">
        <v>1535</v>
      </c>
    </row>
    <row r="149" ht="33" spans="2:5">
      <c r="B149" s="12">
        <v>20251231</v>
      </c>
      <c r="C149" s="12" t="s">
        <v>14</v>
      </c>
      <c r="D149" s="12" t="s">
        <v>1536</v>
      </c>
      <c r="E149" s="12" t="s">
        <v>1537</v>
      </c>
    </row>
    <row r="150" ht="33" spans="2:5">
      <c r="B150" s="12">
        <v>20251231</v>
      </c>
      <c r="C150" s="12" t="s">
        <v>14</v>
      </c>
      <c r="D150" s="12" t="s">
        <v>1538</v>
      </c>
      <c r="E150" s="12" t="s">
        <v>1537</v>
      </c>
    </row>
    <row r="151" spans="2:5">
      <c r="B151" s="12">
        <v>20260105</v>
      </c>
      <c r="C151" s="12" t="s">
        <v>2</v>
      </c>
      <c r="D151" s="12" t="s">
        <v>1539</v>
      </c>
      <c r="E151" s="12"/>
    </row>
    <row r="152" ht="33" spans="2:5">
      <c r="B152" s="12">
        <v>20260105</v>
      </c>
      <c r="C152" s="12" t="s">
        <v>1540</v>
      </c>
      <c r="D152" s="12" t="s">
        <v>1541</v>
      </c>
      <c r="E152" s="12" t="s">
        <v>1542</v>
      </c>
    </row>
    <row r="153" spans="2:5">
      <c r="B153" s="12">
        <v>20260107</v>
      </c>
      <c r="C153" s="12" t="s">
        <v>1410</v>
      </c>
      <c r="D153" s="12" t="s">
        <v>1543</v>
      </c>
      <c r="E153" s="12" t="s">
        <v>1544</v>
      </c>
    </row>
    <row r="154" spans="2:5">
      <c r="B154" s="12">
        <v>20260107</v>
      </c>
      <c r="C154" s="12" t="s">
        <v>14</v>
      </c>
      <c r="D154" s="12" t="s">
        <v>1545</v>
      </c>
      <c r="E154" s="12" t="s">
        <v>1546</v>
      </c>
    </row>
    <row r="155" spans="2:5">
      <c r="B155" s="12">
        <v>20260109</v>
      </c>
      <c r="C155" s="12" t="s">
        <v>14</v>
      </c>
      <c r="D155" s="12" t="s">
        <v>1547</v>
      </c>
      <c r="E155" s="12" t="s">
        <v>1548</v>
      </c>
    </row>
    <row r="156" spans="2:5">
      <c r="B156" s="12">
        <v>20260113</v>
      </c>
      <c r="C156" s="12" t="s">
        <v>1410</v>
      </c>
      <c r="D156" s="12" t="s">
        <v>1549</v>
      </c>
      <c r="E156" s="12" t="s">
        <v>1550</v>
      </c>
    </row>
    <row r="157" ht="33" spans="2:5">
      <c r="B157" s="12">
        <v>20260114</v>
      </c>
      <c r="C157" s="12" t="s">
        <v>1410</v>
      </c>
      <c r="D157" s="12" t="s">
        <v>1551</v>
      </c>
      <c r="E157" s="12" t="s">
        <v>1552</v>
      </c>
    </row>
    <row r="158" spans="2:5">
      <c r="B158" s="12">
        <v>20260115</v>
      </c>
      <c r="C158" s="12" t="s">
        <v>14</v>
      </c>
      <c r="D158" s="12" t="s">
        <v>1553</v>
      </c>
      <c r="E158" s="12" t="s">
        <v>1554</v>
      </c>
    </row>
    <row r="159" spans="2:5">
      <c r="B159" s="12">
        <v>20260116</v>
      </c>
      <c r="C159" s="12" t="s">
        <v>1410</v>
      </c>
      <c r="D159" s="12" t="s">
        <v>1555</v>
      </c>
      <c r="E159" s="12" t="s">
        <v>1556</v>
      </c>
    </row>
    <row r="160" spans="2:5">
      <c r="B160" s="12">
        <v>20260119</v>
      </c>
      <c r="C160" s="12" t="s">
        <v>14</v>
      </c>
      <c r="D160" s="12" t="s">
        <v>1557</v>
      </c>
      <c r="E160" s="12" t="s">
        <v>1558</v>
      </c>
    </row>
    <row r="161" spans="2:5">
      <c r="B161" s="12">
        <v>20260120</v>
      </c>
      <c r="C161" s="12" t="s">
        <v>14</v>
      </c>
      <c r="D161" s="12" t="s">
        <v>1559</v>
      </c>
      <c r="E161" s="12" t="s">
        <v>1560</v>
      </c>
    </row>
    <row r="162" spans="2:5">
      <c r="B162" s="12">
        <v>20260123</v>
      </c>
      <c r="C162" s="12" t="s">
        <v>14</v>
      </c>
      <c r="D162" s="12" t="s">
        <v>1561</v>
      </c>
      <c r="E162" s="12" t="s">
        <v>1562</v>
      </c>
    </row>
    <row r="163" spans="2:5">
      <c r="B163" s="12">
        <v>20260126</v>
      </c>
      <c r="C163" s="12" t="s">
        <v>14</v>
      </c>
      <c r="D163" s="12" t="s">
        <v>1563</v>
      </c>
      <c r="E163" s="12" t="s">
        <v>1564</v>
      </c>
    </row>
    <row r="164" spans="2:5">
      <c r="B164" s="12">
        <v>20260126</v>
      </c>
      <c r="C164" s="12" t="s">
        <v>1410</v>
      </c>
      <c r="D164" s="12" t="s">
        <v>1565</v>
      </c>
      <c r="E164" s="12" t="s">
        <v>1566</v>
      </c>
    </row>
    <row r="165" ht="49.5" spans="2:5">
      <c r="B165" s="12">
        <v>20260128</v>
      </c>
      <c r="C165" s="12" t="s">
        <v>14</v>
      </c>
      <c r="D165" s="12" t="s">
        <v>1567</v>
      </c>
      <c r="E165" s="12" t="s">
        <v>1568</v>
      </c>
    </row>
    <row r="166" spans="2:5">
      <c r="B166" s="12">
        <v>20260130</v>
      </c>
      <c r="C166" s="12" t="s">
        <v>14</v>
      </c>
      <c r="D166" s="12" t="s">
        <v>1569</v>
      </c>
      <c r="E166" s="12" t="s">
        <v>1568</v>
      </c>
    </row>
    <row r="167" spans="2:5">
      <c r="B167" s="12">
        <v>20260130</v>
      </c>
      <c r="C167" s="12" t="s">
        <v>14</v>
      </c>
      <c r="D167" s="12" t="s">
        <v>1570</v>
      </c>
      <c r="E167" s="12" t="s">
        <v>1571</v>
      </c>
    </row>
    <row r="168" spans="2:5">
      <c r="B168" s="12">
        <v>20260203</v>
      </c>
      <c r="C168" s="12" t="s">
        <v>14</v>
      </c>
      <c r="D168" s="12" t="s">
        <v>1572</v>
      </c>
      <c r="E168" s="12" t="s">
        <v>1573</v>
      </c>
    </row>
    <row r="169" ht="33" spans="2:5">
      <c r="B169" s="12">
        <v>20260203</v>
      </c>
      <c r="C169" s="12" t="s">
        <v>14</v>
      </c>
      <c r="D169" s="12" t="s">
        <v>1574</v>
      </c>
      <c r="E169" s="12" t="s">
        <v>1575</v>
      </c>
    </row>
    <row r="170" ht="33" spans="2:5">
      <c r="B170" s="12">
        <v>20260205</v>
      </c>
      <c r="C170" s="12" t="s">
        <v>14</v>
      </c>
      <c r="D170" s="12" t="s">
        <v>1576</v>
      </c>
      <c r="E170" s="12" t="s">
        <v>1577</v>
      </c>
    </row>
    <row r="171" spans="2:5">
      <c r="B171" s="12">
        <v>20260209</v>
      </c>
      <c r="C171" s="12" t="s">
        <v>14</v>
      </c>
      <c r="D171" s="12" t="s">
        <v>1578</v>
      </c>
      <c r="E171" s="12" t="s">
        <v>1577</v>
      </c>
    </row>
    <row r="172" ht="33" spans="2:5">
      <c r="B172" s="12">
        <v>20260209</v>
      </c>
      <c r="C172" s="12" t="s">
        <v>1410</v>
      </c>
      <c r="D172" s="12" t="s">
        <v>1579</v>
      </c>
      <c r="E172" s="12" t="s">
        <v>1580</v>
      </c>
    </row>
    <row r="173" spans="2:5">
      <c r="B173" s="12">
        <v>20260223</v>
      </c>
      <c r="C173" s="12" t="s">
        <v>14</v>
      </c>
      <c r="D173" s="12" t="s">
        <v>1581</v>
      </c>
      <c r="E173" s="12" t="s">
        <v>1582</v>
      </c>
    </row>
    <row r="174" ht="66" spans="2:5">
      <c r="B174" s="12">
        <v>20260223</v>
      </c>
      <c r="C174" s="12" t="s">
        <v>14</v>
      </c>
      <c r="D174" s="12" t="s">
        <v>1583</v>
      </c>
      <c r="E174" s="12" t="s">
        <v>1584</v>
      </c>
    </row>
    <row r="175" ht="33" spans="2:5">
      <c r="B175" s="12">
        <v>20260223</v>
      </c>
      <c r="C175" s="12" t="s">
        <v>14</v>
      </c>
      <c r="D175" s="12" t="s">
        <v>1585</v>
      </c>
      <c r="E175" s="12" t="s">
        <v>1584</v>
      </c>
    </row>
    <row r="176" spans="2:5">
      <c r="B176" s="12">
        <v>20260303</v>
      </c>
      <c r="C176" s="12" t="s">
        <v>20</v>
      </c>
      <c r="D176" s="12" t="s">
        <v>1586</v>
      </c>
      <c r="E176" s="12" t="s">
        <v>1587</v>
      </c>
    </row>
    <row r="177" spans="2:5">
      <c r="B177" s="12">
        <v>20260303</v>
      </c>
      <c r="C177" s="12" t="s">
        <v>1410</v>
      </c>
      <c r="D177" s="12" t="s">
        <v>1588</v>
      </c>
      <c r="E177" s="12" t="s">
        <v>1587</v>
      </c>
    </row>
    <row r="178" ht="82.5" spans="2:5">
      <c r="B178" s="12">
        <v>20260303</v>
      </c>
      <c r="C178" s="12" t="s">
        <v>14</v>
      </c>
      <c r="D178" s="12" t="s">
        <v>1589</v>
      </c>
      <c r="E178" s="12" t="s">
        <v>1590</v>
      </c>
    </row>
    <row r="179" ht="49.5" spans="2:5">
      <c r="B179" s="12">
        <v>20260304</v>
      </c>
      <c r="C179" s="12" t="s">
        <v>14</v>
      </c>
      <c r="D179" s="12" t="s">
        <v>1591</v>
      </c>
      <c r="E179" s="12" t="s">
        <v>1590</v>
      </c>
    </row>
    <row r="180" ht="23.1" customHeight="1" spans="2:5">
      <c r="B180" s="12">
        <v>20260304</v>
      </c>
      <c r="C180" s="12" t="s">
        <v>14</v>
      </c>
      <c r="D180" s="12" t="s">
        <v>1592</v>
      </c>
      <c r="E180" s="12" t="s">
        <v>1593</v>
      </c>
    </row>
    <row r="181" ht="33" spans="2:5">
      <c r="B181" s="12">
        <v>20260305</v>
      </c>
      <c r="C181" s="12" t="s">
        <v>14</v>
      </c>
      <c r="D181" s="12" t="s">
        <v>1594</v>
      </c>
      <c r="E181" s="12" t="s">
        <v>1593</v>
      </c>
    </row>
    <row r="182" ht="33" spans="2:5">
      <c r="B182" s="12">
        <v>20260305</v>
      </c>
      <c r="C182" s="12" t="s">
        <v>14</v>
      </c>
      <c r="D182" s="12" t="s">
        <v>1595</v>
      </c>
      <c r="E182" s="12" t="s">
        <v>1596</v>
      </c>
    </row>
    <row r="183" ht="33" spans="2:5">
      <c r="B183" s="12">
        <v>20260305</v>
      </c>
      <c r="C183" s="12" t="s">
        <v>14</v>
      </c>
      <c r="D183" s="12" t="s">
        <v>1597</v>
      </c>
      <c r="E183" s="12" t="s">
        <v>1596</v>
      </c>
    </row>
    <row r="184" spans="2:5">
      <c r="B184" s="980" t="s">
        <v>1598</v>
      </c>
      <c r="C184" s="12" t="s">
        <v>1410</v>
      </c>
      <c r="D184" s="12" t="s">
        <v>1599</v>
      </c>
      <c r="E184" s="12" t="s">
        <v>1600</v>
      </c>
    </row>
    <row r="185" spans="2:5">
      <c r="B185" s="980" t="s">
        <v>1598</v>
      </c>
      <c r="C185" s="12" t="s">
        <v>14</v>
      </c>
      <c r="D185" s="12" t="s">
        <v>1601</v>
      </c>
      <c r="E185" s="12" t="s">
        <v>1602</v>
      </c>
    </row>
    <row r="186" spans="2:5">
      <c r="B186" s="980" t="s">
        <v>1603</v>
      </c>
      <c r="C186" s="12" t="s">
        <v>14</v>
      </c>
      <c r="D186" s="12" t="s">
        <v>1604</v>
      </c>
      <c r="E186" s="12" t="s">
        <v>1602</v>
      </c>
    </row>
    <row r="187" spans="2:5">
      <c r="B187" s="980" t="s">
        <v>1603</v>
      </c>
      <c r="C187" s="12" t="s">
        <v>1410</v>
      </c>
      <c r="D187" s="12" t="s">
        <v>1605</v>
      </c>
      <c r="E187" s="12" t="s">
        <v>1606</v>
      </c>
    </row>
    <row r="188" ht="33" spans="2:5">
      <c r="B188" s="980" t="s">
        <v>1603</v>
      </c>
      <c r="C188" s="12" t="s">
        <v>20</v>
      </c>
      <c r="D188" s="12" t="s">
        <v>1607</v>
      </c>
      <c r="E188" s="12" t="s">
        <v>1606</v>
      </c>
    </row>
    <row r="189" ht="82.5" spans="2:5">
      <c r="B189" s="980" t="s">
        <v>1608</v>
      </c>
      <c r="C189" s="12" t="s">
        <v>14</v>
      </c>
      <c r="D189" s="12" t="s">
        <v>1609</v>
      </c>
      <c r="E189" s="12" t="s">
        <v>1610</v>
      </c>
    </row>
    <row r="190" ht="33" spans="2:5">
      <c r="B190" s="12">
        <v>20260310</v>
      </c>
      <c r="C190" s="12" t="s">
        <v>14</v>
      </c>
      <c r="D190" s="12" t="s">
        <v>1611</v>
      </c>
      <c r="E190" s="12" t="s">
        <v>1612</v>
      </c>
    </row>
    <row r="191" ht="33" spans="2:5">
      <c r="B191" s="12">
        <v>20260310</v>
      </c>
      <c r="C191" s="12" t="s">
        <v>14</v>
      </c>
      <c r="D191" s="12" t="s">
        <v>1613</v>
      </c>
      <c r="E191" s="12" t="s">
        <v>1610</v>
      </c>
    </row>
    <row r="192" ht="49.5" spans="2:5">
      <c r="B192" s="12">
        <v>20260310</v>
      </c>
      <c r="C192" s="12" t="s">
        <v>14</v>
      </c>
      <c r="D192" s="12" t="s">
        <v>1614</v>
      </c>
      <c r="E192" s="12" t="s">
        <v>1615</v>
      </c>
    </row>
    <row r="193" spans="2:5">
      <c r="B193" s="12">
        <v>20260311</v>
      </c>
      <c r="C193" s="12" t="s">
        <v>14</v>
      </c>
      <c r="D193" s="12" t="s">
        <v>1616</v>
      </c>
      <c r="E193" s="12" t="s">
        <v>1617</v>
      </c>
    </row>
    <row r="194" ht="33" spans="2:5">
      <c r="B194" s="12">
        <v>20260312</v>
      </c>
      <c r="C194" s="12" t="s">
        <v>14</v>
      </c>
      <c r="D194" s="12" t="s">
        <v>1618</v>
      </c>
      <c r="E194" s="12" t="s">
        <v>1617</v>
      </c>
    </row>
    <row r="195" spans="2:5">
      <c r="B195" s="12">
        <v>20260313</v>
      </c>
      <c r="C195" s="12" t="s">
        <v>14</v>
      </c>
      <c r="D195" s="12" t="s">
        <v>1619</v>
      </c>
      <c r="E195" s="12" t="s">
        <v>1617</v>
      </c>
    </row>
    <row r="196" spans="2:5">
      <c r="B196" s="11">
        <v>20260320</v>
      </c>
      <c r="C196" s="11" t="s">
        <v>1410</v>
      </c>
      <c r="D196" s="11" t="s">
        <v>1620</v>
      </c>
      <c r="E196" s="11" t="s">
        <v>1621</v>
      </c>
    </row>
    <row r="197" spans="2:5">
      <c r="B197" s="11">
        <v>20260320</v>
      </c>
      <c r="C197" s="11" t="s">
        <v>20</v>
      </c>
      <c r="D197" s="11" t="s">
        <v>1622</v>
      </c>
      <c r="E197" s="11" t="s">
        <v>1623</v>
      </c>
    </row>
    <row r="198" spans="2:5">
      <c r="B198" s="11">
        <v>20260323</v>
      </c>
      <c r="C198" s="11" t="s">
        <v>14</v>
      </c>
      <c r="D198" s="11" t="s">
        <v>1624</v>
      </c>
      <c r="E198" s="11" t="s">
        <v>1625</v>
      </c>
    </row>
    <row r="199" spans="2:5">
      <c r="B199" s="12">
        <v>20260324</v>
      </c>
      <c r="C199" s="12" t="s">
        <v>20</v>
      </c>
      <c r="D199" s="12" t="s">
        <v>1626</v>
      </c>
      <c r="E199" s="12" t="s">
        <v>1627</v>
      </c>
    </row>
    <row r="200" ht="33" spans="2:5">
      <c r="B200" s="12">
        <v>20260327</v>
      </c>
      <c r="C200" s="12" t="s">
        <v>1344</v>
      </c>
      <c r="D200" s="12" t="s">
        <v>1628</v>
      </c>
      <c r="E200" s="12" t="s">
        <v>1629</v>
      </c>
    </row>
    <row r="201" spans="2:5">
      <c r="B201" s="12">
        <v>20260331</v>
      </c>
      <c r="C201" s="12" t="s">
        <v>8</v>
      </c>
      <c r="D201" s="12" t="s">
        <v>1630</v>
      </c>
      <c r="E201" s="12" t="s">
        <v>1631</v>
      </c>
    </row>
    <row r="202" spans="2:5">
      <c r="B202" s="12">
        <v>20260401</v>
      </c>
      <c r="C202" s="12" t="s">
        <v>1410</v>
      </c>
      <c r="D202" s="12" t="s">
        <v>1632</v>
      </c>
      <c r="E202" s="12" t="s">
        <v>1633</v>
      </c>
    </row>
    <row r="203" spans="2:5">
      <c r="B203" s="12">
        <v>20260401</v>
      </c>
      <c r="C203" s="12" t="s">
        <v>14</v>
      </c>
      <c r="D203" s="12" t="s">
        <v>1634</v>
      </c>
      <c r="E203" s="12" t="s">
        <v>1635</v>
      </c>
    </row>
    <row r="204" spans="2:5">
      <c r="B204" s="12">
        <v>20260402</v>
      </c>
      <c r="C204" s="12" t="s">
        <v>17</v>
      </c>
      <c r="D204" s="12" t="s">
        <v>1636</v>
      </c>
      <c r="E204" s="12" t="s">
        <v>1637</v>
      </c>
    </row>
    <row r="205" spans="2:5">
      <c r="B205" s="12">
        <v>20260414</v>
      </c>
      <c r="C205" s="12" t="s">
        <v>1410</v>
      </c>
      <c r="D205" s="12" t="s">
        <v>1638</v>
      </c>
      <c r="E205" s="12" t="s">
        <v>1639</v>
      </c>
    </row>
    <row r="206" ht="33" spans="2:5">
      <c r="B206" s="12">
        <v>20260414</v>
      </c>
      <c r="C206" s="12" t="s">
        <v>1640</v>
      </c>
      <c r="D206" s="12" t="s">
        <v>1641</v>
      </c>
      <c r="E206" s="12" t="s">
        <v>1642</v>
      </c>
    </row>
    <row r="207" ht="33" spans="2:5">
      <c r="B207" s="12">
        <v>20260415</v>
      </c>
      <c r="C207" s="12" t="s">
        <v>1643</v>
      </c>
      <c r="D207" s="12" t="s">
        <v>1644</v>
      </c>
      <c r="E207" s="12"/>
    </row>
    <row r="208" ht="33" spans="2:5">
      <c r="B208" s="11">
        <v>20260424</v>
      </c>
      <c r="C208" s="11" t="s">
        <v>23</v>
      </c>
      <c r="D208" s="11" t="s">
        <v>1645</v>
      </c>
      <c r="E208" s="11" t="s">
        <v>1646</v>
      </c>
    </row>
    <row r="209" spans="2:5">
      <c r="B209" s="12">
        <v>20260511</v>
      </c>
      <c r="C209" s="12" t="s">
        <v>8</v>
      </c>
      <c r="D209" s="12" t="s">
        <v>1647</v>
      </c>
      <c r="E209" s="12" t="s">
        <v>1648</v>
      </c>
    </row>
    <row r="210" spans="2:5">
      <c r="B210" s="12">
        <v>20260513</v>
      </c>
      <c r="C210" s="12" t="s">
        <v>14</v>
      </c>
      <c r="D210" s="12" t="s">
        <v>1649</v>
      </c>
      <c r="E210" s="12" t="s">
        <v>1650</v>
      </c>
    </row>
    <row r="211" ht="66" spans="2:5">
      <c r="B211" s="12">
        <v>20260514</v>
      </c>
      <c r="C211" s="12" t="s">
        <v>1651</v>
      </c>
      <c r="D211" s="12" t="s">
        <v>1652</v>
      </c>
      <c r="E211" s="12" t="s">
        <v>1653</v>
      </c>
    </row>
    <row r="212" ht="49.5" spans="2:5">
      <c r="B212" s="12">
        <v>20260515</v>
      </c>
      <c r="C212" s="12" t="s">
        <v>1654</v>
      </c>
      <c r="D212" s="12" t="s">
        <v>1655</v>
      </c>
      <c r="E212" s="12" t="s">
        <v>1656</v>
      </c>
    </row>
    <row r="213" ht="49.5" spans="2:5">
      <c r="B213" s="12">
        <v>20260528</v>
      </c>
      <c r="C213" s="12" t="s">
        <v>1657</v>
      </c>
      <c r="D213" s="12" t="s">
        <v>1658</v>
      </c>
      <c r="E213" s="12" t="s">
        <v>1659</v>
      </c>
    </row>
    <row r="214" ht="41.1" customHeight="1" spans="2:5">
      <c r="B214" s="12">
        <v>20260529</v>
      </c>
      <c r="C214" s="12" t="s">
        <v>1410</v>
      </c>
      <c r="D214" s="12" t="s">
        <v>1660</v>
      </c>
      <c r="E214" s="12" t="s">
        <v>1661</v>
      </c>
    </row>
    <row r="215" ht="50.1" customHeight="1" spans="2:5">
      <c r="B215" s="12">
        <v>20260529</v>
      </c>
      <c r="C215" s="12" t="s">
        <v>14</v>
      </c>
      <c r="D215" s="12" t="s">
        <v>1662</v>
      </c>
      <c r="E215" s="12" t="s">
        <v>1663</v>
      </c>
    </row>
    <row r="216" s="1" customFormat="1" spans="1:26">
      <c r="A216" s="16"/>
      <c r="B216" s="12">
        <v>20260601</v>
      </c>
      <c r="C216" s="12" t="s">
        <v>17</v>
      </c>
      <c r="D216" s="12" t="s">
        <v>1664</v>
      </c>
      <c r="E216" s="12" t="s">
        <v>1665</v>
      </c>
      <c r="F216" s="16"/>
      <c r="G216" s="16"/>
      <c r="H216" s="16"/>
      <c r="I216" s="16"/>
      <c r="J216" s="16"/>
      <c r="K216" s="16"/>
      <c r="L216" s="16"/>
      <c r="M216" s="16"/>
      <c r="N216" s="16"/>
      <c r="O216" s="16"/>
      <c r="P216" s="16"/>
      <c r="Q216" s="16"/>
      <c r="R216" s="16"/>
      <c r="S216" s="16"/>
      <c r="T216" s="16"/>
      <c r="U216" s="16"/>
      <c r="V216" s="16"/>
      <c r="W216" s="16"/>
      <c r="X216" s="16"/>
      <c r="Y216" s="16"/>
      <c r="Z216" s="16"/>
    </row>
    <row r="217" s="2" customFormat="1" ht="50.1" customHeight="1" spans="1:26">
      <c r="A217" s="17"/>
      <c r="B217" s="12">
        <v>20260603</v>
      </c>
      <c r="C217" s="12" t="s">
        <v>14</v>
      </c>
      <c r="D217" s="12" t="s">
        <v>1666</v>
      </c>
      <c r="E217" s="12" t="s">
        <v>1667</v>
      </c>
      <c r="F217" s="17"/>
      <c r="G217" s="17"/>
      <c r="H217" s="17"/>
      <c r="I217" s="17"/>
      <c r="J217" s="17"/>
      <c r="K217" s="17"/>
      <c r="L217" s="17"/>
      <c r="M217" s="17"/>
      <c r="N217" s="17"/>
      <c r="O217" s="17"/>
      <c r="P217" s="17"/>
      <c r="Q217" s="17"/>
      <c r="R217" s="17"/>
      <c r="S217" s="17"/>
      <c r="T217" s="17"/>
      <c r="U217" s="17"/>
      <c r="V217" s="17"/>
      <c r="W217" s="17"/>
      <c r="X217" s="17"/>
      <c r="Y217" s="17"/>
      <c r="Z217" s="17"/>
    </row>
    <row r="218" ht="30.95" customHeight="1" spans="2:5">
      <c r="B218" s="12">
        <v>20260608</v>
      </c>
      <c r="C218" s="12" t="s">
        <v>17</v>
      </c>
      <c r="D218" s="12" t="s">
        <v>1668</v>
      </c>
      <c r="E218" s="12" t="s">
        <v>1669</v>
      </c>
    </row>
    <row r="219" ht="33" customHeight="1" spans="2:5">
      <c r="B219" s="12">
        <v>20260610</v>
      </c>
      <c r="C219" s="12" t="s">
        <v>14</v>
      </c>
      <c r="D219" s="12" t="s">
        <v>1670</v>
      </c>
      <c r="E219" s="12" t="s">
        <v>1671</v>
      </c>
    </row>
    <row r="220" ht="39" customHeight="1" spans="2:5">
      <c r="B220" s="12">
        <v>20260610</v>
      </c>
      <c r="C220" s="12" t="s">
        <v>1410</v>
      </c>
      <c r="D220" s="12" t="s">
        <v>1672</v>
      </c>
      <c r="E220" s="12" t="s">
        <v>1673</v>
      </c>
    </row>
    <row r="221" customFormat="1" ht="39" customHeight="1" spans="1:26">
      <c r="A221" s="4"/>
      <c r="B221" s="12">
        <v>20260611</v>
      </c>
      <c r="C221" s="12" t="s">
        <v>1674</v>
      </c>
      <c r="D221" s="12" t="s">
        <v>1675</v>
      </c>
      <c r="E221" s="12" t="s">
        <v>1676</v>
      </c>
      <c r="F221" s="4"/>
      <c r="G221" s="4"/>
      <c r="H221" s="4"/>
      <c r="I221" s="4"/>
      <c r="J221" s="4"/>
      <c r="K221" s="4"/>
      <c r="L221" s="4"/>
      <c r="M221" s="4"/>
      <c r="N221" s="4"/>
      <c r="O221" s="4"/>
      <c r="P221" s="4"/>
      <c r="Q221" s="4"/>
      <c r="R221" s="4"/>
      <c r="S221" s="4"/>
      <c r="T221" s="4"/>
      <c r="U221" s="4"/>
      <c r="V221" s="4"/>
      <c r="W221" s="4"/>
      <c r="X221" s="4"/>
      <c r="Y221" s="4"/>
      <c r="Z221" s="4"/>
    </row>
    <row r="222" s="3" customFormat="1" ht="30.95" customHeight="1" spans="1:26">
      <c r="A222" s="19"/>
      <c r="B222" s="12">
        <v>20260611</v>
      </c>
      <c r="C222" s="12" t="s">
        <v>14</v>
      </c>
      <c r="D222" s="12" t="s">
        <v>1677</v>
      </c>
      <c r="E222" s="12" t="s">
        <v>1678</v>
      </c>
      <c r="F222" s="19"/>
      <c r="G222" s="19"/>
      <c r="H222" s="19"/>
      <c r="I222" s="19"/>
      <c r="J222" s="19"/>
      <c r="K222" s="19"/>
      <c r="L222" s="19"/>
      <c r="M222" s="19"/>
      <c r="N222" s="19"/>
      <c r="O222" s="19"/>
      <c r="P222" s="19"/>
      <c r="Q222" s="19"/>
      <c r="R222" s="19"/>
      <c r="S222" s="19"/>
      <c r="T222" s="19"/>
      <c r="U222" s="19"/>
      <c r="V222" s="19"/>
      <c r="W222" s="19"/>
      <c r="X222" s="19"/>
      <c r="Y222" s="19"/>
      <c r="Z222" s="19"/>
    </row>
    <row r="223" ht="39.95" customHeight="1" spans="2:5">
      <c r="B223" s="12">
        <v>20260622</v>
      </c>
      <c r="C223" s="12" t="s">
        <v>23</v>
      </c>
      <c r="D223" s="12" t="s">
        <v>1679</v>
      </c>
      <c r="E223" s="12" t="s">
        <v>1680</v>
      </c>
    </row>
    <row r="224" ht="33" spans="2:5">
      <c r="B224" s="12">
        <v>20260622</v>
      </c>
      <c r="C224" s="12" t="s">
        <v>14</v>
      </c>
      <c r="D224" s="12" t="s">
        <v>1681</v>
      </c>
      <c r="E224" s="12" t="s">
        <v>1682</v>
      </c>
    </row>
    <row r="225" ht="36" customHeight="1" spans="2:5">
      <c r="B225" s="12">
        <v>20260623</v>
      </c>
      <c r="C225" s="12" t="s">
        <v>1410</v>
      </c>
      <c r="D225" s="12" t="s">
        <v>1683</v>
      </c>
      <c r="E225" s="12" t="s">
        <v>1684</v>
      </c>
    </row>
    <row r="226" ht="44.1" customHeight="1" spans="2:5">
      <c r="B226" s="12">
        <v>20260623</v>
      </c>
      <c r="C226" s="12" t="s">
        <v>14</v>
      </c>
      <c r="D226" s="12" t="s">
        <v>1685</v>
      </c>
      <c r="E226" s="12" t="s">
        <v>1686</v>
      </c>
    </row>
    <row r="227" ht="33" spans="2:5">
      <c r="B227" s="12">
        <v>20260630</v>
      </c>
      <c r="C227" s="12" t="s">
        <v>14</v>
      </c>
      <c r="D227" s="12" t="s">
        <v>1687</v>
      </c>
      <c r="E227" s="12" t="s">
        <v>1688</v>
      </c>
    </row>
    <row r="228" s="2" customFormat="1" spans="1:26">
      <c r="A228" s="17"/>
      <c r="B228" s="12">
        <v>20260701</v>
      </c>
      <c r="C228" s="12" t="s">
        <v>1191</v>
      </c>
      <c r="D228" s="12" t="s">
        <v>1689</v>
      </c>
      <c r="E228" s="12" t="s">
        <v>1690</v>
      </c>
      <c r="F228" s="17"/>
      <c r="G228" s="17"/>
      <c r="H228" s="17"/>
      <c r="I228" s="17"/>
      <c r="J228" s="17"/>
      <c r="K228" s="17"/>
      <c r="L228" s="17"/>
      <c r="M228" s="17"/>
      <c r="N228" s="17"/>
      <c r="O228" s="17"/>
      <c r="P228" s="17"/>
      <c r="Q228" s="17"/>
      <c r="R228" s="17"/>
      <c r="S228" s="17"/>
      <c r="T228" s="17"/>
      <c r="U228" s="17"/>
      <c r="V228" s="17"/>
      <c r="W228" s="17"/>
      <c r="X228" s="17"/>
      <c r="Y228" s="17"/>
      <c r="Z228" s="17"/>
    </row>
    <row r="229" spans="2:5">
      <c r="B229" s="12">
        <v>20260701</v>
      </c>
      <c r="C229" s="12" t="s">
        <v>1691</v>
      </c>
      <c r="D229" s="12" t="s">
        <v>1692</v>
      </c>
      <c r="E229" s="12" t="s">
        <v>1693</v>
      </c>
    </row>
    <row r="230" spans="2:5">
      <c r="B230" s="12">
        <v>20260701</v>
      </c>
      <c r="C230" s="12" t="s">
        <v>14</v>
      </c>
      <c r="D230" s="12" t="s">
        <v>1694</v>
      </c>
      <c r="E230" s="12" t="s">
        <v>1695</v>
      </c>
    </row>
    <row r="231" spans="2:5">
      <c r="B231" s="12">
        <v>20260707</v>
      </c>
      <c r="C231" s="12" t="s">
        <v>14</v>
      </c>
      <c r="D231" s="12" t="s">
        <v>1696</v>
      </c>
      <c r="E231" s="12" t="s">
        <v>1697</v>
      </c>
    </row>
    <row r="232" ht="33" spans="2:5">
      <c r="B232" s="12">
        <v>20260708</v>
      </c>
      <c r="C232" s="12" t="s">
        <v>14</v>
      </c>
      <c r="D232" s="12" t="s">
        <v>1698</v>
      </c>
      <c r="E232" s="12" t="s">
        <v>1697</v>
      </c>
    </row>
    <row r="233" ht="33" spans="2:5">
      <c r="B233" s="13">
        <v>20260714</v>
      </c>
      <c r="C233" s="13" t="s">
        <v>1674</v>
      </c>
      <c r="D233" s="13" t="s">
        <v>1699</v>
      </c>
      <c r="E233" s="13" t="s">
        <v>1700</v>
      </c>
    </row>
  </sheetData>
  <autoFilter xmlns:etc="http://www.wps.cn/officeDocument/2017/etCustomData" ref="A3:Z232" etc:filterBottomFollowUsedRange="0">
    <extLst/>
  </autoFilter>
  <mergeCells count="2">
    <mergeCell ref="A1:C1"/>
    <mergeCell ref="B2:E2"/>
  </mergeCells>
  <hyperlinks>
    <hyperlink ref="A1" location="'目录'!A1" display="点此返回目录"/>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目录</vt:lpstr>
      <vt:lpstr>交易时间表</vt:lpstr>
      <vt:lpstr>期货合约要素</vt:lpstr>
      <vt:lpstr>期权合约要素</vt:lpstr>
      <vt:lpstr>保证金及涨跌停板幅度表</vt:lpstr>
      <vt:lpstr>限仓规则</vt:lpstr>
      <vt:lpstr>交易限额</vt:lpstr>
      <vt:lpstr>单笔最小开仓手数</vt:lpstr>
      <vt:lpstr>异常交易规则</vt:lpstr>
      <vt:lpstr>保证金优惠规则</vt:lpstr>
      <vt:lpstr>期权行权规则</vt:lpstr>
      <vt:lpstr>交易指令</vt:lpstr>
      <vt:lpstr>申报费规则</vt:lpstr>
      <vt:lpstr>修订记录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Jinyang Zhu</dc:creator>
  <cp:lastModifiedBy>vvvvvv</cp:lastModifiedBy>
  <dcterms:created xsi:type="dcterms:W3CDTF">2024-01-15T22:56:00Z</dcterms:created>
  <dcterms:modified xsi:type="dcterms:W3CDTF">2026-07-14T08:40:30Z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3A4528E30966420C9A39B63DA6D5BE2C_13</vt:lpwstr>
  </property>
  <property fmtid="{D5CDD505-2E9C-101B-9397-08002B2CF9AE}" pid="3" name="KSOProductBuildVer">
    <vt:lpwstr>2052-12.8.2.18913</vt:lpwstr>
  </property>
  <property fmtid="{D5CDD505-2E9C-101B-9397-08002B2CF9AE}" pid="4" name="KSOReadingLayout">
    <vt:bool>false</vt:bool>
  </property>
  <property fmtid="{D5CDD505-2E9C-101B-9397-08002B2CF9AE}" pid="5" name="EM_Doc_Temp_ID">
    <vt:lpwstr>F3049EED-C779-4D0C-9A62-10C794EA9B58</vt:lpwstr>
  </property>
  <property fmtid="{D5CDD505-2E9C-101B-9397-08002B2CF9AE}" pid="6" name="CalculationRule">
    <vt:i4>0</vt:i4>
  </property>
</Properties>
</file>