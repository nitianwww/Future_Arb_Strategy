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mc:AlternateContent xmlns:mc="http://schemas.openxmlformats.org/markup-compatibility/2006">
    <mc:Choice Requires="x15">
      <x15ac:absPath xmlns:x15ac="http://schemas.microsoft.com/office/spreadsheetml/2010/11/ac" url="E:\BaiduSyncdisk\期货规则汇总\"/>
    </mc:Choice>
  </mc:AlternateContent>
  <bookViews>
    <workbookView xWindow="0" yWindow="0" windowWidth="18345" windowHeight="11535" tabRatio="733" firstSheet="8" activeTab="8"/>
  </bookViews>
  <sheets>
    <sheet name="目录" sheetId="1" r:id="rId1"/>
    <sheet name="交易时间表" sheetId="2" r:id="rId2"/>
    <sheet name="期货合约要素" sheetId="3" r:id="rId3"/>
    <sheet name="期权合约要素" sheetId="4" r:id="rId4"/>
    <sheet name="保证金及涨跌停板幅度表" sheetId="5" r:id="rId5"/>
    <sheet name="限仓规则" sheetId="6" r:id="rId6"/>
    <sheet name="交易限额" sheetId="7" r:id="rId7"/>
    <sheet name="异常交易规则" sheetId="8" r:id="rId8"/>
    <sheet name="交割规则" sheetId="9" r:id="rId9"/>
    <sheet name="保证金优惠规则" sheetId="10" r:id="rId10"/>
    <sheet name="申报费规则" sheetId="13" r:id="rId11"/>
    <sheet name="交易指令" sheetId="11" r:id="rId12"/>
    <sheet name="期权行权规则" sheetId="12" r:id="rId13"/>
    <sheet name="修订记录" sheetId="14" r:id="rId14"/>
  </sheets>
  <definedNames>
    <definedName name="_xlnm._FilterDatabase" localSheetId="2" hidden="1">期货合约要素!$A$3:$AA$86</definedName>
    <definedName name="_xlnm._FilterDatabase" localSheetId="3" hidden="1">期权合约要素!$A$1:$U$67</definedName>
  </definedNames>
  <calcPr calcId="162913"/>
  <fileRecoveryPr repairLoad="1"/>
</workbook>
</file>

<file path=xl/calcChain.xml><?xml version="1.0" encoding="utf-8"?>
<calcChain xmlns="http://schemas.openxmlformats.org/spreadsheetml/2006/main">
  <c r="U106" i="5" l="1"/>
  <c r="T106" i="5"/>
  <c r="R106" i="5"/>
  <c r="P106" i="5"/>
  <c r="O106" i="5"/>
  <c r="N106" i="5"/>
  <c r="L106" i="5"/>
  <c r="K106" i="5"/>
  <c r="I106" i="5"/>
  <c r="H106" i="5"/>
  <c r="U105" i="5"/>
  <c r="T105" i="5"/>
  <c r="R105" i="5"/>
  <c r="P105" i="5"/>
  <c r="U103" i="5"/>
  <c r="T103" i="5"/>
  <c r="R103" i="5"/>
  <c r="P103" i="5"/>
  <c r="O103" i="5"/>
  <c r="N103" i="5"/>
  <c r="L103" i="5"/>
  <c r="K103" i="5"/>
  <c r="I103" i="5"/>
  <c r="H103" i="5"/>
  <c r="U102" i="5"/>
  <c r="T102" i="5"/>
  <c r="R102" i="5"/>
  <c r="P102" i="5"/>
  <c r="O102" i="5"/>
  <c r="N102" i="5"/>
  <c r="L102" i="5"/>
  <c r="K102" i="5"/>
  <c r="I102" i="5"/>
  <c r="H102" i="5"/>
  <c r="U97" i="5"/>
  <c r="T97" i="5"/>
  <c r="R97" i="5"/>
  <c r="P97" i="5"/>
  <c r="O97" i="5"/>
  <c r="N97" i="5"/>
  <c r="L97" i="5"/>
  <c r="K97" i="5"/>
  <c r="I97" i="5"/>
  <c r="H97" i="5"/>
  <c r="U96" i="5"/>
  <c r="T96" i="5"/>
  <c r="R96" i="5"/>
  <c r="Q96" i="5"/>
  <c r="P96" i="5"/>
  <c r="O96" i="5"/>
  <c r="N96" i="5"/>
  <c r="L96" i="5"/>
  <c r="K96" i="5"/>
  <c r="I96" i="5"/>
  <c r="H96" i="5"/>
  <c r="U95" i="5"/>
  <c r="T95" i="5"/>
  <c r="R95" i="5"/>
  <c r="P95" i="5"/>
  <c r="O94" i="5"/>
  <c r="N94" i="5"/>
  <c r="L94" i="5"/>
  <c r="K94" i="5"/>
  <c r="I94" i="5"/>
  <c r="H94" i="5"/>
  <c r="U93" i="5"/>
  <c r="T93" i="5"/>
  <c r="R93" i="5"/>
  <c r="P93" i="5"/>
  <c r="O93" i="5"/>
  <c r="N93" i="5"/>
  <c r="L93" i="5"/>
  <c r="K93" i="5"/>
  <c r="I93" i="5"/>
  <c r="H93" i="5"/>
  <c r="U92" i="5"/>
  <c r="T92" i="5"/>
  <c r="R92" i="5"/>
  <c r="P92" i="5"/>
  <c r="O92" i="5"/>
  <c r="N92" i="5"/>
  <c r="L92" i="5"/>
  <c r="K92" i="5"/>
  <c r="I92" i="5"/>
  <c r="H92" i="5"/>
  <c r="U91" i="5"/>
  <c r="T91" i="5"/>
  <c r="R91" i="5"/>
  <c r="P91" i="5"/>
  <c r="O91" i="5"/>
  <c r="N91" i="5"/>
  <c r="L91" i="5"/>
  <c r="K91" i="5"/>
  <c r="I91" i="5"/>
  <c r="H91" i="5"/>
  <c r="U90" i="5"/>
  <c r="T90" i="5"/>
  <c r="R90" i="5"/>
  <c r="P90" i="5"/>
  <c r="O90" i="5"/>
  <c r="N90" i="5"/>
  <c r="L90" i="5"/>
  <c r="K90" i="5"/>
  <c r="I90" i="5"/>
  <c r="H90" i="5"/>
  <c r="U89" i="5"/>
  <c r="T89" i="5"/>
  <c r="R89" i="5"/>
  <c r="P89" i="5"/>
  <c r="O89" i="5"/>
  <c r="N89" i="5"/>
  <c r="L89" i="5"/>
  <c r="K89" i="5"/>
  <c r="I89" i="5"/>
  <c r="H89" i="5"/>
  <c r="U88" i="5"/>
  <c r="T88" i="5"/>
  <c r="R88" i="5"/>
  <c r="P88" i="5"/>
  <c r="O88" i="5"/>
  <c r="N88" i="5"/>
  <c r="L88" i="5"/>
  <c r="K88" i="5"/>
  <c r="I88" i="5"/>
  <c r="H88" i="5"/>
  <c r="U87" i="5"/>
  <c r="T87" i="5"/>
  <c r="R87" i="5"/>
  <c r="P87" i="5"/>
  <c r="O87" i="5"/>
  <c r="N87" i="5"/>
  <c r="L87" i="5"/>
  <c r="K87" i="5"/>
  <c r="I87" i="5"/>
  <c r="H87" i="5"/>
  <c r="U86" i="5"/>
  <c r="T86" i="5"/>
  <c r="R86" i="5"/>
  <c r="P86" i="5"/>
  <c r="O86" i="5"/>
  <c r="N86" i="5"/>
  <c r="L86" i="5"/>
  <c r="K86" i="5"/>
  <c r="I86" i="5"/>
  <c r="H86" i="5"/>
  <c r="U85" i="5"/>
  <c r="T85" i="5"/>
  <c r="R85" i="5"/>
  <c r="P85" i="5"/>
  <c r="O85" i="5"/>
  <c r="N85" i="5"/>
  <c r="L85" i="5"/>
  <c r="K85" i="5"/>
  <c r="I85" i="5"/>
  <c r="H85" i="5"/>
  <c r="U84" i="5"/>
  <c r="T84" i="5"/>
  <c r="R84" i="5"/>
  <c r="P84" i="5"/>
  <c r="O84" i="5"/>
  <c r="N84" i="5"/>
  <c r="L84" i="5"/>
  <c r="K84" i="5"/>
  <c r="I84" i="5"/>
  <c r="H84" i="5"/>
  <c r="U83" i="5"/>
  <c r="T83" i="5"/>
  <c r="R83" i="5"/>
  <c r="P83" i="5"/>
  <c r="O83" i="5"/>
  <c r="N83" i="5"/>
  <c r="L83" i="5"/>
  <c r="K83" i="5"/>
  <c r="I83" i="5"/>
  <c r="H83" i="5"/>
  <c r="U82" i="5"/>
  <c r="T82" i="5"/>
  <c r="R82" i="5"/>
  <c r="P82" i="5"/>
  <c r="O82" i="5"/>
  <c r="N82" i="5"/>
  <c r="L82" i="5"/>
  <c r="K82" i="5"/>
  <c r="I82" i="5"/>
  <c r="H82" i="5"/>
  <c r="U81" i="5"/>
  <c r="T81" i="5"/>
  <c r="R81" i="5"/>
  <c r="P81" i="5"/>
  <c r="O81" i="5"/>
  <c r="N81" i="5"/>
  <c r="L81" i="5"/>
  <c r="K81" i="5"/>
  <c r="I81" i="5"/>
  <c r="H81" i="5"/>
  <c r="U80" i="5"/>
  <c r="T80" i="5"/>
  <c r="R80" i="5"/>
  <c r="P80" i="5"/>
  <c r="O80" i="5"/>
  <c r="N80" i="5"/>
  <c r="L80" i="5"/>
  <c r="K80" i="5"/>
  <c r="I80" i="5"/>
  <c r="H80" i="5"/>
  <c r="U79" i="5"/>
  <c r="T79" i="5"/>
  <c r="R79" i="5"/>
  <c r="P79" i="5"/>
  <c r="O79" i="5"/>
  <c r="N79" i="5"/>
  <c r="L79" i="5"/>
  <c r="K79" i="5"/>
  <c r="I79" i="5"/>
  <c r="H79" i="5"/>
  <c r="U78" i="5"/>
  <c r="T78" i="5"/>
  <c r="R78" i="5"/>
  <c r="P78" i="5"/>
  <c r="O78" i="5"/>
  <c r="N78" i="5"/>
  <c r="L78" i="5"/>
  <c r="K78" i="5"/>
  <c r="I78" i="5"/>
  <c r="H78" i="5"/>
  <c r="U77" i="5"/>
  <c r="T77" i="5"/>
  <c r="R77" i="5"/>
  <c r="P77" i="5"/>
  <c r="O77" i="5"/>
  <c r="N77" i="5"/>
  <c r="L77" i="5"/>
  <c r="K77" i="5"/>
  <c r="I77" i="5"/>
  <c r="H77" i="5"/>
  <c r="U76" i="5"/>
  <c r="T76" i="5"/>
  <c r="R76" i="5"/>
  <c r="P76" i="5"/>
  <c r="O76" i="5"/>
  <c r="N76" i="5"/>
  <c r="L76" i="5"/>
  <c r="K76" i="5"/>
  <c r="I76" i="5"/>
  <c r="H76" i="5"/>
  <c r="U75" i="5"/>
  <c r="T75" i="5"/>
  <c r="R75" i="5"/>
  <c r="P75" i="5"/>
  <c r="O75" i="5"/>
  <c r="N75" i="5"/>
  <c r="L75" i="5"/>
  <c r="K75" i="5"/>
  <c r="I75" i="5"/>
  <c r="H75" i="5"/>
  <c r="U70" i="5"/>
  <c r="T70" i="5"/>
  <c r="S70" i="5"/>
  <c r="R70" i="5"/>
  <c r="Q70" i="5"/>
  <c r="P70" i="5"/>
  <c r="O70" i="5"/>
  <c r="N70" i="5"/>
  <c r="L70" i="5"/>
  <c r="K70" i="5"/>
  <c r="I70" i="5"/>
  <c r="H70" i="5"/>
  <c r="U69" i="5"/>
  <c r="T69" i="5"/>
  <c r="S69" i="5"/>
  <c r="R69" i="5"/>
  <c r="Q69" i="5"/>
  <c r="P69" i="5"/>
  <c r="O69" i="5"/>
  <c r="N69" i="5"/>
  <c r="L69" i="5"/>
  <c r="K69" i="5"/>
  <c r="I69" i="5"/>
  <c r="H69" i="5"/>
  <c r="U68" i="5"/>
  <c r="T68" i="5"/>
  <c r="S68" i="5"/>
  <c r="R68" i="5"/>
  <c r="Q68" i="5"/>
  <c r="P68" i="5"/>
  <c r="O68" i="5"/>
  <c r="N68" i="5"/>
  <c r="L68" i="5"/>
  <c r="K68" i="5"/>
  <c r="I68" i="5"/>
  <c r="H68" i="5"/>
  <c r="U67" i="5"/>
  <c r="T67" i="5"/>
  <c r="S67" i="5"/>
  <c r="R67" i="5"/>
  <c r="Q67" i="5"/>
  <c r="P67" i="5"/>
  <c r="O66" i="5"/>
  <c r="N66" i="5"/>
  <c r="L66" i="5"/>
  <c r="K66" i="5"/>
  <c r="I66" i="5"/>
  <c r="H66" i="5"/>
  <c r="U65" i="5"/>
  <c r="T65" i="5"/>
  <c r="R65" i="5"/>
  <c r="P65" i="5"/>
  <c r="O65" i="5"/>
  <c r="N65" i="5"/>
  <c r="L65" i="5"/>
  <c r="K65" i="5"/>
  <c r="I65" i="5"/>
  <c r="H65" i="5"/>
  <c r="U64" i="5"/>
  <c r="T64" i="5"/>
  <c r="R64" i="5"/>
  <c r="P64" i="5"/>
  <c r="O64" i="5"/>
  <c r="N64" i="5"/>
  <c r="L64" i="5"/>
  <c r="K64" i="5"/>
  <c r="I64" i="5"/>
  <c r="H64" i="5"/>
  <c r="U63" i="5"/>
  <c r="T63" i="5"/>
  <c r="R63" i="5"/>
  <c r="P63" i="5"/>
  <c r="O63" i="5"/>
  <c r="N63" i="5"/>
  <c r="L63" i="5"/>
  <c r="K63" i="5"/>
  <c r="I63" i="5"/>
  <c r="H63" i="5"/>
  <c r="U62" i="5"/>
  <c r="T62" i="5"/>
  <c r="R62" i="5"/>
  <c r="P62" i="5"/>
  <c r="O62" i="5"/>
  <c r="N62" i="5"/>
  <c r="L62" i="5"/>
  <c r="K62" i="5"/>
  <c r="I62" i="5"/>
  <c r="H62" i="5"/>
  <c r="U61" i="5"/>
  <c r="T61" i="5"/>
  <c r="R61" i="5"/>
  <c r="P61" i="5"/>
  <c r="O61" i="5"/>
  <c r="N61" i="5"/>
  <c r="L61" i="5"/>
  <c r="K61" i="5"/>
  <c r="I61" i="5"/>
  <c r="H61" i="5"/>
  <c r="U60" i="5"/>
  <c r="T60" i="5"/>
  <c r="R60" i="5"/>
  <c r="P60" i="5"/>
  <c r="O60" i="5"/>
  <c r="N60" i="5"/>
  <c r="L60" i="5"/>
  <c r="K60" i="5"/>
  <c r="I60" i="5"/>
  <c r="H60" i="5"/>
  <c r="U59" i="5"/>
  <c r="T59" i="5"/>
  <c r="R59" i="5"/>
  <c r="P59" i="5"/>
  <c r="O59" i="5"/>
  <c r="N59" i="5"/>
  <c r="L59" i="5"/>
  <c r="K59" i="5"/>
  <c r="I59" i="5"/>
  <c r="H59" i="5"/>
  <c r="U58" i="5"/>
  <c r="T58" i="5"/>
  <c r="R58" i="5"/>
  <c r="P58" i="5"/>
  <c r="O58" i="5"/>
  <c r="N58" i="5"/>
  <c r="L58" i="5"/>
  <c r="K58" i="5"/>
  <c r="I58" i="5"/>
  <c r="H58" i="5"/>
  <c r="U57" i="5"/>
  <c r="T57" i="5"/>
  <c r="R57" i="5"/>
  <c r="P57" i="5"/>
  <c r="O57" i="5"/>
  <c r="N57" i="5"/>
  <c r="L57" i="5"/>
  <c r="K57" i="5"/>
  <c r="I57" i="5"/>
  <c r="H57" i="5"/>
  <c r="U56" i="5"/>
  <c r="T56" i="5"/>
  <c r="R56" i="5"/>
  <c r="P56" i="5"/>
  <c r="O56" i="5"/>
  <c r="N56" i="5"/>
  <c r="L56" i="5"/>
  <c r="K56" i="5"/>
  <c r="I56" i="5"/>
  <c r="H56" i="5"/>
  <c r="U55" i="5"/>
  <c r="T55" i="5"/>
  <c r="R55" i="5"/>
  <c r="P55" i="5"/>
  <c r="O55" i="5"/>
  <c r="N55" i="5"/>
  <c r="L55" i="5"/>
  <c r="K55" i="5"/>
  <c r="I55" i="5"/>
  <c r="H55" i="5"/>
  <c r="U54" i="5"/>
  <c r="T54" i="5"/>
  <c r="R54" i="5"/>
  <c r="P54" i="5"/>
  <c r="O54" i="5"/>
  <c r="N54" i="5"/>
  <c r="L54" i="5"/>
  <c r="K54" i="5"/>
  <c r="I54" i="5"/>
  <c r="H54" i="5"/>
  <c r="U53" i="5"/>
  <c r="T53" i="5"/>
  <c r="R53" i="5"/>
  <c r="P53" i="5"/>
  <c r="O53" i="5"/>
  <c r="N53" i="5"/>
  <c r="L53" i="5"/>
  <c r="K53" i="5"/>
  <c r="I53" i="5"/>
  <c r="H53" i="5"/>
  <c r="U52" i="5"/>
  <c r="T52" i="5"/>
  <c r="R52" i="5"/>
  <c r="P52" i="5"/>
  <c r="O52" i="5"/>
  <c r="N52" i="5"/>
  <c r="L52" i="5"/>
  <c r="K52" i="5"/>
  <c r="I52" i="5"/>
  <c r="H52" i="5"/>
  <c r="U51" i="5"/>
  <c r="T51" i="5"/>
  <c r="R51" i="5"/>
  <c r="P51" i="5"/>
  <c r="O51" i="5"/>
  <c r="N51" i="5"/>
  <c r="L51" i="5"/>
  <c r="K51" i="5"/>
  <c r="I51" i="5"/>
  <c r="H51" i="5"/>
  <c r="U50" i="5"/>
  <c r="T50" i="5"/>
  <c r="R50" i="5"/>
  <c r="P50" i="5"/>
  <c r="O50" i="5"/>
  <c r="N50" i="5"/>
  <c r="L50" i="5"/>
  <c r="K50" i="5"/>
  <c r="I50" i="5"/>
  <c r="H50" i="5"/>
  <c r="U49" i="5"/>
  <c r="T49" i="5"/>
  <c r="R49" i="5"/>
  <c r="P49" i="5"/>
  <c r="O49" i="5"/>
  <c r="N49" i="5"/>
  <c r="L49" i="5"/>
  <c r="K49" i="5"/>
  <c r="I49" i="5"/>
  <c r="H49" i="5"/>
  <c r="O48" i="5"/>
  <c r="N48" i="5"/>
  <c r="L48" i="5"/>
  <c r="K48" i="5"/>
  <c r="I48" i="5"/>
  <c r="H48" i="5"/>
  <c r="U47" i="5"/>
  <c r="T47" i="5"/>
  <c r="R47" i="5"/>
  <c r="P47" i="5"/>
  <c r="O47" i="5"/>
  <c r="N47" i="5"/>
  <c r="L47" i="5"/>
  <c r="K47" i="5"/>
  <c r="I47" i="5"/>
  <c r="H47" i="5"/>
  <c r="U46" i="5"/>
  <c r="T46" i="5"/>
  <c r="R46" i="5"/>
  <c r="P46" i="5"/>
  <c r="O46" i="5"/>
  <c r="N46" i="5"/>
  <c r="L46" i="5"/>
  <c r="K46" i="5"/>
  <c r="I46" i="5"/>
  <c r="H46" i="5"/>
  <c r="U45" i="5"/>
  <c r="T45" i="5"/>
  <c r="R45" i="5"/>
  <c r="P45" i="5"/>
  <c r="O45" i="5"/>
  <c r="N45" i="5"/>
  <c r="L45" i="5"/>
  <c r="K45" i="5"/>
  <c r="I45" i="5"/>
  <c r="H45" i="5"/>
  <c r="U44" i="5"/>
  <c r="T44" i="5"/>
  <c r="R44" i="5"/>
  <c r="P44" i="5"/>
  <c r="O44" i="5"/>
  <c r="N44" i="5"/>
  <c r="L44" i="5"/>
  <c r="K44" i="5"/>
  <c r="I44" i="5"/>
  <c r="H44" i="5"/>
  <c r="U43" i="5"/>
  <c r="T43" i="5"/>
  <c r="R43" i="5"/>
  <c r="P43" i="5"/>
  <c r="O43" i="5"/>
  <c r="N43" i="5"/>
  <c r="L43" i="5"/>
  <c r="K43" i="5"/>
  <c r="I43" i="5"/>
  <c r="H43" i="5"/>
  <c r="U42" i="5"/>
  <c r="T42" i="5"/>
  <c r="R42" i="5"/>
  <c r="P42" i="5"/>
  <c r="O42" i="5"/>
  <c r="N42" i="5"/>
  <c r="L42" i="5"/>
  <c r="K42" i="5"/>
  <c r="I42" i="5"/>
  <c r="H42" i="5"/>
  <c r="U41" i="5"/>
  <c r="T41" i="5"/>
  <c r="R41" i="5"/>
  <c r="P41" i="5"/>
  <c r="O41" i="5"/>
  <c r="N41" i="5"/>
  <c r="L41" i="5"/>
  <c r="K41" i="5"/>
  <c r="I41" i="5"/>
  <c r="H41" i="5"/>
  <c r="U40" i="5"/>
  <c r="T40" i="5"/>
  <c r="R40" i="5"/>
  <c r="P40" i="5"/>
  <c r="O40" i="5"/>
  <c r="N40" i="5"/>
  <c r="L40" i="5"/>
  <c r="K40" i="5"/>
  <c r="I40" i="5"/>
  <c r="H40" i="5"/>
  <c r="U39" i="5"/>
  <c r="T39" i="5"/>
  <c r="R39" i="5"/>
  <c r="P39" i="5"/>
  <c r="O39" i="5"/>
  <c r="N39" i="5"/>
  <c r="L39" i="5"/>
  <c r="K39" i="5"/>
  <c r="I39" i="5"/>
  <c r="H39" i="5"/>
  <c r="U38" i="5"/>
  <c r="T38" i="5"/>
  <c r="R38" i="5"/>
  <c r="P38" i="5"/>
  <c r="O38" i="5"/>
  <c r="N38" i="5"/>
  <c r="L38" i="5"/>
  <c r="K38" i="5"/>
  <c r="I38" i="5"/>
  <c r="H38" i="5"/>
  <c r="U37" i="5"/>
  <c r="T37" i="5"/>
  <c r="R37" i="5"/>
  <c r="P37" i="5"/>
  <c r="O37" i="5"/>
  <c r="N37" i="5"/>
  <c r="L37" i="5"/>
  <c r="K37" i="5"/>
  <c r="I37" i="5"/>
  <c r="H37" i="5"/>
  <c r="T32" i="5"/>
  <c r="R32" i="5"/>
  <c r="Q32" i="5"/>
  <c r="P32" i="5"/>
  <c r="O31" i="5"/>
  <c r="N31" i="5"/>
  <c r="L31" i="5"/>
  <c r="K31" i="5"/>
  <c r="I31" i="5"/>
  <c r="H31" i="5"/>
  <c r="T30" i="5"/>
  <c r="R30" i="5"/>
  <c r="Q30" i="5"/>
  <c r="P30" i="5"/>
  <c r="O30" i="5"/>
  <c r="N30" i="5"/>
  <c r="L30" i="5"/>
  <c r="K30" i="5"/>
  <c r="I30" i="5"/>
  <c r="H30" i="5"/>
  <c r="T29" i="5"/>
  <c r="R29" i="5"/>
  <c r="Q29" i="5"/>
  <c r="P29" i="5"/>
  <c r="O28" i="5"/>
  <c r="N28" i="5"/>
  <c r="L28" i="5"/>
  <c r="K28" i="5"/>
  <c r="I28" i="5"/>
  <c r="H28" i="5"/>
  <c r="U27" i="5"/>
  <c r="T27" i="5"/>
  <c r="S27" i="5"/>
  <c r="R27" i="5"/>
  <c r="Q27" i="5"/>
  <c r="P27" i="5"/>
  <c r="O27" i="5"/>
  <c r="N27" i="5"/>
  <c r="L27" i="5"/>
  <c r="K27" i="5"/>
  <c r="I27" i="5"/>
  <c r="H27" i="5"/>
  <c r="U26" i="5"/>
  <c r="T26" i="5"/>
  <c r="S26" i="5"/>
  <c r="R26" i="5"/>
  <c r="Q26" i="5"/>
  <c r="P26" i="5"/>
  <c r="O25" i="5"/>
  <c r="N25" i="5"/>
  <c r="L25" i="5"/>
  <c r="K25" i="5"/>
  <c r="I25" i="5"/>
  <c r="H25" i="5"/>
  <c r="U24" i="5"/>
  <c r="T24" i="5"/>
  <c r="S24" i="5"/>
  <c r="R24" i="5"/>
  <c r="Q24" i="5"/>
  <c r="P24" i="5"/>
  <c r="O23" i="5"/>
  <c r="N23" i="5"/>
  <c r="L23" i="5"/>
  <c r="K23" i="5"/>
  <c r="I23" i="5"/>
  <c r="H23" i="5"/>
  <c r="U22" i="5"/>
  <c r="T22" i="5"/>
  <c r="S22" i="5"/>
  <c r="R22" i="5"/>
  <c r="Q22" i="5"/>
  <c r="P22" i="5"/>
  <c r="O22" i="5"/>
  <c r="N22" i="5"/>
  <c r="L22" i="5"/>
  <c r="K22" i="5"/>
  <c r="I22" i="5"/>
  <c r="H22" i="5"/>
  <c r="U21" i="5"/>
  <c r="T21" i="5"/>
  <c r="S21" i="5"/>
  <c r="R21" i="5"/>
  <c r="Q21" i="5"/>
  <c r="P21" i="5"/>
  <c r="O21" i="5"/>
  <c r="N21" i="5"/>
  <c r="L21" i="5"/>
  <c r="K21" i="5"/>
  <c r="I21" i="5"/>
  <c r="H21" i="5"/>
  <c r="U20" i="5"/>
  <c r="T20" i="5"/>
  <c r="S20" i="5"/>
  <c r="R20" i="5"/>
  <c r="Q20" i="5"/>
  <c r="P20" i="5"/>
  <c r="O20" i="5"/>
  <c r="N20" i="5"/>
  <c r="L20" i="5"/>
  <c r="K20" i="5"/>
  <c r="I20" i="5"/>
  <c r="H20" i="5"/>
  <c r="U19" i="5"/>
  <c r="T19" i="5"/>
  <c r="S19" i="5"/>
  <c r="R19" i="5"/>
  <c r="Q19" i="5"/>
  <c r="P19" i="5"/>
  <c r="O19" i="5"/>
  <c r="N19" i="5"/>
  <c r="L19" i="5"/>
  <c r="K19" i="5"/>
  <c r="I19" i="5"/>
  <c r="H19" i="5"/>
  <c r="U18" i="5"/>
  <c r="T18" i="5"/>
  <c r="S18" i="5"/>
  <c r="R18" i="5"/>
  <c r="Q18" i="5"/>
  <c r="P18" i="5"/>
  <c r="O18" i="5"/>
  <c r="N18" i="5"/>
  <c r="L18" i="5"/>
  <c r="K18" i="5"/>
  <c r="I18" i="5"/>
  <c r="H18" i="5"/>
  <c r="U17" i="5"/>
  <c r="T17" i="5"/>
  <c r="S17" i="5"/>
  <c r="R17" i="5"/>
  <c r="Q17" i="5"/>
  <c r="P17" i="5"/>
  <c r="O17" i="5"/>
  <c r="N17" i="5"/>
  <c r="L17" i="5"/>
  <c r="K17" i="5"/>
  <c r="I17" i="5"/>
  <c r="H17" i="5"/>
  <c r="U16" i="5"/>
  <c r="T16" i="5"/>
  <c r="S16" i="5"/>
  <c r="R16" i="5"/>
  <c r="Q16" i="5"/>
  <c r="P16" i="5"/>
  <c r="O16" i="5"/>
  <c r="N16" i="5"/>
  <c r="L16" i="5"/>
  <c r="K16" i="5"/>
  <c r="I16" i="5"/>
  <c r="H16" i="5"/>
  <c r="U15" i="5"/>
  <c r="T15" i="5"/>
  <c r="S15" i="5"/>
  <c r="R15" i="5"/>
  <c r="Q15" i="5"/>
  <c r="P15" i="5"/>
  <c r="O15" i="5"/>
  <c r="N15" i="5"/>
  <c r="L15" i="5"/>
  <c r="K15" i="5"/>
  <c r="I15" i="5"/>
  <c r="H15" i="5"/>
  <c r="U14" i="5"/>
  <c r="T14" i="5"/>
  <c r="S14" i="5"/>
  <c r="R14" i="5"/>
  <c r="Q14" i="5"/>
  <c r="P14" i="5"/>
  <c r="O14" i="5"/>
  <c r="N14" i="5"/>
  <c r="L14" i="5"/>
  <c r="K14" i="5"/>
  <c r="I14" i="5"/>
  <c r="H14" i="5"/>
  <c r="U13" i="5"/>
  <c r="T13" i="5"/>
  <c r="S13" i="5"/>
  <c r="R13" i="5"/>
  <c r="Q13" i="5"/>
  <c r="P13" i="5"/>
  <c r="O13" i="5"/>
  <c r="N13" i="5"/>
  <c r="L13" i="5"/>
  <c r="K13" i="5"/>
  <c r="I13" i="5"/>
  <c r="H13" i="5"/>
  <c r="U12" i="5"/>
  <c r="T12" i="5"/>
  <c r="S12" i="5"/>
  <c r="R12" i="5"/>
  <c r="Q12" i="5"/>
  <c r="P12" i="5"/>
  <c r="O12" i="5"/>
  <c r="N12" i="5"/>
  <c r="L12" i="5"/>
  <c r="K12" i="5"/>
  <c r="I12" i="5"/>
  <c r="H12" i="5"/>
  <c r="U11" i="5"/>
  <c r="T11" i="5"/>
  <c r="S11" i="5"/>
  <c r="R11" i="5"/>
  <c r="Q11" i="5"/>
  <c r="P11" i="5"/>
  <c r="O11" i="5"/>
  <c r="N11" i="5"/>
  <c r="L11" i="5"/>
  <c r="K11" i="5"/>
  <c r="I11" i="5"/>
  <c r="H11" i="5"/>
  <c r="U10" i="5"/>
  <c r="T10" i="5"/>
  <c r="S10" i="5"/>
  <c r="R10" i="5"/>
  <c r="Q10" i="5"/>
  <c r="P10" i="5"/>
  <c r="O10" i="5"/>
  <c r="N10" i="5"/>
  <c r="L10" i="5"/>
  <c r="K10" i="5"/>
  <c r="I10" i="5"/>
  <c r="H10" i="5"/>
  <c r="U9" i="5"/>
  <c r="T9" i="5"/>
  <c r="S9" i="5"/>
  <c r="R9" i="5"/>
  <c r="Q9" i="5"/>
  <c r="P9" i="5"/>
  <c r="O9" i="5"/>
  <c r="N9" i="5"/>
  <c r="L9" i="5"/>
  <c r="K9" i="5"/>
  <c r="I9" i="5"/>
  <c r="H9" i="5"/>
  <c r="U8" i="5"/>
  <c r="T8" i="5"/>
  <c r="S8" i="5"/>
  <c r="R8" i="5"/>
  <c r="Q8" i="5"/>
  <c r="P8" i="5"/>
  <c r="O8" i="5"/>
  <c r="N8" i="5"/>
  <c r="L8" i="5"/>
  <c r="K8" i="5"/>
  <c r="I8" i="5"/>
  <c r="H8" i="5"/>
  <c r="U7" i="5"/>
  <c r="T7" i="5"/>
  <c r="S7" i="5"/>
  <c r="R7" i="5"/>
  <c r="Q7" i="5"/>
  <c r="P7" i="5"/>
  <c r="O7" i="5"/>
  <c r="N7" i="5"/>
  <c r="L7" i="5"/>
  <c r="K7" i="5"/>
  <c r="I7" i="5"/>
  <c r="H7" i="5"/>
  <c r="U6" i="5"/>
  <c r="T6" i="5"/>
  <c r="S6" i="5"/>
  <c r="R6" i="5"/>
  <c r="Q6" i="5"/>
  <c r="P6" i="5"/>
  <c r="O6" i="5"/>
  <c r="N6" i="5"/>
  <c r="L6" i="5"/>
  <c r="K6" i="5"/>
  <c r="I6" i="5"/>
  <c r="H6" i="5"/>
</calcChain>
</file>

<file path=xl/sharedStrings.xml><?xml version="1.0" encoding="utf-8"?>
<sst xmlns="http://schemas.openxmlformats.org/spreadsheetml/2006/main" count="5000" uniqueCount="1675">
  <si>
    <t>目录及链接</t>
  </si>
  <si>
    <t>各交易所交易规则链接</t>
  </si>
  <si>
    <t>目录</t>
  </si>
  <si>
    <t>中国金融期货交易所</t>
  </si>
  <si>
    <t>http://www.cffex.com.cn/jysgz/</t>
  </si>
  <si>
    <t>交易时间表</t>
  </si>
  <si>
    <t>上海期货交易所</t>
  </si>
  <si>
    <t>https://www.shfe.com.cn/regulation/</t>
  </si>
  <si>
    <t>期货合约要素</t>
  </si>
  <si>
    <t>上海国际能源交易中心</t>
  </si>
  <si>
    <t>https://www.ine.cn/regulation/regulation/</t>
  </si>
  <si>
    <t>期权合约要素</t>
  </si>
  <si>
    <t>大连商品交易所</t>
  </si>
  <si>
    <t>http://www.dce.com.cn/dalianshangpin/fgfz/index.html</t>
  </si>
  <si>
    <t>保证金及涨跌停板幅度表</t>
  </si>
  <si>
    <t>郑州商品交易所</t>
  </si>
  <si>
    <t>http://www.czce.com.cn/cn/flfg/H7705index_1.htm</t>
  </si>
  <si>
    <t>限仓规则</t>
  </si>
  <si>
    <t>广州期货交易所</t>
  </si>
  <si>
    <t>http://www.gfex.com.cn/gfex/jysgz/lists_notime.shtml</t>
  </si>
  <si>
    <t>交易限额</t>
  </si>
  <si>
    <t>上海证券交易所</t>
  </si>
  <si>
    <t>http://www.sse.com.cn/lawandrules/sselawsrules/option/</t>
  </si>
  <si>
    <t>异常交易规则</t>
  </si>
  <si>
    <t>深圳证券交易所</t>
  </si>
  <si>
    <t>https://www.szse.cn/lawrules/rule/derivative/index.html</t>
  </si>
  <si>
    <t>交割规则</t>
  </si>
  <si>
    <t>保证金优惠规则</t>
  </si>
  <si>
    <t>指令规则</t>
  </si>
  <si>
    <t>期权行权规则</t>
  </si>
  <si>
    <t>申报费规则</t>
  </si>
  <si>
    <t>修订记录</t>
  </si>
  <si>
    <t>免责说明：本文件为国泰君安期货有限公司根据目前交易所规则汇编，供您参考，如有相关规则变动，则以交易所最新发布为准。</t>
  </si>
  <si>
    <t>点此返回目录</t>
  </si>
  <si>
    <t>期货及期权各品种交易时间表</t>
  </si>
  <si>
    <t>交易所</t>
  </si>
  <si>
    <t>品种名称</t>
  </si>
  <si>
    <t>品种代码</t>
  </si>
  <si>
    <t>是否有期权</t>
  </si>
  <si>
    <t>交易时间</t>
  </si>
  <si>
    <t>夜盘集合竞价</t>
  </si>
  <si>
    <t>夜盘连续竞价</t>
  </si>
  <si>
    <t>日盘集合竞价</t>
  </si>
  <si>
    <t>日盘连续竞价</t>
  </si>
  <si>
    <t>上期所</t>
  </si>
  <si>
    <t>线材</t>
  </si>
  <si>
    <t>wr</t>
  </si>
  <si>
    <t>无夜盘</t>
  </si>
  <si>
    <t>申报阶段8:55-8:59       撮合阶段8:59-9:00</t>
  </si>
  <si>
    <t xml:space="preserve">上午9:00-10:15
10:30-11:30
下午13:30-15:00         </t>
  </si>
  <si>
    <t>螺纹钢</t>
  </si>
  <si>
    <t>rb</t>
  </si>
  <si>
    <t>是</t>
  </si>
  <si>
    <t>申报阶段20:55-20:59 撮合阶段20:59-21:00</t>
  </si>
  <si>
    <t>21：00-23：00</t>
  </si>
  <si>
    <t>二次集合竞价：
申报阶段8:55-8:59       撮合阶段8:59-9:00  
备注：未成交的交易指令自动参与日盘集合竞价，投资者可以在日盘集合竞价申报阶段对夜盘交易时段未成交的指令进行撤单。</t>
  </si>
  <si>
    <t>热轧卷板</t>
  </si>
  <si>
    <t>hc</t>
  </si>
  <si>
    <t>燃料油</t>
  </si>
  <si>
    <t>fu</t>
  </si>
  <si>
    <t>石油沥青</t>
  </si>
  <si>
    <t>bu</t>
  </si>
  <si>
    <t>天然橡胶</t>
  </si>
  <si>
    <t>ru</t>
  </si>
  <si>
    <t>丁二烯橡胶</t>
  </si>
  <si>
    <t>br</t>
  </si>
  <si>
    <t>漂针浆</t>
  </si>
  <si>
    <t>sp</t>
  </si>
  <si>
    <t xml:space="preserve"> 铝</t>
  </si>
  <si>
    <t>al</t>
  </si>
  <si>
    <r>
      <rPr>
        <sz val="11"/>
        <color indexed="8"/>
        <rFont val="微软雅黑"/>
        <charset val="134"/>
      </rPr>
      <t>21：00</t>
    </r>
    <r>
      <rPr>
        <sz val="11"/>
        <color indexed="8"/>
        <rFont val="微软雅黑"/>
        <charset val="134"/>
      </rPr>
      <t>-</t>
    </r>
    <r>
      <rPr>
        <sz val="11"/>
        <color indexed="8"/>
        <rFont val="微软雅黑"/>
        <charset val="134"/>
      </rPr>
      <t>次日01：00</t>
    </r>
  </si>
  <si>
    <t>铜</t>
  </si>
  <si>
    <t>cu</t>
  </si>
  <si>
    <t>不锈钢</t>
  </si>
  <si>
    <t>ss</t>
  </si>
  <si>
    <t>锌</t>
  </si>
  <si>
    <t>zn</t>
  </si>
  <si>
    <t>铅</t>
  </si>
  <si>
    <t>pb</t>
  </si>
  <si>
    <t>镍</t>
  </si>
  <si>
    <t>ni</t>
  </si>
  <si>
    <t>锡</t>
  </si>
  <si>
    <t>sn</t>
  </si>
  <si>
    <t>氧化铝</t>
  </si>
  <si>
    <t>ao</t>
  </si>
  <si>
    <t>黄金</t>
  </si>
  <si>
    <t>au</t>
  </si>
  <si>
    <r>
      <rPr>
        <sz val="11"/>
        <rFont val="微软雅黑"/>
        <charset val="134"/>
      </rPr>
      <t>21：00</t>
    </r>
    <r>
      <rPr>
        <sz val="11"/>
        <rFont val="微软雅黑"/>
        <charset val="134"/>
      </rPr>
      <t>-</t>
    </r>
    <r>
      <rPr>
        <sz val="11"/>
        <rFont val="微软雅黑"/>
        <charset val="134"/>
      </rPr>
      <t>次日02：30</t>
    </r>
  </si>
  <si>
    <t>白银</t>
  </si>
  <si>
    <t>ag</t>
  </si>
  <si>
    <t>能源中心</t>
  </si>
  <si>
    <t>原油</t>
  </si>
  <si>
    <t>sc</t>
  </si>
  <si>
    <t>低硫燃料油</t>
  </si>
  <si>
    <t>lu</t>
  </si>
  <si>
    <t>20号胶</t>
  </si>
  <si>
    <t>nr</t>
  </si>
  <si>
    <t>国际铜</t>
  </si>
  <si>
    <t>bc</t>
  </si>
  <si>
    <r>
      <rPr>
        <sz val="11"/>
        <rFont val="微软雅黑"/>
        <charset val="134"/>
      </rPr>
      <t>21：00</t>
    </r>
    <r>
      <rPr>
        <sz val="11"/>
        <rFont val="微软雅黑"/>
        <charset val="134"/>
      </rPr>
      <t>-</t>
    </r>
    <r>
      <rPr>
        <sz val="11"/>
        <rFont val="微软雅黑"/>
        <charset val="134"/>
      </rPr>
      <t>次日01：00</t>
    </r>
  </si>
  <si>
    <t>集运指数（欧线）</t>
  </si>
  <si>
    <t>ec</t>
  </si>
  <si>
    <t>大商所</t>
  </si>
  <si>
    <t>黄大豆1号</t>
  </si>
  <si>
    <t>a</t>
  </si>
  <si>
    <t>二次集合竞价：
申报阶段8:55-8:59       撮合阶段8:59-9:00  
备注：未成交的交易指令自动参与日盘集合竞价，投资者可以在日盘集合竞价申报阶段对夜盘交易时段未成交的指令进行撤单。未触发的止损（盈）指令和套利交易指令不参与集合竞价撮合。</t>
  </si>
  <si>
    <t>黄大豆2号</t>
  </si>
  <si>
    <t>b</t>
  </si>
  <si>
    <t>豆粕</t>
  </si>
  <si>
    <t>m</t>
  </si>
  <si>
    <t>豆油</t>
  </si>
  <si>
    <t>y</t>
  </si>
  <si>
    <t>棕榈油</t>
  </si>
  <si>
    <t>p</t>
  </si>
  <si>
    <t>玉米</t>
  </si>
  <si>
    <t>c</t>
  </si>
  <si>
    <t>玉米淀粉</t>
  </si>
  <si>
    <t>cs</t>
  </si>
  <si>
    <t>聚氯乙烯</t>
  </si>
  <si>
    <t>v</t>
  </si>
  <si>
    <t>聚丙烯</t>
  </si>
  <si>
    <t>pp</t>
  </si>
  <si>
    <t>聚乙烯</t>
  </si>
  <si>
    <t>l</t>
  </si>
  <si>
    <t>液化石油气</t>
  </si>
  <si>
    <t>pg</t>
  </si>
  <si>
    <t>乙二醇</t>
  </si>
  <si>
    <t>eg</t>
  </si>
  <si>
    <t>焦炭</t>
  </si>
  <si>
    <t>j</t>
  </si>
  <si>
    <t>焦煤</t>
  </si>
  <si>
    <t>jm</t>
  </si>
  <si>
    <t>粳米</t>
  </si>
  <si>
    <t>rr</t>
  </si>
  <si>
    <t>苯乙烯</t>
  </si>
  <si>
    <t>eb</t>
  </si>
  <si>
    <t>铁矿石</t>
  </si>
  <si>
    <t>i</t>
  </si>
  <si>
    <t>鸡蛋</t>
  </si>
  <si>
    <t>jd</t>
  </si>
  <si>
    <t>生猪</t>
  </si>
  <si>
    <t>lh</t>
  </si>
  <si>
    <t>胶合板</t>
  </si>
  <si>
    <t>bb</t>
  </si>
  <si>
    <t>纤维板</t>
  </si>
  <si>
    <t>fb</t>
  </si>
  <si>
    <t>原木</t>
  </si>
  <si>
    <t>lg</t>
  </si>
  <si>
    <t>郑商所</t>
  </si>
  <si>
    <t>棉花</t>
  </si>
  <si>
    <t>CF</t>
  </si>
  <si>
    <t xml:space="preserve">上午9:00-10:15 
10:30-11:30
下午13:30-15:00         </t>
  </si>
  <si>
    <t>棉纱</t>
  </si>
  <si>
    <t>CY</t>
  </si>
  <si>
    <t>白糖</t>
  </si>
  <si>
    <t>SR</t>
  </si>
  <si>
    <t>玻璃</t>
  </si>
  <si>
    <t>FG</t>
  </si>
  <si>
    <t>纯碱</t>
  </si>
  <si>
    <t>SA</t>
  </si>
  <si>
    <t>甲醇</t>
  </si>
  <si>
    <t>MA</t>
  </si>
  <si>
    <t>PTA</t>
  </si>
  <si>
    <t>TA</t>
  </si>
  <si>
    <t>短纤</t>
  </si>
  <si>
    <t>PF</t>
  </si>
  <si>
    <t>菜油</t>
  </si>
  <si>
    <t>OI</t>
  </si>
  <si>
    <t>菜籽粕</t>
  </si>
  <si>
    <t>RM</t>
  </si>
  <si>
    <t>对二甲苯</t>
  </si>
  <si>
    <t>PX</t>
  </si>
  <si>
    <t>烧碱</t>
  </si>
  <si>
    <t>SH</t>
  </si>
  <si>
    <t>瓶片</t>
  </si>
  <si>
    <t>PR</t>
  </si>
  <si>
    <t>动力煤</t>
  </si>
  <si>
    <t>ZC</t>
  </si>
  <si>
    <t>锰硅</t>
  </si>
  <si>
    <t>SM</t>
  </si>
  <si>
    <t>普麦</t>
  </si>
  <si>
    <t>PM</t>
  </si>
  <si>
    <t>粳稻</t>
  </si>
  <si>
    <t>JR</t>
  </si>
  <si>
    <t>硅铁</t>
  </si>
  <si>
    <t>SF</t>
  </si>
  <si>
    <t>苹果</t>
  </si>
  <si>
    <t>AP</t>
  </si>
  <si>
    <t>油菜籽</t>
  </si>
  <si>
    <t>RS</t>
  </si>
  <si>
    <t>红枣</t>
  </si>
  <si>
    <t>CJ</t>
  </si>
  <si>
    <t>强麦</t>
  </si>
  <si>
    <t>WH</t>
  </si>
  <si>
    <t>尿素</t>
  </si>
  <si>
    <t>UR</t>
  </si>
  <si>
    <t>花生</t>
  </si>
  <si>
    <t>PK</t>
  </si>
  <si>
    <t>晚籼稻</t>
  </si>
  <si>
    <t>LR</t>
  </si>
  <si>
    <t>早籼稻</t>
  </si>
  <si>
    <t>RI</t>
  </si>
  <si>
    <t>广期所</t>
  </si>
  <si>
    <t>工业硅</t>
  </si>
  <si>
    <t>si</t>
  </si>
  <si>
    <t xml:space="preserve">上午9:00-10:15 
10:30-11:30
下午13:30-15:00                </t>
  </si>
  <si>
    <t>碳酸锂</t>
  </si>
  <si>
    <t>lc</t>
  </si>
  <si>
    <t>多晶硅</t>
  </si>
  <si>
    <t>ps</t>
  </si>
  <si>
    <t>中金所</t>
  </si>
  <si>
    <t>2年期国债</t>
  </si>
  <si>
    <t>TS</t>
  </si>
  <si>
    <t>申报阶段9:25-9:29       
撮合阶段9:29-9:30</t>
  </si>
  <si>
    <t>上午9:30-11:30
下午13:00-15:15    （最后交易日为09：30-11：30）</t>
  </si>
  <si>
    <t>5年期国债</t>
  </si>
  <si>
    <t>TF</t>
  </si>
  <si>
    <t>10年期国债</t>
  </si>
  <si>
    <t>T</t>
  </si>
  <si>
    <t>30年期国债</t>
  </si>
  <si>
    <t>TL</t>
  </si>
  <si>
    <t>沪深300股指期货</t>
  </si>
  <si>
    <t>IF</t>
  </si>
  <si>
    <t>上午9:30-11:30 
下午13:00-15:00</t>
  </si>
  <si>
    <t>上证50股指期货</t>
  </si>
  <si>
    <t>IH</t>
  </si>
  <si>
    <t>中证500股指期货</t>
  </si>
  <si>
    <t>IC</t>
  </si>
  <si>
    <t>中证1000股指期货</t>
  </si>
  <si>
    <t>IM</t>
  </si>
  <si>
    <t>沪深300股指期权</t>
  </si>
  <si>
    <t>IO</t>
  </si>
  <si>
    <t>开盘集合竞价
申报阶段9:25-9:29       
撮合阶段9:29-9:30                                                 收盘集合竞价                 14:57-15:00</t>
  </si>
  <si>
    <t>上午9:30-11:30
下午13:00-14:57</t>
  </si>
  <si>
    <t>中证1000股指期权</t>
  </si>
  <si>
    <t>MO</t>
  </si>
  <si>
    <t>上证50股指期权</t>
  </si>
  <si>
    <t>HO</t>
  </si>
  <si>
    <t>注：</t>
  </si>
  <si>
    <t>集合竞价时间分为两个阶段，申报阶段为期货、期权合约买、卖指令申报时间，只能挂单、撤单且不进行撮合成交；撮合阶段为集合竞价撮合成交时间，交易所交易系统将不接受挂单、撤单等指令。</t>
  </si>
  <si>
    <t>期货品种合约要素</t>
  </si>
  <si>
    <t>交易单位(每手)</t>
  </si>
  <si>
    <t>最小变动价位</t>
  </si>
  <si>
    <t>限价指令每次最大下单数量(手)</t>
  </si>
  <si>
    <t>市价指令每次最大下单数量(手)</t>
  </si>
  <si>
    <t>合约月份</t>
  </si>
  <si>
    <t>最小交割单位(手)</t>
  </si>
  <si>
    <t>临近交割月调整要求</t>
  </si>
  <si>
    <t>最后交易日</t>
  </si>
  <si>
    <t>自然人最后退出日</t>
  </si>
  <si>
    <t>上市时间</t>
  </si>
  <si>
    <t>QFII&amp;RQFII</t>
  </si>
  <si>
    <t>国际化品种</t>
  </si>
  <si>
    <t>沪深300指数</t>
  </si>
  <si>
    <t>每点300元</t>
  </si>
  <si>
    <t>0.2点</t>
  </si>
  <si>
    <t>10
（仅当月、下月合约支持）</t>
  </si>
  <si>
    <t>当月、下月及随后两个季月</t>
  </si>
  <si>
    <t>无需调整</t>
  </si>
  <si>
    <t>合约到期月份第三个周五</t>
  </si>
  <si>
    <t>无</t>
  </si>
  <si>
    <t>√</t>
  </si>
  <si>
    <t>上证50指数</t>
  </si>
  <si>
    <t>中证500指数</t>
  </si>
  <si>
    <t>每点200元</t>
  </si>
  <si>
    <t>中证1000指数</t>
  </si>
  <si>
    <t>2年期国债期货</t>
  </si>
  <si>
    <t>合约乘数为20000</t>
  </si>
  <si>
    <t>0.002元</t>
  </si>
  <si>
    <t>30
（ 仅最近的季月合约支持）</t>
  </si>
  <si>
    <t>最近的三个季月（3月、6月、9月、12月中的最近三个月循环</t>
  </si>
  <si>
    <t>未通过我司向交易所进行国债托管账户报备的客户需要在交割月前两个交易日收盘时将净持仓调整为0</t>
  </si>
  <si>
    <t>合约到期月份第二个周五</t>
  </si>
  <si>
    <t>5年期国债期货</t>
  </si>
  <si>
    <t>合约乘数为10000</t>
  </si>
  <si>
    <t>0.005元</t>
  </si>
  <si>
    <t>10年期国债期货</t>
  </si>
  <si>
    <t>30年期国债期货</t>
  </si>
  <si>
    <t>0.01元</t>
  </si>
  <si>
    <t>1000桶</t>
  </si>
  <si>
    <t>0.1元/桶</t>
  </si>
  <si>
    <t>无市价指令</t>
  </si>
  <si>
    <t>最近1-12个月为连续月份以及随后八个季月</t>
  </si>
  <si>
    <t>交割月份前第一月的最后一个交易日</t>
  </si>
  <si>
    <t>最后交易日前第8个交易日收盘时调整为0手</t>
  </si>
  <si>
    <t>10吨</t>
  </si>
  <si>
    <t>5元/吨</t>
  </si>
  <si>
    <t>1-12月</t>
  </si>
  <si>
    <t>10手整数倍</t>
  </si>
  <si>
    <t>合约交割月份的15日</t>
  </si>
  <si>
    <t>最后交易日前第5个交易日收盘时调整为0手</t>
  </si>
  <si>
    <t>1元/吨</t>
  </si>
  <si>
    <t>5吨</t>
  </si>
  <si>
    <t>10元/吨</t>
  </si>
  <si>
    <t>5手整数倍</t>
  </si>
  <si>
    <t>每点50元</t>
  </si>
  <si>
    <t>0.1点</t>
  </si>
  <si>
    <t>2、4、6、8、10、12月</t>
  </si>
  <si>
    <t>合约交割月份最后一个开展期货交易的周一</t>
  </si>
  <si>
    <t>10 吨</t>
  </si>
  <si>
    <t>30手整数倍</t>
  </si>
  <si>
    <t>5 吨</t>
  </si>
  <si>
    <t>铝</t>
  </si>
  <si>
    <t>20吨</t>
  </si>
  <si>
    <t>15手的整数倍</t>
  </si>
  <si>
    <t>12手的整数倍</t>
  </si>
  <si>
    <t>1吨</t>
  </si>
  <si>
    <t>6手的整数倍</t>
  </si>
  <si>
    <t>2手的整数倍</t>
  </si>
  <si>
    <t>1000 克</t>
  </si>
  <si>
    <t>0.02元/克</t>
  </si>
  <si>
    <t>最近三个连续月份以及最近13个月以内的双月合约</t>
  </si>
  <si>
    <t>3手整数倍</t>
  </si>
  <si>
    <t>15千克</t>
  </si>
  <si>
    <t>1元/千克</t>
  </si>
  <si>
    <t>2手整数倍</t>
  </si>
  <si>
    <t>1、3-11月</t>
  </si>
  <si>
    <t>最近1~12个月为连续月份以及随后四个季月</t>
  </si>
  <si>
    <t>纸浆</t>
  </si>
  <si>
    <t>2元/吨</t>
  </si>
  <si>
    <t xml:space="preserve">保税380燃料油 </t>
  </si>
  <si>
    <t>交割月前一月的最后一个交易日</t>
  </si>
  <si>
    <t xml:space="preserve">合成橡胶 </t>
  </si>
  <si>
    <t>黄大豆一号</t>
  </si>
  <si>
    <t>10 吨</t>
  </si>
  <si>
    <t>1 元/吨</t>
  </si>
  <si>
    <t>1、3、5、7、9、11 月</t>
  </si>
  <si>
    <t>自然人不能持仓进入交割月</t>
  </si>
  <si>
    <t>合约月份第 10 个交易日</t>
  </si>
  <si>
    <t>黄大豆二号</t>
  </si>
  <si>
    <t>1、3、5、7、8、9、11、12月</t>
  </si>
  <si>
    <t>2 元/吨</t>
  </si>
  <si>
    <t>60吨</t>
  </si>
  <si>
    <t>0.5 元/吨</t>
  </si>
  <si>
    <t>100；
1（2604及后续合约）</t>
  </si>
  <si>
    <t>冶金焦炭</t>
  </si>
  <si>
    <t>100吨</t>
  </si>
  <si>
    <t>10；
1（2604及后续合约）</t>
  </si>
  <si>
    <t>100；
50（2604及后续合约）</t>
  </si>
  <si>
    <t>5 吨</t>
  </si>
  <si>
    <t>+</t>
  </si>
  <si>
    <t>合约月份倒数第4个交易日</t>
  </si>
  <si>
    <t>500张</t>
  </si>
  <si>
    <t>0.05元/张</t>
  </si>
  <si>
    <t>1-12月，
bb2509及后续合约：1,3,5,7,9,11月</t>
  </si>
  <si>
    <t>10立方米</t>
  </si>
  <si>
    <t>0.5元/立方米</t>
  </si>
  <si>
    <t>90立方米</t>
  </si>
  <si>
    <t>1元/500千克</t>
  </si>
  <si>
    <t>16吨</t>
  </si>
  <si>
    <t>1、3、5、7、9、11月</t>
  </si>
  <si>
    <t>1 元 / 吨</t>
  </si>
  <si>
    <t xml:space="preserve">PTA </t>
  </si>
  <si>
    <t>1 元/吨</t>
  </si>
  <si>
    <t>1、3、5、7、8、9、11月</t>
  </si>
  <si>
    <t>菜籽油</t>
  </si>
  <si>
    <t>0.2元/吨</t>
  </si>
  <si>
    <t>合约月份第5个交易日</t>
  </si>
  <si>
    <t>20 吨</t>
  </si>
  <si>
    <t>合约月份第 10 个交易日</t>
  </si>
  <si>
    <t>50吨</t>
  </si>
  <si>
    <t>20 吨</t>
  </si>
  <si>
    <t>1、3、4、5、10、11、12月</t>
  </si>
  <si>
    <t>1、3、5、7、9、12月</t>
  </si>
  <si>
    <t>7、8、9、11月</t>
  </si>
  <si>
    <t>30吨</t>
  </si>
  <si>
    <t>15吨</t>
  </si>
  <si>
    <t>合约月份的第10个交易日</t>
  </si>
  <si>
    <t>20元/吨</t>
  </si>
  <si>
    <t>3吨</t>
  </si>
  <si>
    <t>小结：截至目前，共82个期货品种，其中8个金融期货品种，1个服务型指数期货品种，73个商品期货品种；各交易所品种分布：中金所：8个；能源中心5个（夜盘4个），上期所18个（夜盘17个）；大商所22个（夜盘17个）；郑商所26个（夜盘14个）；广期所3个。夜盘交易的品种合计52个。</t>
  </si>
  <si>
    <t>期权品种合约要素</t>
  </si>
  <si>
    <t>合约标的</t>
  </si>
  <si>
    <t>夜盘交易时间</t>
  </si>
  <si>
    <t>总保证金比例</t>
  </si>
  <si>
    <t>保证金计算公式</t>
  </si>
  <si>
    <t>涨跌幅度
(标准)</t>
  </si>
  <si>
    <t>交易单位
(每手)</t>
  </si>
  <si>
    <t>交收日</t>
  </si>
  <si>
    <t>行权方式</t>
  </si>
  <si>
    <t>交割方式</t>
  </si>
  <si>
    <t>沪深300指数期权</t>
  </si>
  <si>
    <t>期权卖方交易保证金中涉及的合约保证金调整系数为14%，最低保障系数为0.5</t>
  </si>
  <si>
    <t>看涨期权：（合约结算价×合约乘数）+MAX（标的指数收盘价×合约乘数×12%-虚值额，0.5×标的指数收盘价×合约乘数×12%）；
看跌期权：（合约结算价×合约乘数）+MAX（标的指数收盘价×合约乘数×12%-虚值额，0.5×合约行权价格×合约乘数×12%）</t>
  </si>
  <si>
    <t>上一交易日标的指数收盘价的±10%</t>
  </si>
  <si>
    <t>无市价</t>
  </si>
  <si>
    <t>当月、下2个月及随后3个季月</t>
  </si>
  <si>
    <t>合约到期月份的第三个星期五</t>
  </si>
  <si>
    <t>同最后交易日</t>
  </si>
  <si>
    <t>欧式</t>
  </si>
  <si>
    <t>现金</t>
  </si>
  <si>
    <t>中证1000指数期权</t>
  </si>
  <si>
    <t>上证50指数期权</t>
  </si>
  <si>
    <t>原油期权</t>
  </si>
  <si>
    <t>sc_o</t>
  </si>
  <si>
    <t>原油期货合约</t>
  </si>
  <si>
    <t>21:00-02:30</t>
  </si>
  <si>
    <t>期权卖方交易保证金中涉及标的期货合约的公司交易保证金收取标准为同期货保证金率</t>
  </si>
  <si>
    <t>期权合约结算价×标的期货合约交易单位+MAX[标的期货合约交易所保证金－（1/2）×期权虚值额，（1/2）×标的期货合约交易所保证金]</t>
  </si>
  <si>
    <t>与期货合约涨跌停板幅度相同</t>
  </si>
  <si>
    <t>0.05元/桶</t>
  </si>
  <si>
    <t>最近两个连续月份合约，其后月份在标的期货合约结算后持仓量达到一定数值之后的第二个交易日挂牌。具体数值交易所另行发布。</t>
  </si>
  <si>
    <t>标的期货合约交割月前第一月的倒数第13个交易日</t>
  </si>
  <si>
    <t>美式</t>
  </si>
  <si>
    <t>实物</t>
  </si>
  <si>
    <t>铜期权</t>
  </si>
  <si>
    <t>cu_o</t>
  </si>
  <si>
    <t>铜期货合约</t>
  </si>
  <si>
    <t>21:00-01:00</t>
  </si>
  <si>
    <t>1-12月；最近两个连续月份合约，其后月份在标的期货合约结算后持仓量达到一定数值之后的第二个交易日挂牌。具体数值交易所另行发布。</t>
  </si>
  <si>
    <t>标的期货合约交割月份前一个月的倒数第五个交易日</t>
  </si>
  <si>
    <t>天然橡胶期权</t>
  </si>
  <si>
    <t>ru_o</t>
  </si>
  <si>
    <t>天然橡胶期货合约</t>
  </si>
  <si>
    <t>21:00-23:00</t>
  </si>
  <si>
    <t>1、3—11月；最近两个连续月份合约，其后月份在标的期货合约结算后持仓量达到一定数值之后的第二个交易日挂牌。具体数值交易所另行发布。</t>
  </si>
  <si>
    <t>黄金期权</t>
  </si>
  <si>
    <t>au_o</t>
  </si>
  <si>
    <t>黄金期货合约</t>
  </si>
  <si>
    <t>铝期权</t>
  </si>
  <si>
    <t>al_o</t>
  </si>
  <si>
    <t>铝期货合约</t>
  </si>
  <si>
    <t>最近两个连续月份合约，其后月份在标的期货合约结算后持仓量达到一定数值之后的第二个交易日挂牌。合约月份涉及的标的期货持仓量阈值为15000手（单边）</t>
  </si>
  <si>
    <t>锌期权</t>
  </si>
  <si>
    <t>zn_o</t>
  </si>
  <si>
    <t>锌期货合约</t>
  </si>
  <si>
    <t>最近两个连续月份合约，其后月份在标的期货合约结算后持仓量达到一定数值之后的第二个交易日挂牌。合约月份涉及的标的期货持仓量阈值为10000手（单边）</t>
  </si>
  <si>
    <t>螺纹钢期权</t>
  </si>
  <si>
    <t>rb_o</t>
  </si>
  <si>
    <t>螺纹钢期货合约</t>
  </si>
  <si>
    <t>0.5元/吨</t>
  </si>
  <si>
    <t>最近两个连续月份合约，其后月份在标的期货合约结算后持仓量达到一定数值之后的第二个交易日挂牌。合约月份涉及的标的期货持仓量阈值为100000手（单边）</t>
  </si>
  <si>
    <t>白银期权</t>
  </si>
  <si>
    <t>ag_o</t>
  </si>
  <si>
    <t>白银期货合约</t>
  </si>
  <si>
    <t>0.5元/千克</t>
  </si>
  <si>
    <t>最近两个连续月份合约，其后月份在标的期货合约结算后持仓量达到一定数值之后的第二个交易日挂牌。合约月份涉及的标的期货持仓量阈值为20000手（单边）</t>
  </si>
  <si>
    <t>合成橡胶期权</t>
  </si>
  <si>
    <t>br_o</t>
  </si>
  <si>
    <t>合成橡胶期货合约</t>
  </si>
  <si>
    <t>铅期权</t>
  </si>
  <si>
    <t>pb_o</t>
  </si>
  <si>
    <t>铅期货合约</t>
  </si>
  <si>
    <t>最近两个连续月份合约，其后月份在标的期货合约结算后持仓量达到一定数值之后的第二个交易日挂牌。合约月份涉及的标的期货持仓量阈值均为10000手（单边）</t>
  </si>
  <si>
    <t>镍期权</t>
  </si>
  <si>
    <t>ni_o</t>
  </si>
  <si>
    <t>镍期货合约</t>
  </si>
  <si>
    <t>锡期权</t>
  </si>
  <si>
    <t>sn_o</t>
  </si>
  <si>
    <t>锡期货合约</t>
  </si>
  <si>
    <t>氧化铝期权</t>
  </si>
  <si>
    <t>ao_o</t>
  </si>
  <si>
    <t>氧化铝期货合约</t>
  </si>
  <si>
    <t>豆粕期权</t>
  </si>
  <si>
    <t>m_o</t>
  </si>
  <si>
    <t>豆粕期货合约</t>
  </si>
  <si>
    <t>标的期货合约交割月份前一个月的第12个交易日</t>
  </si>
  <si>
    <t>玉米期权</t>
  </si>
  <si>
    <t>c_o</t>
  </si>
  <si>
    <t>玉米期货合约</t>
  </si>
  <si>
    <t>铁矿石期权</t>
  </si>
  <si>
    <t>i_o</t>
  </si>
  <si>
    <t>铁矿石期货合约</t>
  </si>
  <si>
    <t>0.1元/吨</t>
  </si>
  <si>
    <t>液化石油气期权</t>
  </si>
  <si>
    <t>pg_o</t>
  </si>
  <si>
    <t>液化石油气期货合约</t>
  </si>
  <si>
    <t>聚丙烯期权</t>
  </si>
  <si>
    <t>pp_o</t>
  </si>
  <si>
    <t>聚丙烯期货合约</t>
  </si>
  <si>
    <t>聚氯乙烯期权</t>
  </si>
  <si>
    <t>v_o</t>
  </si>
  <si>
    <t>聚氯乙烯期货合约</t>
  </si>
  <si>
    <t>聚乙烯期权</t>
  </si>
  <si>
    <t>l_o</t>
  </si>
  <si>
    <t>聚乙烯期货合约</t>
  </si>
  <si>
    <t>棕榈油期权</t>
  </si>
  <si>
    <t>p_o</t>
  </si>
  <si>
    <t>棕榈油期货合约</t>
  </si>
  <si>
    <t>黄大豆1号期权</t>
  </si>
  <si>
    <t>a_o</t>
  </si>
  <si>
    <t>黄大豆1号期货合约</t>
  </si>
  <si>
    <t>黄大豆2号期权</t>
  </si>
  <si>
    <t>b_o</t>
  </si>
  <si>
    <t>黄大豆2号期货合约</t>
  </si>
  <si>
    <t>豆油期权</t>
  </si>
  <si>
    <t>y_o</t>
  </si>
  <si>
    <t>豆油期货合约</t>
  </si>
  <si>
    <t>乙二醇期权</t>
  </si>
  <si>
    <t>eg_o</t>
  </si>
  <si>
    <t>乙二醇期货合约</t>
  </si>
  <si>
    <t>苯乙烯期权</t>
  </si>
  <si>
    <t>eb_o</t>
  </si>
  <si>
    <t>苯乙烯期货合约</t>
  </si>
  <si>
    <t>鸡蛋期权</t>
  </si>
  <si>
    <t>jd_o</t>
  </si>
  <si>
    <t>鸡蛋期货合约</t>
  </si>
  <si>
    <t>0.5元/500千克</t>
  </si>
  <si>
    <t>生猪期权</t>
  </si>
  <si>
    <t>lh_o</t>
  </si>
  <si>
    <t>生猪期货合约</t>
  </si>
  <si>
    <t>2.5元/吨</t>
  </si>
  <si>
    <t>玉米淀粉期权</t>
  </si>
  <si>
    <t>cs_o</t>
  </si>
  <si>
    <t>玉米淀粉期货合约</t>
  </si>
  <si>
    <t>原木期权</t>
  </si>
  <si>
    <t>lg_o</t>
  </si>
  <si>
    <t>原木期货合约</t>
  </si>
  <si>
    <t>0.25元/立方米</t>
  </si>
  <si>
    <t>白糖期权</t>
  </si>
  <si>
    <t>SRC/SRP</t>
  </si>
  <si>
    <t>白糖期货合约</t>
  </si>
  <si>
    <t>标的期货合约中的连续两个近月，其后月份在标的期货合约结算后持仓量达到 5000 手（单边）之后的第二个交易日挂牌</t>
  </si>
  <si>
    <t>标的期货合约交割月份前一个月第15个日历日之前（含该日）的倒数第3个交易日</t>
  </si>
  <si>
    <t>棉花期权</t>
  </si>
  <si>
    <t>CFC/CFP</t>
  </si>
  <si>
    <t>棉花期货合约</t>
  </si>
  <si>
    <t>标的期货合约中的连续两个近月，其后月份在标的期货合约结算后持仓量达到5000手（单边）之后的第二个交易日挂牌</t>
  </si>
  <si>
    <t>PTA期权</t>
  </si>
  <si>
    <t>TAC/TAP</t>
  </si>
  <si>
    <t>PTA期货合约</t>
  </si>
  <si>
    <t>标的期货合约中的连续两个近月，其后月份在标的期货合约结算后持仓量达到10000手（单边）之后的第二个交易日挂牌</t>
  </si>
  <si>
    <t>甲醇期权</t>
  </si>
  <si>
    <t>MAC/MAP</t>
  </si>
  <si>
    <t>甲醇期货合约</t>
  </si>
  <si>
    <t>菜籽粕期权</t>
  </si>
  <si>
    <t>RMC/RMP</t>
  </si>
  <si>
    <t>菜籽粕期货合约</t>
  </si>
  <si>
    <t>菜籽油期权</t>
  </si>
  <si>
    <t>OIC/OIP</t>
  </si>
  <si>
    <t>菜籽油期货合约</t>
  </si>
  <si>
    <t>花生期权</t>
  </si>
  <si>
    <t>PKC/PKP</t>
  </si>
  <si>
    <t>花生期货合约</t>
  </si>
  <si>
    <t>动力煤期权</t>
  </si>
  <si>
    <t>ZCC/ZCP</t>
  </si>
  <si>
    <t>动力煤期货合约</t>
  </si>
  <si>
    <t>烧碱期权</t>
  </si>
  <si>
    <t>SHC/SHP</t>
  </si>
  <si>
    <t>烧碱期货合约</t>
  </si>
  <si>
    <t>短纤期权</t>
  </si>
  <si>
    <t>PFC/PFP</t>
  </si>
  <si>
    <t>短纤期货合约</t>
  </si>
  <si>
    <t>纯碱期权</t>
  </si>
  <si>
    <t>SAC/SAP</t>
  </si>
  <si>
    <t>纯碱期货合约</t>
  </si>
  <si>
    <t>锰硅期权</t>
  </si>
  <si>
    <t>SMC/SMP</t>
  </si>
  <si>
    <t>锰硅期货合约</t>
  </si>
  <si>
    <t>硅铁期权</t>
  </si>
  <si>
    <t>SFC/SFP</t>
  </si>
  <si>
    <t>硅铁期货合约</t>
  </si>
  <si>
    <t>尿素期权</t>
  </si>
  <si>
    <t>URC/URP</t>
  </si>
  <si>
    <t>尿素期货合约</t>
  </si>
  <si>
    <t>玻璃期权</t>
  </si>
  <si>
    <t>FGC/FGP</t>
  </si>
  <si>
    <t>玻璃期货合约</t>
  </si>
  <si>
    <t>瓶片期权</t>
  </si>
  <si>
    <t>PRC/PRP</t>
  </si>
  <si>
    <t>瓶片期货合约</t>
  </si>
  <si>
    <t>标的期货合约中的连续两个近月，其后月份在标的期货合约结算后持仓量达到3000手（单边）之后的第二个交易日挂牌</t>
  </si>
  <si>
    <t>对二甲苯期权</t>
  </si>
  <si>
    <t>PXC/PXP</t>
  </si>
  <si>
    <t>对二甲苯期货合约</t>
  </si>
  <si>
    <t>标的期货合约交割月份前两个月最后一个日历日之前(含该日)的倒数第3个交易日</t>
  </si>
  <si>
    <t>苹果期权</t>
  </si>
  <si>
    <t>APC/APP</t>
  </si>
  <si>
    <t>苹果期货合约</t>
  </si>
  <si>
    <t>红枣期权</t>
  </si>
  <si>
    <t>CJC/CJP</t>
  </si>
  <si>
    <t>红枣期货合约</t>
  </si>
  <si>
    <t>工业硅期权</t>
  </si>
  <si>
    <t>si_o</t>
  </si>
  <si>
    <t>工业硅期货合约</t>
  </si>
  <si>
    <t>标的期货合约交割月份前一个月的第5个交易日</t>
  </si>
  <si>
    <t>碳酸锂期权</t>
  </si>
  <si>
    <t>lc_o</t>
  </si>
  <si>
    <t>碳酸锂期货合约</t>
  </si>
  <si>
    <t>多晶硅期权</t>
  </si>
  <si>
    <t>ps_o</t>
  </si>
  <si>
    <t>多晶硅期货合约</t>
  </si>
  <si>
    <t>上交所</t>
  </si>
  <si>
    <t>上证50ETF期权</t>
  </si>
  <si>
    <t>1.2*交易所保证金</t>
  </si>
  <si>
    <t>认购期权：[合约结算价+Max（12%×合约标的收盘价-认购期权虚值，7%×合约标的收盘价）]×合约单位；
认沽期权：Min[合约结算价+Max（12%×合约标的收盘价-认沽期权虚值，7%×行权价格），行权价格] ×合约单位</t>
  </si>
  <si>
    <t>见交易所网站</t>
  </si>
  <si>
    <t>10000份</t>
  </si>
  <si>
    <t>到期月份的第四个星期三（遇法定节假日顺延）</t>
  </si>
  <si>
    <t>行权日次一交易日</t>
  </si>
  <si>
    <t>沪深300ETF期权</t>
  </si>
  <si>
    <t>中证500ETF期权</t>
  </si>
  <si>
    <t>华夏科创50ETF期权</t>
  </si>
  <si>
    <t>易方达科创50ETF期权</t>
  </si>
  <si>
    <t>深交所</t>
  </si>
  <si>
    <t>创业板ETF期权</t>
  </si>
  <si>
    <t>深证100ETF期权</t>
  </si>
  <si>
    <t>期货品种保证金标准及涨跌停板幅度表</t>
  </si>
  <si>
    <t>合约单位</t>
  </si>
  <si>
    <t>公司加收</t>
  </si>
  <si>
    <t>按连续单边市调整的交易所保证金率</t>
  </si>
  <si>
    <t>连续单边市涨跌停板</t>
  </si>
  <si>
    <t>按时间梯度调整的交易所保证金率</t>
  </si>
  <si>
    <t>投机</t>
  </si>
  <si>
    <t>套保</t>
  </si>
  <si>
    <t>交割月前1个月</t>
  </si>
  <si>
    <t>交割月份</t>
  </si>
  <si>
    <t>一般月份</t>
  </si>
  <si>
    <t>第一个单边市结算时</t>
  </si>
  <si>
    <t>第二个同方向单边市结算时</t>
  </si>
  <si>
    <t>第一个单边市结算后</t>
  </si>
  <si>
    <t>第二个同方向单边市结算后</t>
  </si>
  <si>
    <t>第1个交易日起
（投机）</t>
  </si>
  <si>
    <t>第1个交易日起
（套保）</t>
  </si>
  <si>
    <t>最后交易日前2个交易日起
（投机）</t>
  </si>
  <si>
    <t>最后交易日前2个交易日起
（套保）</t>
  </si>
  <si>
    <t>1000克</t>
  </si>
  <si>
    <t>合成橡胶</t>
  </si>
  <si>
    <t>交割月前2月第10个交易日起
（投机）</t>
  </si>
  <si>
    <t>交割月前2月第10个交易日起
（套保）</t>
  </si>
  <si>
    <t>交割月前1月第10个交易日起
（投机）</t>
  </si>
  <si>
    <t>交割月前1月第10个交易日起
（套保）</t>
  </si>
  <si>
    <t>交割月前1月第1个交易日起
（投机）</t>
  </si>
  <si>
    <t>交割月前1月第1个交易日起
（套保）</t>
  </si>
  <si>
    <t>交割月第1个交易日起
（投机）</t>
  </si>
  <si>
    <t>交割月第1个交易日起
（套保）</t>
  </si>
  <si>
    <t>集运指数
（欧线）</t>
  </si>
  <si>
    <t>50元</t>
  </si>
  <si>
    <t>最后交易日前7个交易日起
（投机）</t>
  </si>
  <si>
    <t>最后交易日前7个交易日起
（套保）</t>
  </si>
  <si>
    <t>交易所时间梯度保证金</t>
  </si>
  <si>
    <t>第16个日历日起
（投机）</t>
  </si>
  <si>
    <t>第16个日历日起
（套保）</t>
  </si>
  <si>
    <t>第1个日历日起
（投机）</t>
  </si>
  <si>
    <t>第1个日历日起
（套保）</t>
  </si>
  <si>
    <t>郑州
商品
交易所</t>
  </si>
  <si>
    <t>PTA505-509</t>
  </si>
  <si>
    <t xml:space="preserve">短纤 </t>
  </si>
  <si>
    <t>玻璃505</t>
  </si>
  <si>
    <t>菜籽粕505-603</t>
  </si>
  <si>
    <t>菜籽油505-603</t>
  </si>
  <si>
    <t>苹果503-505</t>
  </si>
  <si>
    <t>第一个日历日至第15个日历日
（投机）</t>
  </si>
  <si>
    <t>第一个日历日至第15个日历日
（套保）</t>
  </si>
  <si>
    <t>对二甲苯505</t>
  </si>
  <si>
    <t>对二甲苯506-509</t>
  </si>
  <si>
    <t>交割月</t>
  </si>
  <si>
    <t>第15个交易日起
（投机）</t>
  </si>
  <si>
    <t>第15个交易日起
（套保）</t>
  </si>
  <si>
    <t>大连
商品
交易所</t>
  </si>
  <si>
    <t>交割月第8个
交易日起
（投机）</t>
  </si>
  <si>
    <t>交割月第8个
交易日起
（套保）</t>
  </si>
  <si>
    <t>交割月第1个
交易日起
（投机）</t>
  </si>
  <si>
    <t>交割月第1个
交易日起
（套保）</t>
  </si>
  <si>
    <t>广州期货
交易所</t>
  </si>
  <si>
    <t>碳酸锂
2502-2511合约</t>
  </si>
  <si>
    <t>碳酸锂 
2512及后续合约</t>
  </si>
  <si>
    <t>第10个交易日起
（投机）</t>
  </si>
  <si>
    <t>第10个交易日起
（套保）</t>
  </si>
  <si>
    <t>交易所保证金
一般月份</t>
  </si>
  <si>
    <t>连续单边市保证金和涨跌停板幅度</t>
  </si>
  <si>
    <t>出现第一个停板时</t>
  </si>
  <si>
    <t>连续出现第二个停板时</t>
  </si>
  <si>
    <t>交割月前1个月倒数第一个交易日起</t>
  </si>
  <si>
    <t>涨跌停板</t>
  </si>
  <si>
    <t>交易所保证金</t>
  </si>
  <si>
    <t>中国金融期货
交易所</t>
  </si>
  <si>
    <t>(1)连续两个交易日出现同方向单边市，D2为最后交易日，直接进行交割结算；
(2)D2交易日不是最后交易日的，交易所有权根据市场情况采取风险控制措施中的一种或者多种(包括强制减仓)。</t>
  </si>
  <si>
    <t>不调整</t>
  </si>
  <si>
    <t>各交易所投机限仓标准（单边计算）</t>
  </si>
  <si>
    <t>上交所股票期权限仓表</t>
  </si>
  <si>
    <t>合约挂牌至交割月前第二月的最后一个交易日</t>
  </si>
  <si>
    <t>交割月前第一月</t>
  </si>
  <si>
    <t>备注</t>
  </si>
  <si>
    <t>投资者满足的条件</t>
  </si>
  <si>
    <t>权利仓持仓限额（张）</t>
  </si>
  <si>
    <t>总持仓限额（张）</t>
  </si>
  <si>
    <t>单日买入开仓限额（张）</t>
  </si>
  <si>
    <t>市场单边持仓量≥10万手， 限仓比例10%</t>
  </si>
  <si>
    <t>需调整为5手整数倍进入交割月</t>
  </si>
  <si>
    <t>新开立合约账户</t>
  </si>
  <si>
    <t>客户在多家经纪商开户的，各经纪商单独控制持仓限额。</t>
  </si>
  <si>
    <t>市场单边持仓量＜10万手， 限仓10000</t>
  </si>
  <si>
    <t>市场单边持仓量≥8万手， 限仓比例10%</t>
  </si>
  <si>
    <t>（1）三级投资者
（2）开户满10个交易日
（3）成交量达到100张</t>
  </si>
  <si>
    <t>市场单边持仓量＜8万手，限仓8000</t>
  </si>
  <si>
    <t>市场单边持仓量≥6万手， 限仓比例10%</t>
  </si>
  <si>
    <t>市场单边持仓量＜6万手， 限仓6000</t>
  </si>
  <si>
    <t>（1）三级投资者
（2）开户满10个交易日
（3）成交量达到500张
（4）在我司托管的自有资产余额超过100万</t>
  </si>
  <si>
    <t>市场单边持仓量≥5万手， 限仓比例10%</t>
  </si>
  <si>
    <t>市场单边持仓量＜5万手，限仓5000</t>
  </si>
  <si>
    <t>市场单边持仓量≥90万手，限仓比例10%</t>
  </si>
  <si>
    <t>需调整为30手整数倍进入交割月</t>
  </si>
  <si>
    <t>市场单边持仓量＜90万手，限仓90000</t>
  </si>
  <si>
    <t>（1）三级投资者
（2）开户满10个交易日
（3）成交量达到1000张
（4）在我司托管的自有资产余额超过300万
（须先向上交所报备，下一交易日设置）</t>
  </si>
  <si>
    <t>市场单边持仓量≥22.5万手， 限仓比例10%</t>
  </si>
  <si>
    <t>市场单边持仓量＜22.5万手，限仓22500</t>
  </si>
  <si>
    <t>热卷</t>
  </si>
  <si>
    <t>市场单边持仓量≥120万手， 限仓比例10%</t>
  </si>
  <si>
    <t>市场单边持仓量＜120万手，限仓120000</t>
  </si>
  <si>
    <t>需调整为15手整数倍进入交割月</t>
  </si>
  <si>
    <t>市场单边持仓量＜5万手， 限仓5000</t>
  </si>
  <si>
    <t>深交所股票期权限仓表</t>
  </si>
  <si>
    <t>市场单边持仓量≥7万手， 限仓比例10%</t>
  </si>
  <si>
    <t>需调整为12手整数倍进入交割月</t>
  </si>
  <si>
    <t>市场单边持仓量＜7万手，限仓7000</t>
  </si>
  <si>
    <t>需调整为6手整数倍进入交割月</t>
  </si>
  <si>
    <t>市场单边持仓量＜6万手，限仓6000</t>
  </si>
  <si>
    <t>客户在多家经纪商开户的，各经纪商单独控制持仓限额；
深交所对单一客户合并控制权利仓5000、总持仓10000、单日买入开仓限额10000；可能存在客户不超过在经纪商的持仓限额，但是合并后达到交易所持仓限额无法开仓的情况。</t>
  </si>
  <si>
    <t>市场单边持仓量≥1.5万手， 限仓比例10%</t>
  </si>
  <si>
    <t>需调整为2手整数倍进入交割月</t>
  </si>
  <si>
    <t>市场单边持仓量＜1.5万手，限仓1500</t>
  </si>
  <si>
    <t>市场单边持仓量≥1万手， 限仓比例10%</t>
  </si>
  <si>
    <t>市场单边持仓量＜1万手，限仓1000</t>
  </si>
  <si>
    <t>需调整为3手整数倍进入交割月</t>
  </si>
  <si>
    <t>沥青</t>
  </si>
  <si>
    <t>（1）三级投资者
（2）开户满10个交易日
（3）成交量达到1000张
（4）在我司托管的自有资产余额超过300万</t>
  </si>
  <si>
    <t>橡胶</t>
  </si>
  <si>
    <t>合约挂牌至交割月前第三月的最后一个交易日</t>
  </si>
  <si>
    <t>交割月前第二月</t>
  </si>
  <si>
    <t>保税380燃料油</t>
  </si>
  <si>
    <t>标的期货合约挂牌至交割月前第二月的最后一个交易日</t>
  </si>
  <si>
    <t>标的期货合约交割月前第一个月</t>
  </si>
  <si>
    <t>股票期权限购表</t>
  </si>
  <si>
    <t>期权持仓的计算方式如下：
买单边持仓量=同标的看涨期权的买持仓量+看跌期权的卖持仓量；
卖单边持仓量=同标的看涨期权的卖持仓量+看跌期权的买持仓量。</t>
  </si>
  <si>
    <t>买入金额限额  
(按万取整，仅限个人投资者，以下两者的最大值)</t>
  </si>
  <si>
    <t>橡胶期权</t>
  </si>
  <si>
    <t>（1）投资者在我司托管的自有资产余额的10%；
（2）前6个月日均持有证券市值的20%。</t>
  </si>
  <si>
    <t>1、自有资产余额，指投资者托管在我司的证券市值与资金账户可用余额（不含通过融资融券交易融入的证券和资金）。其中，证券市值包括期权合约市值，计算方法为：期权合约市值=∑期权合约实时成交价或最新结算价×合约单位×合约张数。当投资者持有权利仓时，期权合约市值计为正值；当投资者持有义务仓时，期权合约市值计为负值。</t>
  </si>
  <si>
    <t>三级投资者</t>
  </si>
  <si>
    <t>（1）投资者在我司托管的自有资产余额的20%；
（2）前6个月日均持有证券市值的20%。</t>
  </si>
  <si>
    <t>权利仓持仓限额已达到2000张</t>
  </si>
  <si>
    <t>（1）投资者在我司托管的自有资产余额的30%；
（2）前6个月日均持有证券市值的20%。</t>
  </si>
  <si>
    <t>丁二烯橡胶期权</t>
  </si>
  <si>
    <t>交割月份前第二月</t>
  </si>
  <si>
    <t>交割月份前第一月</t>
  </si>
  <si>
    <t>需调整为10手整数倍进入交割月</t>
  </si>
  <si>
    <t>市场单边持仓量＜7万手， 限仓7000</t>
  </si>
  <si>
    <t>合约挂盘至最后交易日前第八个交易日</t>
  </si>
  <si>
    <t>最后交易日前第七个交易日至最后交易日前第三个交易日</t>
  </si>
  <si>
    <t>最后交易日前第二个交易日至最后交易日</t>
  </si>
  <si>
    <t>合约上市至交割月份前一个月第十四个交易日
（持仓量为单边计算）</t>
  </si>
  <si>
    <t>交割月前一个月第十五个交易日起</t>
  </si>
  <si>
    <t>交割月份
（法人）</t>
  </si>
  <si>
    <t>豆一
(a2603之前合约)</t>
  </si>
  <si>
    <t>市场单边持仓量≤15万</t>
  </si>
  <si>
    <t>1.5万</t>
  </si>
  <si>
    <t>自然人交割月限仓为0</t>
  </si>
  <si>
    <t>市场单边持仓量＞15万</t>
  </si>
  <si>
    <t>市场单边持仓量×10%</t>
  </si>
  <si>
    <t>豆一
（a2603及之后合约）</t>
  </si>
  <si>
    <t>市场单边持仓量≤5万</t>
  </si>
  <si>
    <t>市场单边持仓量＞5万</t>
  </si>
  <si>
    <t>市场单边持仓量×5%</t>
  </si>
  <si>
    <t>豆二</t>
  </si>
  <si>
    <t>市场单边持仓量≤10万</t>
  </si>
  <si>
    <t>市场单边持仓量＞10万</t>
  </si>
  <si>
    <t>豆粕
（m2603之前合约）</t>
  </si>
  <si>
    <t>市场单边持仓量≤40万</t>
  </si>
  <si>
    <t>4万</t>
  </si>
  <si>
    <t>市场单边持仓量＞40万</t>
  </si>
  <si>
    <t>豆粕
（m2603及之后合约）</t>
  </si>
  <si>
    <t>2万</t>
  </si>
  <si>
    <t>豆油
（y2603之前合约）</t>
  </si>
  <si>
    <t>市场单边持仓量≤20万</t>
  </si>
  <si>
    <t>市场单边持仓量＞20万</t>
  </si>
  <si>
    <t>豆油
（y2603及之后合约）</t>
  </si>
  <si>
    <t>1万</t>
  </si>
  <si>
    <t>棕榈油
（p2512之前合约）</t>
  </si>
  <si>
    <t>棕榈油
（p2512及之后合约）</t>
  </si>
  <si>
    <t>线型低密度聚乙烯</t>
  </si>
  <si>
    <t>市场单边持仓量≤8万</t>
  </si>
  <si>
    <t>市场单边持仓量＞8万</t>
  </si>
  <si>
    <t>市场单边持仓量≤30万</t>
  </si>
  <si>
    <t>市场单边持仓量＞30万</t>
  </si>
  <si>
    <t>胶合板
（bb2509之前合约）</t>
  </si>
  <si>
    <t>市场单边持仓量≤6万</t>
  </si>
  <si>
    <t>市场单边持仓量＞6万</t>
  </si>
  <si>
    <t>胶合板
（bb2509及之后合约）</t>
  </si>
  <si>
    <t>市场单边持仓量≤5000</t>
  </si>
  <si>
    <t>市场单边持仓量＞5000</t>
  </si>
  <si>
    <t>市场单边持仓量≤3万</t>
  </si>
  <si>
    <t>市场单边持仓量＞3万</t>
  </si>
  <si>
    <t>市场单边持仓量≤12万</t>
  </si>
  <si>
    <t>市场单边持仓量＞12万</t>
  </si>
  <si>
    <t>合约上市起</t>
  </si>
  <si>
    <t>交割月前一个月第一个交易日起</t>
  </si>
  <si>
    <t>交割月前一个月第十个交易日起</t>
  </si>
  <si>
    <t>铁矿石
（i2512之前合约）</t>
  </si>
  <si>
    <t>铁矿石
（i2512及之后合约）</t>
  </si>
  <si>
    <t>生猪
（非7月合约）</t>
  </si>
  <si>
    <t>生猪
（7月合约）</t>
  </si>
  <si>
    <t>合约上市起至到期日</t>
  </si>
  <si>
    <t>豆油期货期权</t>
  </si>
  <si>
    <t>自合约挂牌至交割月前一个月第15个日历日期间的交易日</t>
  </si>
  <si>
    <t>交割月前一个月第16个日历日至交割月前一个月最后一个日历日期间的交易日</t>
  </si>
  <si>
    <t>自合约挂牌至交割月前一个月第15个日历日期间的交易日（持仓量为单边计算）</t>
  </si>
  <si>
    <t>市场单边持仓量＜20万</t>
  </si>
  <si>
    <t>市场单边持仓量≥20万</t>
  </si>
  <si>
    <t>市场单边持仓量＜50万</t>
  </si>
  <si>
    <t>市场单边持仓量≥50万</t>
  </si>
  <si>
    <t>市场单边持仓量＜10万</t>
  </si>
  <si>
    <t>市场单边持仓量≥10万</t>
  </si>
  <si>
    <t>市场单边持仓量＜30万</t>
  </si>
  <si>
    <t>市场单边持仓量≥30万</t>
  </si>
  <si>
    <t>市场单边持仓量＜3万</t>
  </si>
  <si>
    <t>市场单边持仓量≥3万</t>
  </si>
  <si>
    <t>自挂牌至交割月前二个月最后一个日历日期间的交易日</t>
  </si>
  <si>
    <t>自交割月前一个月第一个日历日至交割月前一个月第15个日历日期间的交易日</t>
  </si>
  <si>
    <t>从合约挂牌至到期日期间</t>
  </si>
  <si>
    <t>期权持仓的统计方式如下：
买单边持仓量=同标的看涨期权的买持仓量+看跌期权的卖持仓量；
卖单边持仓量=同标的看涨期权的卖持仓量+看跌期权的买持仓量。</t>
  </si>
  <si>
    <t>菜籽粕期</t>
  </si>
  <si>
    <t>对二甲苯期</t>
  </si>
  <si>
    <t>合约上市至交割月份前一个月第十四个交易日（持仓量为单边计算）</t>
  </si>
  <si>
    <t>碳酸锂
（lc2502-lc2511合约）</t>
  </si>
  <si>
    <t>碳酸锂
（lc2512及后续合约）</t>
  </si>
  <si>
    <t>合约上市至交割月份前一个月第九个交易日（持仓量为单边计算）</t>
  </si>
  <si>
    <t>合约上市至到期日</t>
  </si>
  <si>
    <t>股指期货品种名称</t>
  </si>
  <si>
    <t>股指期货品种代码</t>
  </si>
  <si>
    <t>投机编码（限仓量为单边计算）</t>
  </si>
  <si>
    <t>对冲专用编码（限仓量为单边计算）</t>
  </si>
  <si>
    <t>合约挂牌之日起至最后交易日</t>
  </si>
  <si>
    <t>单合约5000手</t>
  </si>
  <si>
    <t>品种合计20000手</t>
  </si>
  <si>
    <t>1.持牌金融机构可以单独申请中金所套保及套利额度、对冲编码及获得对冲额度，获得交易所审批通过的，可增加套保、套利及对冲的持仓限额，且支持在套保编码下、对冲编码下可完成对应额度建仓，不受投机编码下单个合约单日开仓量500手的限制。
2.套保交易、对冲交易受到异常交易及自然周成交量不得超过获批额度2倍的限制，需特别注意。</t>
  </si>
  <si>
    <t>单合约1200手</t>
  </si>
  <si>
    <t>品种合计4800手</t>
  </si>
  <si>
    <t>股指期权品种名称</t>
  </si>
  <si>
    <t>股指期权品种代码</t>
  </si>
  <si>
    <t>某一月份系列期权合约5000手</t>
  </si>
  <si>
    <t>品种合计30000手</t>
  </si>
  <si>
    <t>1.客户的期权品种日内开仓交易的最大数量为200手，单个月份期权合约日内开仓交易的最大数量为100手，单个深度虚值合约日内开仓交易的最大数量为30手。
（说明：深度虚值合约是指同一月份合约中，行权价格高于上一交易日合约标的指数收盘价的第十个及以上的看涨期权合约和行权价格低于上一交易日合约标的指数收盘价的第十个及以下的看跌期权合约。日内开仓交易的最大数量是指客户某一交易日某一品种、某一月份合约或某一合约上的买开仓数量与卖开仓数量之和。）
2.套保交易、对冲交易受到异常交易及自然周成交量不得超过获批额度2倍的限制，需特别注意。</t>
  </si>
  <si>
    <t>某一月份系列期权合约1200手</t>
  </si>
  <si>
    <t>品种合计7200手</t>
  </si>
  <si>
    <t>国债期货品种名称</t>
  </si>
  <si>
    <t>国债期货品种代码</t>
  </si>
  <si>
    <t>合约挂牌之日起</t>
  </si>
  <si>
    <t>交割月份之前的一个交
易日起</t>
  </si>
  <si>
    <t>新合约上市日起至季月之前的第二个交易日</t>
  </si>
  <si>
    <t>季月之前的一个交易日起至交割月合约最后交易日</t>
  </si>
  <si>
    <t>两年期国债期货</t>
  </si>
  <si>
    <t>单合约2000手
（做市商6000手）</t>
  </si>
  <si>
    <t>单合约600手
（做市商1200手）</t>
  </si>
  <si>
    <t>品种合计6000手</t>
  </si>
  <si>
    <t>品种合计4600手
（其中交割月合约限600手）</t>
  </si>
  <si>
    <t>1.根据中金所国债期货合约交割细则的规定，交割月份之前的一个交易日起，中金所将对未通过国债托管账户审核客户的国债合约持仓予以强行平仓，强平盈利交易所罚没。
自交割月份之前的二个交易日起至最后交易日之前一个交易日，每日收市后，同一交易编码的交割月份合约双向持仓对冲平仓，平仓价格为该合约前一交易日的结算价。
2.套保交易、对冲交易受到异常交易及自然周成交量不得超过获批额度2倍的限制，需特别注意。</t>
  </si>
  <si>
    <t xml:space="preserve">
五年期国债期货
</t>
  </si>
  <si>
    <t>三十年期国债期货</t>
  </si>
  <si>
    <t>十年期国债期货</t>
  </si>
  <si>
    <t>单合约4000手
（做市商6000手）</t>
  </si>
  <si>
    <t>单合约1200手
（做市商1200手）</t>
  </si>
  <si>
    <t>品种合计12000手</t>
  </si>
  <si>
    <t>品种合计9200手
（其中交割月合约限1200手）</t>
  </si>
  <si>
    <t>实施交易限额的品种汇总表</t>
  </si>
  <si>
    <t>说明</t>
  </si>
  <si>
    <t>单合约</t>
  </si>
  <si>
    <t>单品种</t>
  </si>
  <si>
    <t>时间</t>
  </si>
  <si>
    <t>交易所是否前端控制</t>
  </si>
  <si>
    <t>单笔最小开仓量（手）</t>
  </si>
  <si>
    <t xml:space="preserve">股指期货
</t>
  </si>
  <si>
    <t>IF/IH/IC/IM</t>
  </si>
  <si>
    <t>限制单合约</t>
  </si>
  <si>
    <t>/</t>
  </si>
  <si>
    <t>是
（实控组没有前端控制）</t>
  </si>
  <si>
    <t>股指期权</t>
  </si>
  <si>
    <t>IO/MO/HO</t>
  </si>
  <si>
    <t>限制品种、单月份系列、深度虚值合约</t>
  </si>
  <si>
    <t>月份期权合约100
深度虚值合约 30</t>
  </si>
  <si>
    <t xml:space="preserve">铁矿石 </t>
  </si>
  <si>
    <t>bb2504</t>
  </si>
  <si>
    <t>2025/3/26
2025/3/28起执行</t>
  </si>
  <si>
    <t>菜粕</t>
  </si>
  <si>
    <t>RM505-601合约：10</t>
  </si>
  <si>
    <r>
      <rPr>
        <sz val="12"/>
        <rFont val="微软雅黑"/>
        <charset val="134"/>
      </rPr>
      <t>ZC505</t>
    </r>
    <r>
      <rPr>
        <sz val="12"/>
        <color rgb="FFFF0000"/>
        <rFont val="微软雅黑"/>
        <charset val="134"/>
      </rPr>
      <t>-604</t>
    </r>
    <r>
      <rPr>
        <sz val="12"/>
        <rFont val="微软雅黑"/>
        <charset val="134"/>
      </rPr>
      <t xml:space="preserve">
（12个合约）</t>
    </r>
  </si>
  <si>
    <t>2024/5/9
2024/6/6
2024/7/4
2024/8/6
2024/9/5
2024/10/11
2024/11/6
2024/12/5
2025/1/7
2025/2/10
2025/3/6
2025/4/7</t>
  </si>
  <si>
    <r>
      <rPr>
        <sz val="20"/>
        <color indexed="8"/>
        <rFont val="宋体"/>
        <charset val="134"/>
      </rPr>
      <t>▷</t>
    </r>
    <r>
      <rPr>
        <sz val="20"/>
        <color indexed="8"/>
        <rFont val="微软雅黑"/>
        <charset val="134"/>
      </rPr>
      <t xml:space="preserve"> 注意：以下异常交易行为的认定标准均以</t>
    </r>
    <r>
      <rPr>
        <sz val="24"/>
        <color indexed="10"/>
        <rFont val="微软雅黑"/>
        <charset val="134"/>
      </rPr>
      <t>“单一合约”</t>
    </r>
    <r>
      <rPr>
        <sz val="20"/>
        <color indexed="8"/>
        <rFont val="微软雅黑"/>
        <charset val="134"/>
      </rPr>
      <t>为基本对象</t>
    </r>
  </si>
  <si>
    <t>异常交易类型/交易所</t>
  </si>
  <si>
    <t>上期所/上期能源</t>
  </si>
  <si>
    <t>大商所/广期所</t>
  </si>
  <si>
    <t>（一）自成交</t>
  </si>
  <si>
    <t>≥5次</t>
  </si>
  <si>
    <t>同一笔委托拆成多笔成交形成自成交，自成交次数计算方式：</t>
  </si>
  <si>
    <t>正常计算</t>
  </si>
  <si>
    <t>1次</t>
  </si>
  <si>
    <t>1次（大商所）</t>
  </si>
  <si>
    <t>正常计算（广期所）</t>
  </si>
  <si>
    <t>（二）频繁报撤单</t>
  </si>
  <si>
    <t>股指期货(IF IC IH IM)≥400次
国债期货(TS TF T TL)≥500次
股指期权(IO MO HO)≥500次</t>
  </si>
  <si>
    <t>≥500次</t>
  </si>
  <si>
    <t>（三）大额报撤单</t>
  </si>
  <si>
    <t>撤单次数≥100次，且单笔撤单量达到或超过交易所规定限价指令每次最大下单数量80%</t>
  </si>
  <si>
    <t>撤单次数≥50次，且单笔撤单量≥300手</t>
  </si>
  <si>
    <t>撤单次数≥50次，且单笔撤单量超过合约最大下单手数的80%</t>
  </si>
  <si>
    <t>撤单次数≥50次，且单笔撤单量≥800手</t>
  </si>
  <si>
    <t>监管措施
（自成交、频繁报撤单、大额报撤单）</t>
  </si>
  <si>
    <r>
      <rPr>
        <sz val="16"/>
        <color indexed="8"/>
        <rFont val="微软雅黑"/>
        <charset val="134"/>
      </rPr>
      <t>1. 股指期货：发生</t>
    </r>
    <r>
      <rPr>
        <sz val="16"/>
        <color indexed="8"/>
        <rFont val="微软雅黑"/>
        <charset val="134"/>
      </rPr>
      <t>1次对客户采取限制开仓不少于1个月的自律管理措施
2. 其他期货品种：     
第一次，对客户进行教育、引导、劝阻及制止
第二次，交易所将客户列入重点关注名单
第三次，对客户采取限制开仓不少于1个月的自律管理措施</t>
    </r>
  </si>
  <si>
    <t xml:space="preserve">  豁免情形</t>
  </si>
  <si>
    <r>
      <rPr>
        <b/>
        <sz val="16"/>
        <rFont val="微软雅黑"/>
        <charset val="134"/>
      </rPr>
      <t>除国债期货：</t>
    </r>
    <r>
      <rPr>
        <sz val="16"/>
        <rFont val="微软雅黑"/>
        <charset val="134"/>
      </rPr>
      <t>因（1）套期保值交易、（2）即时全部成交或撤销限价指令、（3）即时成交剩余撤销限价指令、（4）市价指令自动形成的</t>
    </r>
    <r>
      <rPr>
        <u/>
        <sz val="16"/>
        <rFont val="微软雅黑"/>
        <charset val="134"/>
      </rPr>
      <t>自成交、频繁报撤单、大额报撤单行为不构成异常交易行为</t>
    </r>
    <r>
      <rPr>
        <sz val="16"/>
        <rFont val="微软雅黑"/>
        <charset val="134"/>
      </rPr>
      <t xml:space="preserve">；
</t>
    </r>
    <r>
      <rPr>
        <b/>
        <sz val="16"/>
        <rFont val="微软雅黑"/>
        <charset val="134"/>
      </rPr>
      <t>国债期货</t>
    </r>
    <r>
      <rPr>
        <sz val="16"/>
        <rFont val="微软雅黑"/>
        <charset val="134"/>
      </rPr>
      <t>：因（1）套期保值交易、市价指令自动形成的</t>
    </r>
    <r>
      <rPr>
        <u/>
        <sz val="16"/>
        <rFont val="微软雅黑"/>
        <charset val="134"/>
      </rPr>
      <t>自成交、频繁报撤单、大额报撤单行为</t>
    </r>
    <r>
      <rPr>
        <sz val="16"/>
        <rFont val="微软雅黑"/>
        <charset val="134"/>
      </rPr>
      <t>；（2）因其他限价指令形成的</t>
    </r>
    <r>
      <rPr>
        <u/>
        <sz val="16"/>
        <rFont val="微软雅黑"/>
        <charset val="134"/>
      </rPr>
      <t>频繁报撤单行为</t>
    </r>
    <r>
      <rPr>
        <sz val="16"/>
        <rFont val="微软雅黑"/>
        <charset val="134"/>
      </rPr>
      <t>；（3）套利交易所产生的</t>
    </r>
    <r>
      <rPr>
        <u/>
        <sz val="16"/>
        <rFont val="微软雅黑"/>
        <charset val="134"/>
      </rPr>
      <t xml:space="preserve">频繁报撤单和大额报撤单行为, </t>
    </r>
    <r>
      <rPr>
        <sz val="16"/>
        <rFont val="微软雅黑"/>
        <charset val="134"/>
      </rPr>
      <t>不构成异常交易行为。</t>
    </r>
  </si>
  <si>
    <t xml:space="preserve">因（1）套期保值交易 产生的自成交、频繁报撤单、大额报撤单行为不构成异常交易行为。
</t>
  </si>
  <si>
    <t xml:space="preserve">因（1）套期保值交易（套期保值属性指令）、（2）市价指令、（3）止损（盈）指令、（4）套利指令 形成的自成交、频繁报撤单、大额报撤单行为不构成异常交易行为。
</t>
  </si>
  <si>
    <t xml:space="preserve">因（1）套期保值交易、（2）市价指令、（3）套利指令 产生的自成交、频繁报撤单、大额报撤单行为不构成异常交易行为。
</t>
  </si>
  <si>
    <t>实施申报费收费的合约上产生的频繁报撤单行为不构成异常交易行为（由附加FOK和FAK属性的限价指令产生的频繁报撤单除外）</t>
  </si>
  <si>
    <t>做市交易产生的频繁报撤单行为不构成异常交易行为</t>
  </si>
  <si>
    <t>（四）停板价位频繁报撤单</t>
  </si>
  <si>
    <t xml:space="preserve"> - </t>
  </si>
  <si>
    <t>≥100次</t>
  </si>
  <si>
    <t>监管措施
（停板价位频繁报撤单）</t>
  </si>
  <si>
    <r>
      <rPr>
        <sz val="16"/>
        <color indexed="8"/>
        <rFont val="微软雅黑"/>
        <charset val="134"/>
      </rPr>
      <t xml:space="preserve">1.一般情况下：同频繁报撤监管措施；
2.视为停板价位频繁报撤单情节严重的：
（即，当某个交易日某一合约出现涨（跌）停板后，客户当日在涨（跌）停板价位买（卖）单撤销定单次数100次以上且撤销定单手数合计10000手以上的）
</t>
    </r>
    <r>
      <rPr>
        <sz val="16"/>
        <color indexed="8"/>
        <rFont val="微软雅黑"/>
        <charset val="134"/>
      </rPr>
      <t>直接限制开仓</t>
    </r>
    <r>
      <rPr>
        <sz val="16"/>
        <color indexed="8"/>
        <rFont val="微软雅黑"/>
        <charset val="134"/>
      </rPr>
      <t>，限制开仓时间不少于1个月</t>
    </r>
  </si>
  <si>
    <t>（五）日内过度交易</t>
  </si>
  <si>
    <t>1.股指期货（IF/IC/IH/IM)：
单个交易日单个合约的开仓交易量不得超500手
2.股指期权(IO/MO/HO)：
品种日内开仓交易最大数量：200手
单个月份期权合约日内开仓交易最大数量：100手
深度虚值合约日内开仓交易最大数量：30手
PS：中金所有前端风控，可保障单账户不超过开仓限额，实控组无法保障。</t>
  </si>
  <si>
    <t>一、上期所
1.螺纹钢：各月份合约上单个交易日开仓量不得超过32000手
2.燃料油：各月份合约上单个交易日开仓量不得超过16000手
3.白银：各月份合约上单个交易日开仓量不得超过13000手
4.热轧卷板：各月份合约上单个交易日开仓量不得超过10000手
5.纸浆：各月份合约上单个交易日开仓量不得超过8000手
6.天然橡胶：各月份合约上单个交易日开仓量不得超过6000手
7.铝：各月份合约上单个交易日开仓量不得超过4000手
8.锌：各月份合约上单个交易日开仓量不得超过3000手
9.黄金：各月份合约上单个交易日开仓量不得超过2800手
10.铜：各月份合约上单个交易日开仓量不得超过2000手
二、能源中心
1.原油：各月份合约上单个交易日开仓量不得超过3200手
2.集运指数（欧线）期货：各月份合约上单个交易日开仓量不得超过100手
PS：上期所和能源中心有前端风控，可保障单账户不超过开仓限额，实控组无法保障。</t>
  </si>
  <si>
    <r>
      <rPr>
        <sz val="16"/>
        <rFont val="微软雅黑"/>
        <charset val="134"/>
      </rPr>
      <t>一、大商所
1.豆粕：各月份合约上单日开仓量不得超过20000手
2.聚氯乙烯：各月份合约上单日开仓量不得超过18000手
3.豆油：各月份合约上单日开仓量不得超过15000手
4.棕榈油/液化石油气/聚丙烯：各月份合约上单日开仓量不得超过10000手
5.玉米/聚乙烯：各月份合约上单日开仓量不得超过8000手
6.生猪：各月份合约上单日开仓量不得超过1000手
7.铁矿石：单日单合约开仓量不得超过2000手
8.焦煤：各月份合约上单日开仓量不得超过2000手
9.焦炭：各月份合约上单日开仓量不得超过50手
10.胶合板：2504合约单日开仓量不得超过1手
二、广期所
1.工业硅期货：单个交易日单个合约开仓量不得超过</t>
    </r>
    <r>
      <rPr>
        <sz val="16"/>
        <color rgb="FFFF0000"/>
        <rFont val="微软雅黑"/>
        <charset val="134"/>
      </rPr>
      <t>10000手</t>
    </r>
    <r>
      <rPr>
        <sz val="16"/>
        <rFont val="微软雅黑"/>
        <charset val="134"/>
      </rPr>
      <t xml:space="preserve">
2.碳酸锂期货：单个交易日单个合约开仓量不得超过10000手
PS：大商所和广期所均有前端风控，可保障单账户和实控组账户不超过开仓限额。</t>
    </r>
  </si>
  <si>
    <t>1.PTA：单个交易日单个合约开仓量不得超过30000手
2.甲醇/玻璃：单个交易日单个合约开仓量不得超过25000手
3.菜粕：单个交易日单个合约开仓量不得超过15000手
4.菜油/白糖/棉花/纯碱/锰硅：各月份合约上单日开仓交易的最大数量为10000手
5.动力煤（当前上市所有合约）：单个交易日单个合约开仓量不得超过20手
PS：郑商所有前端风控，可保障单账户不超过开仓限额，实控组无法保障。</t>
  </si>
  <si>
    <t xml:space="preserve">
监管措施
（日内过度交易）</t>
  </si>
  <si>
    <t>第一次，限制开仓5个交易日的措施；
第二次，限制开仓10个交易日的措施；
第三次及以上，限制开仓1个月的措施；
情节严重的，按《中国金融期货交易所风险控制管理办法》《中国金融期货交易所违规违约处理办法》的有关规定处理。</t>
  </si>
  <si>
    <t>第一次，限制开仓不少于5个交易日的措施；
第二次，限制开仓不少于1个月的措施；
第三次及以上，限制开仓不少于2个月的措施；
情节严重的，按《上海期货交易所违规处理办法》的有关规定处理。</t>
  </si>
  <si>
    <t xml:space="preserve"> -</t>
  </si>
  <si>
    <t>对于超过交易限额的非期货公司会员或者客户，交易所要求客户报告相关情况并采取暂停客户开仓不低于5个交易日的监管措施。累计2个交易日超过交易限额的，交易所将采取暂停客户开仓不低于1个月的监管措施。
情节严重的，按照《郑州商品交易所违规处理办法》有关规定处理。</t>
  </si>
  <si>
    <t>（六）实际控制关系账户组合并持仓超限</t>
  </si>
  <si>
    <t>交易所对已认定的实际控制关系账户组视作同一客户，实际控制关系账户组中的客户持仓合并计算，合并计算后的持仓不得超过交易所规定的持仓限额。</t>
  </si>
  <si>
    <t>-</t>
  </si>
  <si>
    <t>监管措施
 （实控账户组合并持仓超限）</t>
  </si>
  <si>
    <t>第一次：交易所将该组实际控制关系账户列入重点关注名单。第二次：交易所对该组实际控制关系账户采取限制开仓不少于10个交易日的自律管理措施。第三次：交易所对该组实际控制关系账户采取限制开仓不少于6个月的自律管理措施。
客户应当在交易所规定的时限内自行平仓。逾期未处理完毕的，由交易所执行强行平仓，并对客户采取限制开仓不少于1个月的自律管理措施。</t>
  </si>
  <si>
    <t>限制开仓方式</t>
  </si>
  <si>
    <r>
      <rPr>
        <sz val="16"/>
        <color indexed="8"/>
        <rFont val="微软雅黑"/>
        <charset val="134"/>
      </rPr>
      <t>各类异常交易行为次数分开统计；
限制开仓</t>
    </r>
    <r>
      <rPr>
        <sz val="16"/>
        <color indexed="8"/>
        <rFont val="微软雅黑"/>
        <charset val="134"/>
      </rPr>
      <t>品种</t>
    </r>
  </si>
  <si>
    <t>各类异常交易行为次数分开统计；
所有品种违规次数合并计算，对第三次违规合约的品种进行限制开仓</t>
  </si>
  <si>
    <r>
      <rPr>
        <sz val="16"/>
        <color indexed="8"/>
        <rFont val="微软雅黑"/>
        <charset val="134"/>
      </rPr>
      <t>各类异常交易行为次数分开统计；
所有品种违规次数合并计算，对第三次违规的</t>
    </r>
    <r>
      <rPr>
        <sz val="16"/>
        <color indexed="8"/>
        <rFont val="微软雅黑"/>
        <charset val="134"/>
      </rPr>
      <t>合约</t>
    </r>
    <r>
      <rPr>
        <sz val="16"/>
        <color indexed="8"/>
        <rFont val="微软雅黑"/>
        <charset val="134"/>
      </rPr>
      <t>进行限制开仓</t>
    </r>
  </si>
  <si>
    <r>
      <rPr>
        <sz val="16"/>
        <rFont val="微软雅黑"/>
        <charset val="134"/>
      </rPr>
      <t>各类异常交易行为次数分开统计；
所有品种违规次数合并计算，日内过度交易类异常交易对违规品种进行限制开仓，其余类型的异常交易行为对违规的</t>
    </r>
    <r>
      <rPr>
        <sz val="16"/>
        <rFont val="微软雅黑"/>
        <charset val="134"/>
      </rPr>
      <t>合约</t>
    </r>
    <r>
      <rPr>
        <sz val="16"/>
        <rFont val="微软雅黑"/>
        <charset val="134"/>
      </rPr>
      <t>进行限制开仓</t>
    </r>
  </si>
  <si>
    <t>《…异常交易管理办法》部分内容</t>
  </si>
  <si>
    <t xml:space="preserve">…单个交易日在单品种多个合约上因自成交、频繁报撤单、大额报撤单达到交易所处理标准的，按照一次认定。 </t>
  </si>
  <si>
    <r>
      <rPr>
        <sz val="16"/>
        <color indexed="8"/>
        <rFont val="微软雅黑"/>
        <charset val="134"/>
      </rPr>
      <t>…</t>
    </r>
    <r>
      <rPr>
        <sz val="16"/>
        <color indexed="63"/>
        <rFont val="微软雅黑"/>
        <charset val="134"/>
      </rPr>
      <t>单个交易</t>
    </r>
    <r>
      <rPr>
        <sz val="16"/>
        <color indexed="63"/>
        <rFont val="微软雅黑"/>
        <charset val="134"/>
      </rPr>
      <t>日在</t>
    </r>
    <r>
      <rPr>
        <sz val="16"/>
        <color indexed="63"/>
        <rFont val="微软雅黑"/>
        <charset val="134"/>
      </rPr>
      <t>两个及以上期货合约或者两个及以上期权合约</t>
    </r>
    <r>
      <rPr>
        <sz val="16"/>
        <color indexed="63"/>
        <rFont val="微软雅黑"/>
        <charset val="134"/>
      </rPr>
      <t>因自成交、频繁报撤单、大额报撤单达到交易所异常交易行为处理标准的，</t>
    </r>
    <r>
      <rPr>
        <sz val="16"/>
        <color indexed="63"/>
        <rFont val="微软雅黑"/>
        <charset val="134"/>
      </rPr>
      <t>同一种异常交易行为</t>
    </r>
    <r>
      <rPr>
        <sz val="16"/>
        <color indexed="63"/>
        <rFont val="微软雅黑"/>
        <charset val="134"/>
      </rPr>
      <t>按照发生一次异常交易行为认定。</t>
    </r>
  </si>
  <si>
    <r>
      <rPr>
        <sz val="16"/>
        <color indexed="8"/>
        <rFont val="微软雅黑"/>
        <charset val="134"/>
      </rPr>
      <t>…</t>
    </r>
    <r>
      <rPr>
        <sz val="16"/>
        <color indexed="63"/>
        <rFont val="微软雅黑"/>
        <charset val="134"/>
      </rPr>
      <t>单个交易日</t>
    </r>
    <r>
      <rPr>
        <sz val="16"/>
        <color indexed="63"/>
        <rFont val="微软雅黑"/>
        <charset val="134"/>
      </rPr>
      <t>在</t>
    </r>
    <r>
      <rPr>
        <sz val="16"/>
        <color indexed="63"/>
        <rFont val="微软雅黑"/>
        <charset val="134"/>
      </rPr>
      <t>多个期货合约或者多个期权合约</t>
    </r>
    <r>
      <rPr>
        <sz val="16"/>
        <color indexed="63"/>
        <rFont val="微软雅黑"/>
        <charset val="134"/>
      </rPr>
      <t>上自成交、频繁报撤单或大额报撤单行为达到交易所处理标准的，分别认定为出现一次自成交、频繁报撤单、大额报撤单行为达到交易所处理标准。</t>
    </r>
  </si>
  <si>
    <r>
      <rPr>
        <sz val="16"/>
        <color indexed="8"/>
        <rFont val="微软雅黑"/>
        <charset val="134"/>
      </rPr>
      <t>…</t>
    </r>
    <r>
      <rPr>
        <sz val="16"/>
        <color indexed="63"/>
        <rFont val="微软雅黑"/>
        <charset val="134"/>
      </rPr>
      <t>单个交易日</t>
    </r>
    <r>
      <rPr>
        <sz val="16"/>
        <color indexed="63"/>
        <rFont val="微软雅黑"/>
        <charset val="134"/>
      </rPr>
      <t>在</t>
    </r>
    <r>
      <rPr>
        <sz val="16"/>
        <color indexed="63"/>
        <rFont val="微软雅黑"/>
        <charset val="134"/>
      </rPr>
      <t>两个以上合约</t>
    </r>
    <r>
      <rPr>
        <sz val="16"/>
        <color indexed="63"/>
        <rFont val="微软雅黑"/>
        <charset val="134"/>
      </rPr>
      <t>因自成交、频繁报撤单、大额报撤单或者实际控制关系账户合并持仓超限达到异常交易行为处理标准的，</t>
    </r>
    <r>
      <rPr>
        <sz val="16"/>
        <color indexed="63"/>
        <rFont val="微软雅黑"/>
        <charset val="134"/>
      </rPr>
      <t>同一种异常交易行为</t>
    </r>
    <r>
      <rPr>
        <sz val="16"/>
        <color indexed="63"/>
        <rFont val="微软雅黑"/>
        <charset val="134"/>
      </rPr>
      <t>按照发生一次认定。</t>
    </r>
  </si>
  <si>
    <t>上海期货交易所交割规则</t>
  </si>
  <si>
    <t>交易单位</t>
  </si>
  <si>
    <t>交割单位</t>
  </si>
  <si>
    <t>税率</t>
  </si>
  <si>
    <t>交割月份
（投机限仓：手）</t>
  </si>
  <si>
    <t>标准仓单类型
（仓库、厂库、车船板）</t>
  </si>
  <si>
    <t>标准仓单注册条件及有效期</t>
  </si>
  <si>
    <t>交割日期</t>
  </si>
  <si>
    <t>集中交割结算价</t>
  </si>
  <si>
    <t>仓储费</t>
  </si>
  <si>
    <t>特殊点</t>
  </si>
  <si>
    <t>完税</t>
  </si>
  <si>
    <t>保税</t>
  </si>
  <si>
    <t>5吨/手</t>
  </si>
  <si>
    <t>5手（25吨）</t>
  </si>
  <si>
    <t>13%/
保税免税</t>
  </si>
  <si>
    <t>1-12月份</t>
  </si>
  <si>
    <t>仓库</t>
  </si>
  <si>
    <t>期转现、集中</t>
  </si>
  <si>
    <t>合约月份的15日</t>
  </si>
  <si>
    <t>最后交易日后连续二个交易日</t>
  </si>
  <si>
    <t>最后交易日当日结算价</t>
  </si>
  <si>
    <t>货场：0.30元/吨*天</t>
  </si>
  <si>
    <t>库房：0.50元/吨*天      
货场：0.40元/吨*天</t>
  </si>
  <si>
    <t>货场：0.40元/吨*天</t>
  </si>
  <si>
    <t>库房：0.60元/吨*天
货场 ：0.50元/吨*天</t>
  </si>
  <si>
    <t>库房：0.70元/吨*天</t>
  </si>
  <si>
    <t xml:space="preserve">对于有表面批白锈的铅锭，按质量贴水每吨50元制作仓单。
</t>
  </si>
  <si>
    <t>1吨/手</t>
  </si>
  <si>
    <t>6手（6吨）</t>
  </si>
  <si>
    <t>库房：1.25元/吨*天</t>
  </si>
  <si>
    <t>2手（2吨）</t>
  </si>
  <si>
    <t>库房：1.50元/吨*天</t>
  </si>
  <si>
    <t>1000克/手</t>
  </si>
  <si>
    <t>3手（3000克）</t>
  </si>
  <si>
    <t>交割免税/
出库13%</t>
  </si>
  <si>
    <t>最近3个连续月份的合约以及最近13个月以内的双月合约</t>
  </si>
  <si>
    <t>最后交易日后第一个交易日</t>
  </si>
  <si>
    <t>该合约最后5个有成交交易日的成交价格按照成交量的加权平均价</t>
  </si>
  <si>
    <t>1.8元/千克*天</t>
  </si>
  <si>
    <t>1、一日交割法；
2、仓储费由期货公司代扣代缴；
3、黄金仓单作为保证金充抵授权时，截至当日的仓租需付清才可进行。</t>
  </si>
  <si>
    <t>15千克/手</t>
  </si>
  <si>
    <t>2手（30千克）</t>
  </si>
  <si>
    <t>0.016元/千克*天</t>
  </si>
  <si>
    <t>10吨/手</t>
  </si>
  <si>
    <t>30手（300吨）</t>
  </si>
  <si>
    <t>仓库、厂库</t>
  </si>
  <si>
    <t>仓库仓单：应在生产日起的45天内入指定交割仓库方可制作仓单，每批商品的有效期限为生产日起的90天内；
厂库仓单：组成每一厂库标准仓单的螺纹钢生产日期应当不超过连续十日，有效期为厂库标准仓单生成之日起六个月。</t>
  </si>
  <si>
    <t>货场：0.15元/吨*天</t>
  </si>
  <si>
    <t>①卖出交割时交割商品公称直径分布应当符合下列要求：http://www.shfe.com.cn/products/rb/regulation/911319549.html
②自rb2208合约起施行：http://www.shfe.com.cn/news/notice/911340046.html
1、标准品为HRB400E，删除HRB400；
2、“过磅”交割改“理算”交割；
3、原生产之日起30天制作仓单改为“45”天。</t>
  </si>
  <si>
    <t>应在生产日起的30天内入指定交割仓库方可制作仓单，每批商品的有效期限为生产日起的90天内。</t>
  </si>
  <si>
    <t>以其中最早的生产日期作为该仓单的生产日期，有效期限为生产日起的360天内。</t>
  </si>
  <si>
    <t>①卖出交割时交割商品厚度分布应当符合下列要求：http://www.shfe.com.cn/products/hc/regulation/911319785.html
②自hc2208合约起施行：http://www.shfe.com.cn/news/notice/911340046.html
1、替代品删除“4.25、5.25、5.6、5.7、5.8”等非常规规格；
2、可交割卷重范围从14-31吨/卷调整为23-31吨/卷，避免了小卷交割的问题，现货市场上，大卷比小卷的流动性更强；
3、交割商品厚度规定放宽。</t>
  </si>
  <si>
    <t>12手（60吨）</t>
  </si>
  <si>
    <t>仓库标准仓单有效期限为该批次产品最早生产日起的360天内。
厂库标准仓单的有效期为厂库标准仓单生成之日起的315天内。</t>
  </si>
  <si>
    <t>最后5个有成交交易日的结算价的算术平均值。</t>
  </si>
  <si>
    <t>0.8元/吨*天</t>
  </si>
  <si>
    <t>卖出交割时交割商品的宽度和厚度分布应当符合下列要求：http://www.shfe.com.cn/products/ss/regulation/911334917.html</t>
  </si>
  <si>
    <t>1手（10吨）</t>
  </si>
  <si>
    <t>9%/进口13%</t>
  </si>
  <si>
    <t>1／3／4／5／6／7／8／9／10／11</t>
  </si>
  <si>
    <t>（一）国产天然橡胶（SCR WF）在库交割的有效期限为生产年份的第二年的最后一个交割月份，超过期限的转作现货。当年生产的国产天然橡胶如要用于实物交割，最迟应当在第二年的六月份以前（不含六月）入库完毕，超过期限不得用于交割。 
（二）进口3号烟胶片在库交割的有效期限为进口货物报关单申报日期起十八个月，超过期限的转作现货。用于实物交割的3号烟胶片应当在进口货物报关单申报日期起六个月内进库，否则不得用于交割。  
（三）在库天然橡胶的质检证（或检测/鉴定报告）自签发之日起90天内有效。期满后，其相应的商品应当重新检验合格后方可用于下次交割。 （超过90天，重新检验后可以再注册成仓单进行交割）</t>
  </si>
  <si>
    <t>最后5个有成交交易日的成交价格按照成交量的加权平均价</t>
  </si>
  <si>
    <t>1.3元/吨•天</t>
  </si>
  <si>
    <t>24个月以内，其中最近1－6个月为连续月份合约，6个月以后为季月合约</t>
  </si>
  <si>
    <t>仓库标准仓单有效期：无
厂库标准仓单的有效期：每年9月15日（遇法定假日顺延）之前生成的应在10月的最后一个工作日（含该日）之前全部注销。</t>
  </si>
  <si>
    <t>最后5个有成交交易日的结算价的算术平均价。</t>
  </si>
  <si>
    <t>仓库：1.5元/吨•天
厂库：1.2元/吨•天</t>
  </si>
  <si>
    <t>①厂库仓单提货：货主应在拟提货月前一月的25日之前（遇法定假日提前）通过标准仓单管理系统向厂库提交提货申请。
②入库申报押金：30元/吨，由期货公司代扣代缴</t>
  </si>
  <si>
    <t>2手（20吨）</t>
  </si>
  <si>
    <t>仓库仓单：（一）用于实物交割的国产漂针浆有效期限为生产年份的第二年的最后一个交割月份，超过期限的转作现货并注销。
（二）用于实物交割的进口漂针浆应当在到港日起六个月内入库，有效期限为到港日的第二年的最后一个交割月份，超过期限的转作现货并注销。
厂库仓单：仓单有效期为厂库标准仓单生成之日起一年零六个月。</t>
  </si>
  <si>
    <t>仓库：0.8元/吨•天
厂库：0.7元/吨•天</t>
  </si>
  <si>
    <t>20吨/手</t>
  </si>
  <si>
    <t>15手（300吨）</t>
  </si>
  <si>
    <t>仓库仓单：应在生产日起的60天内入指定交割仓库方可制作仓单，仓单有效期为该批次产品最早生产日期起180天以内；
厂库仓单：组成每一厂库标准仓单的氧化铝生产日期应当不超过连续15日，仓单有效期为厂库标准仓单生成之日起180天内，对应出库商品的生产日期不得早于提货日之前的第180天。</t>
  </si>
  <si>
    <t>最后5个有成交交易日的结算价的算术平均值</t>
  </si>
  <si>
    <t>仓库：
0.4元/吨•天（室内库房）、
0.3元/吨•天（室外库房）
厂库：0.25元/吨•天</t>
  </si>
  <si>
    <t>厂库仓单提货：货主应在拟提货日倒数第五个工作日前通过标准仓单管理系统向厂库提交提货申请。</t>
  </si>
  <si>
    <t>2手（10吨）</t>
  </si>
  <si>
    <t>仓库仓单：仓单有效期为生产年份的第二年的6月30日，最迟应当在生产日期起六个月内入库完毕。
厂库仓单：仓单有效期为厂库标准仓单生成年份的第二年的6月30日。</t>
  </si>
  <si>
    <t>仓库：1.4元/吨/天
厂库：1.3元/吨/天</t>
  </si>
  <si>
    <t>厂库仓单提货：货主应在拟提货月前一月的20日之前通过标准仓单管理系统向厂库提交提货申请。</t>
  </si>
  <si>
    <r>
      <rPr>
        <b/>
        <sz val="12"/>
        <color indexed="9"/>
        <rFont val="微软雅黑"/>
        <charset val="134"/>
      </rPr>
      <t>交割月份前第一月</t>
    </r>
    <r>
      <rPr>
        <sz val="11"/>
        <color indexed="9"/>
        <rFont val="微软雅黑"/>
        <charset val="134"/>
      </rPr>
      <t xml:space="preserve">
（投机限仓：手）</t>
    </r>
  </si>
  <si>
    <t>标准仓单有效期</t>
  </si>
  <si>
    <t>保税免税</t>
  </si>
  <si>
    <t>标准仓单生效年份的第二年的最后一个交割月份，超过期限的转作现货。</t>
  </si>
  <si>
    <t>合约月份前1月份的最后1个交易日</t>
  </si>
  <si>
    <t>1.4元/吨•天</t>
  </si>
  <si>
    <t>最小出入库量：1000吨
入库申报押金：30元/吨，由期货公司代扣代缴</t>
  </si>
  <si>
    <t>注：最后交易日（遇国家法定节假日、休息日顺延）</t>
  </si>
  <si>
    <t>上海国际能源交易中心交割规则</t>
  </si>
  <si>
    <t>1手（1000桶）</t>
  </si>
  <si>
    <t>最近1－12个月为连续月份以及随后八个季月</t>
  </si>
  <si>
    <t>最后交易日后连续五个交易日</t>
  </si>
  <si>
    <t>0.2元桶*天</t>
  </si>
  <si>
    <t>最小出入库量：20万桶
（出库不足20万桶的，可以通过现货等方式凑足）
入库申报押金：1.5元/桶，由期货公司代扣代缴</t>
  </si>
  <si>
    <t>最小入库量：5000吨
最小出库量：1000吨
入库申报押金：30元/吨，由期货公司代扣代缴</t>
  </si>
  <si>
    <t>1手（10吨）
10手（100吨）</t>
  </si>
  <si>
    <t>交割月份的15日</t>
  </si>
  <si>
    <t>1.5元/吨•天</t>
  </si>
  <si>
    <t>自2023年5月第一个交易日起，会员、境外特殊参与者、客户在20号胶期货交割月合约的持仓应当是10手的整数倍，新开仓、平仓也应当是10手的整数倍；非整数倍持仓将由能源中心强行平仓。2023年4月28日收盘后至2023年5月第一个交易日开盘前，客户所持有的20号胶标准仓单将由能源中心按照一个垛位100吨进行合并归整；无法合并归整的零散仓单将被注销成现货</t>
  </si>
  <si>
    <t>阴极铜</t>
  </si>
  <si>
    <t>库房：0.50元/吨*天                   
货场：0.40元/吨*天</t>
  </si>
  <si>
    <t>国产品牌提供质量证明书，商标名称一致可免检</t>
  </si>
  <si>
    <t>上海出口集装箱结算运价指数（欧洲航线）</t>
  </si>
  <si>
    <t>1手</t>
  </si>
  <si>
    <t xml:space="preserve"> 
2、4、6、8、10、12月</t>
  </si>
  <si>
    <t>合约挂盘至最后交易日前第八个交易日：1200
最后交易日前第七个交易日至最后交易日前第三个交易日：360
最后交易日前第二个交易日至最后交易日:120</t>
  </si>
  <si>
    <t>现金交割</t>
  </si>
  <si>
    <t>合约交割月份最后一个开展期货交易的周一（上海国际能源交易中心可以根据国家法定节假日等调整最后交易日）</t>
  </si>
  <si>
    <t>上海航运交易所在集运指数（欧线）期货合约最后交易日发布的及最后交易日前第一、第二个指数发布日发布的三个上海出口集装箱结算运价指数（欧洲航线）的算术平均值。</t>
  </si>
  <si>
    <t>注：1、最后交易日（遇国家法定节假日、休息日顺延）；2、能源中心所有品种仓转有限制，仓转价格可2%浮动；可美元交易交割。如有交易所规则变动请以交易所为准</t>
  </si>
  <si>
    <t>大连商品交易所交割规则</t>
  </si>
  <si>
    <r>
      <rPr>
        <b/>
        <sz val="12"/>
        <color indexed="9"/>
        <rFont val="微软雅黑"/>
        <charset val="134"/>
      </rPr>
      <t xml:space="preserve">交割月份
</t>
    </r>
    <r>
      <rPr>
        <sz val="11"/>
        <color indexed="9"/>
        <rFont val="微软雅黑"/>
        <charset val="134"/>
      </rPr>
      <t>（投机限仓：手）</t>
    </r>
  </si>
  <si>
    <r>
      <rPr>
        <b/>
        <sz val="12"/>
        <color indexed="9"/>
        <rFont val="微软雅黑"/>
        <charset val="134"/>
      </rPr>
      <t xml:space="preserve">标准仓单类型
</t>
    </r>
    <r>
      <rPr>
        <sz val="11"/>
        <color indexed="9"/>
        <rFont val="微软雅黑"/>
        <charset val="134"/>
      </rPr>
      <t>（仓库、厂库、车船板）</t>
    </r>
  </si>
  <si>
    <t>最后交割日</t>
  </si>
  <si>
    <t>一次性交割结算价</t>
  </si>
  <si>
    <t>1／3／5／7／9／11</t>
  </si>
  <si>
    <t>每年的3月份最后1个交易日之前应当进行标准仓单注销</t>
  </si>
  <si>
    <t>期转现、滚动、一次性</t>
  </si>
  <si>
    <t>合约月份第10个交易日</t>
  </si>
  <si>
    <t>最后交易日后第3个交易日</t>
  </si>
  <si>
    <t>自交割月第一个交易日起至最后交易日所有成交价格的加权平均价</t>
  </si>
  <si>
    <t>5月1日-10月31日 0.6元/吨天               11月1日-4月30日0.5元/吨天</t>
  </si>
  <si>
    <t>每年的3、7、11月份最后1个交易日之前应当进行标准仓单注销</t>
  </si>
  <si>
    <t>0.8元/吨•天</t>
  </si>
  <si>
    <t>5月1日-10月31日 0.5元/吨天 
11月1日-4月30日0.4元/吨天</t>
  </si>
  <si>
    <t>提交合法有效的能够接收或者开具增值税发票的资质证明</t>
  </si>
  <si>
    <t xml:space="preserve">100手（1000吨） </t>
  </si>
  <si>
    <t>1500
（b2412及之后合约）1000</t>
  </si>
  <si>
    <t>每个交割月份最后交割日后3个交易日内应当进行标准仓单注销</t>
  </si>
  <si>
    <t>期转现、滚动（只能厂库仓单）、一次性</t>
  </si>
  <si>
    <t>1元/吨天</t>
  </si>
  <si>
    <t>1／3／5／7／8／9／11／12</t>
  </si>
  <si>
    <t>0.5元/吨天</t>
  </si>
  <si>
    <t>0.9元/吨天</t>
  </si>
  <si>
    <t>期转现、一次性</t>
  </si>
  <si>
    <t xml:space="preserve">1-12月份 </t>
  </si>
  <si>
    <t>每个交割月份最后交割日前（含当日）应当进行标准仓单注销</t>
  </si>
  <si>
    <t>1手（5吨）</t>
  </si>
  <si>
    <t>1000
（l2412及之后合约）2500</t>
  </si>
  <si>
    <t>每年的3月份最后1个交易日之前（含当日）应当进行标准仓单注销</t>
  </si>
  <si>
    <t>交割月最后十个交易日所有成交价格的加权平均价；若交割月不足十个交易日，交割结算价采用该期货合约自交割月第一个交易日起至最后交易日所有成交价格的加权平均价。</t>
  </si>
  <si>
    <t>1.5元/吨天</t>
  </si>
  <si>
    <t>1.6元/吨天</t>
  </si>
  <si>
    <t>具备苯乙烯生产、经营或使用资质：
安全生产许可证、港口经营许可证、危险品经营许可证均可。</t>
  </si>
  <si>
    <t>1手（20吨）</t>
  </si>
  <si>
    <t>厂库</t>
  </si>
  <si>
    <t>每年的3、9月份最后1个交易日之前（含当日）应当进行标准仓单注销。</t>
  </si>
  <si>
    <t>具备液化石油气生产、经营或使用资质：
安全生产许可证、港口经营许可证、危险品经营许可证、燃气经营许可证均可。</t>
  </si>
  <si>
    <t>100吨/手</t>
  </si>
  <si>
    <r>
      <rPr>
        <sz val="12"/>
        <color rgb="FF000000"/>
        <rFont val="Arial"/>
        <family val="2"/>
      </rPr>
      <t xml:space="preserve">10手（1000吨）
</t>
    </r>
    <r>
      <rPr>
        <sz val="12"/>
        <color rgb="FFC00000"/>
        <rFont val="Arial"/>
        <family val="2"/>
      </rPr>
      <t>J2604起为1手（100吨）</t>
    </r>
  </si>
  <si>
    <t>60吨/手</t>
  </si>
  <si>
    <r>
      <rPr>
        <sz val="12"/>
        <color rgb="FF000000"/>
        <rFont val="Arial"/>
        <family val="2"/>
      </rPr>
      <t xml:space="preserve">100手（6000吨）
</t>
    </r>
    <r>
      <rPr>
        <sz val="12"/>
        <color rgb="FFC00000"/>
        <rFont val="Arial"/>
        <family val="2"/>
      </rPr>
      <t>JM2604起为1手（60吨）</t>
    </r>
  </si>
  <si>
    <r>
      <rPr>
        <sz val="12"/>
        <color rgb="FF000000"/>
        <rFont val="Arial"/>
        <family val="2"/>
      </rPr>
      <t xml:space="preserve">100手
（1万吨）
</t>
    </r>
    <r>
      <rPr>
        <sz val="12"/>
        <color rgb="FFC00000"/>
        <rFont val="Arial"/>
        <family val="2"/>
      </rPr>
      <t>I2604起为50手（5000吨）</t>
    </r>
  </si>
  <si>
    <t>每年的3、9月份最后1个交易日之前应当进行标准仓单注销</t>
  </si>
  <si>
    <t>期转现、滚动、提货单、一次性</t>
  </si>
  <si>
    <t>0.3元/吨天</t>
  </si>
  <si>
    <t>10立方米/手</t>
  </si>
  <si>
    <t>1手
（10立方米）</t>
  </si>
  <si>
    <t>1元/立方米天</t>
  </si>
  <si>
    <t>500张/手</t>
  </si>
  <si>
    <t>1手（500张）</t>
  </si>
  <si>
    <t>0.035元/张天</t>
  </si>
  <si>
    <t>9%/免税</t>
  </si>
  <si>
    <t>仓库、厂库、车船板</t>
  </si>
  <si>
    <t>最早申请注册日为交割月的首个交易日。
最后交易日前一交易日闭市前注册，参与全月选择交割：T-1日闭市前注册，有效期至T日；
最后交易日前一交易日闭市后注册，参与一次性交割：在最后交易日前一交易日闭市后注册；
进入交割流程后，仓单有效期至交收日。</t>
  </si>
  <si>
    <t>期转现（只能非标准仓单）、每日选择（车板、仓单均可）、一次性（只能标准仓单）</t>
  </si>
  <si>
    <t>6元/吨天</t>
  </si>
  <si>
    <t>16吨/手</t>
  </si>
  <si>
    <t>1手（16吨）</t>
  </si>
  <si>
    <t>免税</t>
  </si>
  <si>
    <t>非7月：10
7月：5</t>
  </si>
  <si>
    <t>厂库、车船板</t>
  </si>
  <si>
    <t>未参与交割配对的，在每个交割月份最后交割日前（含当日）应当进行标准仓单注销。
进入交割流程后，仓单有效期至交收日。</t>
  </si>
  <si>
    <t>5元/吨天</t>
  </si>
  <si>
    <t>90立方米/手</t>
  </si>
  <si>
    <t>1手（90立方米）</t>
  </si>
  <si>
    <t>未参与交割配对的，相应标准仓单在每年的3、7、11月份最后交割日前（含当日）应当进行标准仓单注销。
进入交割流程后，仓单有效期至交收日。</t>
  </si>
  <si>
    <t>每日选择（车板、仓单均可）、
一次性（只能标准仓单）</t>
  </si>
  <si>
    <t>0.6元/立方米·天</t>
  </si>
  <si>
    <t>郑州商品交易所交割规则</t>
  </si>
  <si>
    <t>每年5月、11月第15个交易日（含该日）之前注册的标准仓单，应当在当月的第15个交易日（含该日）之前全部注销</t>
  </si>
  <si>
    <t>期转现、滚动、集中</t>
  </si>
  <si>
    <t>交割月份的第10个交易日</t>
  </si>
  <si>
    <t>合约交割月份的第13个交易日</t>
  </si>
  <si>
    <t>配对日前10个交易日（含配对日）交易结算价的算术平均价</t>
  </si>
  <si>
    <t>2元/吨·天</t>
  </si>
  <si>
    <t>有《危险化学品经营许可证》</t>
  </si>
  <si>
    <t>精对苯二甲酸</t>
  </si>
  <si>
    <t>每年9月第15个交易日（含该日）之前注册PTA标准仓单，在该月第15个交易日（含该日）之前全部注销</t>
  </si>
  <si>
    <t>0.5元/吨·天</t>
  </si>
  <si>
    <t>每年1月、3月、5月、7月、9月、11月第15个交易日（含该日）之前注册的标准仓单，应在当月的第15个交易日（含该日）之前全部注销。</t>
  </si>
  <si>
    <t>0.25元/吨·天</t>
  </si>
  <si>
    <t>200手（2万吨）</t>
  </si>
  <si>
    <t>厂库、车（船）板</t>
  </si>
  <si>
    <t>每年5月、11月第10个交易日（含该日）之前注册的标准仓单，应当在当月的第10个交易日（含该日）之前全部注销</t>
  </si>
  <si>
    <t>交割月份的第5个交易日</t>
  </si>
  <si>
    <t>车（船）板：合约交割月份的最后1个日历日
仓单交割：合约交割月份的第8个交易日</t>
  </si>
  <si>
    <t>0.05元/吨·天</t>
  </si>
  <si>
    <t>每年2月、6月、10月第15个交易日（含该日）之前注册的厂库和仓库标准仓单，应当在第15个交易日（含该日）之前全部注销</t>
  </si>
  <si>
    <t>0.45元/吨·天</t>
  </si>
  <si>
    <t>每年10月第15个交易日（含该日）之前注册的厂库和仓库标准仓单，应在当月的第15个交易日（含该日）之前全部注销</t>
  </si>
  <si>
    <r>
      <rPr>
        <sz val="12"/>
        <color indexed="8"/>
        <rFont val="微软雅黑"/>
        <charset val="134"/>
      </rPr>
      <t xml:space="preserve">
1元/吨</t>
    </r>
  </si>
  <si>
    <t>1／3／5／7／9／11月</t>
  </si>
  <si>
    <t>N制糖年度（每年的10月1日至次年的9月30日）生产的白糖所注册的标准仓单有效期为该制糖年度结束后当年11月份的最后一个工作日（含该日）</t>
  </si>
  <si>
    <t>0.50元/吨·天</t>
  </si>
  <si>
    <t>8手（40吨）</t>
  </si>
  <si>
    <t>5 元/吨</t>
  </si>
  <si>
    <t>N年生产的棉花注册的标准仓单，有效期至N+1年11月的第15个交易日（含该日）</t>
  </si>
  <si>
    <t>新疆地区：0.6元/吨·天
非新疆地区：0.8元/吨·天</t>
  </si>
  <si>
    <t>4手（20吨）</t>
  </si>
  <si>
    <r>
      <rPr>
        <sz val="12"/>
        <color theme="1"/>
        <rFont val="微软雅黑"/>
        <charset val="134"/>
      </rPr>
      <t xml:space="preserve">每年2月、4月、6月、8月、10月、12月第15个交易日（含该日）之前注册的厂库和仓库标准仓单，应在当月的第15个交易日（含该日）之前全部注销
</t>
    </r>
    <r>
      <rPr>
        <sz val="12"/>
        <rFont val="微软雅黑"/>
        <charset val="134"/>
      </rPr>
      <t>每年1月、5月、9月第15个交易日之前（含该日）注册的棉纱期货标准仓单，应当在当年1月、5月、9月第15个交易日之前（含该日）全部注销。（2503合约开始）</t>
    </r>
  </si>
  <si>
    <t>2.5元/吨/天</t>
  </si>
  <si>
    <t>N年6月1日起注册的菜油标准仓单有效期至N+1年5月份最后一个工作日（含该日）</t>
  </si>
  <si>
    <t>0.9元/吨·天</t>
  </si>
  <si>
    <t>菜籽</t>
  </si>
  <si>
    <t>7／8／9／11月</t>
  </si>
  <si>
    <t>仓库、车（船）板</t>
  </si>
  <si>
    <t>N年6月1日起接受菜籽标准仓单注册，仓单有效期至N年11月份最后一个工作日（含该日）</t>
  </si>
  <si>
    <t>车（船）板：合约交割月份的次月20日
仓单：合约交割月份的第13个交易日</t>
  </si>
  <si>
    <t>9%\0%</t>
  </si>
  <si>
    <t>1／3／5／7／8／9／11月</t>
  </si>
  <si>
    <t>每年3月、7月、11月第15个交易日（含该日）之前注册的标准仓单，应当在当月的第15个交易日（含该日）之前全部注销</t>
  </si>
  <si>
    <t>1／3／4／5／10／11／12月</t>
  </si>
  <si>
    <t>仓库、厂库、车（船）板</t>
  </si>
  <si>
    <t>每年3月第15个交易日（含该日）之前注册的仓库标准仓单，应在当月的第15个交易日（含该日）之前全部注销，每年3月第16个交易日（含该日）至9月最后一个交易日（含该日）不受理苹果仓库标准仓单注册申请；每年1月、5月第15个交易日（含该日）之前注册的厂库标准仓单，应在当月的第15个交易日（含该日）之前全部注销，每年5月第16个交易日（含该日）至9月最后一个交易日（含该日）不受理苹果厂库标准仓单注册申请</t>
  </si>
  <si>
    <t>车（船）板：合约交割月份的次月10日
仓单：合约交割月份的第13个交易日</t>
  </si>
  <si>
    <t>1／3／5／7／9／12月</t>
  </si>
  <si>
    <r>
      <rPr>
        <sz val="12"/>
        <color indexed="8"/>
        <rFont val="微软雅黑"/>
        <charset val="134"/>
      </rPr>
      <t xml:space="preserve">
新疆：3元/吨·天
内地：2.5元/吨·天</t>
    </r>
  </si>
  <si>
    <r>
      <rPr>
        <sz val="12"/>
        <color theme="1"/>
        <rFont val="微软雅黑"/>
        <charset val="134"/>
      </rPr>
      <t xml:space="preserve">1/3/4/10/11/12月
</t>
    </r>
    <r>
      <rPr>
        <sz val="12"/>
        <rFont val="微软雅黑"/>
        <charset val="134"/>
      </rPr>
      <t>自2024年6月3日起挂牌交易花生期货2505合约</t>
    </r>
  </si>
  <si>
    <t>车（船）板、厂库</t>
  </si>
  <si>
    <t>每年1月、4月第15个交易日（含该日）之前注册的仓单，应当在当月第15个交易日（含该日）之前全部注销。每年4月第16个交易日（含该日）至8月最后一个交易日（含该日）不受理标准仓单注册申请。</t>
  </si>
  <si>
    <t xml:space="preserve"> 
交割月份的第10个交易日</t>
  </si>
  <si>
    <t>0.6元/吨·天</t>
  </si>
  <si>
    <t>车（船）板</t>
  </si>
  <si>
    <t>无标准仓单</t>
  </si>
  <si>
    <t>合约交割月份的次月20日</t>
  </si>
  <si>
    <t>0.5元/吨·天（服务机构直接收取）</t>
  </si>
  <si>
    <t>50吨/手</t>
  </si>
  <si>
    <t>1手（50吨）</t>
  </si>
  <si>
    <t>每年9月的最后一个工作日</t>
  </si>
  <si>
    <t>车（船）版：合约交割月份的次月20日
仓单：合约交割月份的第13个交易日</t>
  </si>
  <si>
    <t>0.4元/吨·天</t>
  </si>
  <si>
    <t>N年8月1日起注册的标准仓单，有效期至N+1年7月份最后一个交易日（含该日）</t>
  </si>
  <si>
    <t>N年10月1日起注册的标准仓单，有效期至N+1年9月份最后一个工作日（含该日）</t>
  </si>
  <si>
    <t>每年10月1日-下一年度4月30日0.5元/吨·天（含保险费等）
每年5月1日-9月30日0.55元/吨·天（含保险费等）</t>
  </si>
  <si>
    <t>梗稻</t>
  </si>
  <si>
    <t>每年2月、6月、10月第15个交易日（含该日）之前注册的厂库和仓库标准仓单，应在当月的第15个交易日（含该日）之前全部注销。</t>
  </si>
  <si>
    <t>每天0.4元/吨</t>
  </si>
  <si>
    <t>厂库、仓库（2510开始）</t>
  </si>
  <si>
    <t>每年1月、5月、9月第15个交易日（含该日）之前注册的标准仓单，应在当月的第15个交易日（含该日）之前全部注销。
每年3月、6月、9月、12月第15个交易日之前（含该日）注册的短纤期货标准仓单，应当在当年3月、6月、9月、12月的第15个交易日之前（含该日）全部注销。（2510合约开始）</t>
  </si>
  <si>
    <t>1.2元/吨·天</t>
  </si>
  <si>
    <t>30吨/手（干吨重量）</t>
  </si>
  <si>
    <t>1手（30吨）（干吨重量）</t>
  </si>
  <si>
    <t>1－12月</t>
  </si>
  <si>
    <t>每年1月、3月、5月、7月、9月、11月第15个交易日之前（含该日）注册的烧碱标准仓单，应当在当年1月、3月、5月、7月、9月、11月的之前（含改日）全部注销。</t>
  </si>
  <si>
    <t>2.5元/吨·天（湿吨）</t>
  </si>
  <si>
    <t>每年1月、3月、5月、7月、9月和11月第15个交易日之前（含该日）注册的对二甲苯期货标准仓单，应当在当年1月、3月、5月、7月、9月和11月第15个交易日之前（含该日）全部注销。</t>
  </si>
  <si>
    <t xml:space="preserve">3元/吨·天
</t>
  </si>
  <si>
    <t>15吨/手</t>
  </si>
  <si>
    <t>1手（15吨）</t>
  </si>
  <si>
    <t>每年1月、5月、9月第15个交易日之前（含该日）注册的瓶片期货标准仓单，应当在当年1月、5月、9月第15个交易日之前（含该日）全部注销</t>
  </si>
  <si>
    <t>0.8元/吨·天</t>
  </si>
  <si>
    <t>注：非通用标准仓单的品种为棉花、菜籽、动力煤、粳稻、甲醇、玻璃、白糖、硅铁、锰硅、棉纱、苹果、红枣、尿素、烧碱。</t>
  </si>
  <si>
    <t>广州期货交易所交割规则</t>
  </si>
  <si>
    <t>每年11月30日之前（含当日）注册的工业硅期货标准仓单，应在当日之前（含当日）全部注销。</t>
  </si>
  <si>
    <t>最后交易日后的第3个交易日</t>
  </si>
  <si>
    <t>自交割月第一个交易日起至最后交易日所有成交价格的加权平均价。</t>
  </si>
  <si>
    <t>1元/吨·天</t>
  </si>
  <si>
    <t>1手（1吨）</t>
  </si>
  <si>
    <r>
      <rPr>
        <sz val="12"/>
        <color indexed="8"/>
        <rFont val="微软雅黑"/>
        <charset val="134"/>
      </rPr>
      <t>50元</t>
    </r>
    <r>
      <rPr>
        <sz val="12"/>
        <color indexed="8"/>
        <rFont val="微软雅黑"/>
        <charset val="134"/>
      </rPr>
      <t>/</t>
    </r>
    <r>
      <rPr>
        <sz val="12"/>
        <color indexed="8"/>
        <rFont val="微软雅黑"/>
        <charset val="134"/>
      </rPr>
      <t>吨</t>
    </r>
  </si>
  <si>
    <t>每年3月、7月、11月最后一个交易日之前（含当日）注册的碳酸锂期货标准仓单，应当在当年3月、7月、11月的最后一个交易日之前（含当日）全部注销。</t>
  </si>
  <si>
    <r>
      <rPr>
        <sz val="12"/>
        <color indexed="8"/>
        <rFont val="微软雅黑"/>
        <charset val="134"/>
      </rPr>
      <t>5元</t>
    </r>
    <r>
      <rPr>
        <sz val="12"/>
        <color indexed="8"/>
        <rFont val="微软雅黑"/>
        <charset val="134"/>
      </rPr>
      <t>/</t>
    </r>
    <r>
      <rPr>
        <sz val="12"/>
        <color indexed="8"/>
        <rFont val="微软雅黑"/>
        <charset val="134"/>
      </rPr>
      <t>吨·天</t>
    </r>
  </si>
  <si>
    <t>3吨/手</t>
  </si>
  <si>
    <t>10手（30吨）</t>
  </si>
  <si>
    <t>每年5月、11月最后一个交易日闭市后，交易所对多晶硅期货仓库标准仓单和厂库标准仓单进行统一注销，但是生产日期在90日以内（含当日）的多晶硅期货仓库标准仓单除外。</t>
  </si>
  <si>
    <t>4元/吨·天</t>
  </si>
  <si>
    <t>交易所
交割手续费</t>
  </si>
  <si>
    <t>可交割债券范围</t>
  </si>
  <si>
    <t>0.00005
（按金额）</t>
  </si>
  <si>
    <t>合约到期月份的第三个周五，遇国家法定假日顺延</t>
  </si>
  <si>
    <t>最后交易日标的指数最后2小时的算术平均价（计算结果保留至小数点后两位）</t>
  </si>
  <si>
    <t xml:space="preserve">上证50指数
</t>
  </si>
  <si>
    <t xml:space="preserve">中证1000指数
</t>
  </si>
  <si>
    <t xml:space="preserve">2年期国债
</t>
  </si>
  <si>
    <t>200万面额</t>
  </si>
  <si>
    <t>2.5元/手</t>
  </si>
  <si>
    <t>最近的三个季月（3月／6月／9月／12月中的最近三个月循环）</t>
  </si>
  <si>
    <t>合约月份第二个周五（9：15－11：30）</t>
  </si>
  <si>
    <t>最后交易日后的第三个交易日</t>
  </si>
  <si>
    <t>国债期货合约最后交易日之前的交割结算价为卖方交割申报当日的结算价，最后交易日的交割结算价为集中交易中该合约最后交易日全部成交价格按照成交量的加权平均价。计算结果保留至小数点后三位。
合约最后交易日无成交的，交割结算价=该合约上一交易日结算价+基准合约当日结算价-基准合约上一交易日结算价，其中，基准合约为当日有成交的离交割月份最近的合约。根据本公式计算出的交割结算价超出合约涨跌停板价格的，取涨跌停板价格作为交割结算价。</t>
  </si>
  <si>
    <t>面值为200万元人民币、票面利率为3%的名义中期国债
发行期限不高于5年合约到期月份首日剩余期限为1.5-2.25年的记账式附息国债</t>
  </si>
  <si>
    <t>可交割国债应当满足以下条件：
（一）中华人民共和国财政部在境内发行的记账式国债；
（二）同时在全国银行间债券市场、上海证券交易所和深圳证券交易所上市交易；
（三）固定利率且定期付息；
（四）合约到期月份首日剩余期限符合合约规定的范围；
（五）符合国债转托管的相关规定；
（六）交易所规定的其他条件。
2年期国债期货合约的交割单位为面值200万元人民币的国债，5年期和10年期国债期货合约的交割单位为面值100万元人民币的国债。
每交割单位的国债仅限于同一国债托管机构托管的同一国债。中国结算上海分公司和中国结算深圳分公司托管的国债分别计算。
具体可交割国债，中金所会服可查询：http://www.cffex.com.cn/kjggzxx/</t>
  </si>
  <si>
    <t xml:space="preserve">5年期国债
</t>
  </si>
  <si>
    <t>100万面额</t>
  </si>
  <si>
    <t>面值为100万元人民币、票面利率为3%的名义中期国债
发行期限不高于7年合约到期月份首日剩余期限为4-5.25年的记账式附息国债</t>
  </si>
  <si>
    <t xml:space="preserve">10年期国债
</t>
  </si>
  <si>
    <t>面值为100万元人民币、票面利率为3%的名义长期国债
发行期限不高于10年合约到期月份首日剩余期限不低于6.5年的记账式附息国债</t>
  </si>
  <si>
    <t xml:space="preserve">30年期国债
</t>
  </si>
  <si>
    <t>面值为100万元人民币、票面利率为3%的名义长期国债
发行期限不高于30年合约到期月份首日剩余期限不低于25年的记账式附息国债</t>
  </si>
  <si>
    <t>交易所套保业务审核时间点</t>
  </si>
  <si>
    <t>上期所、能源中心</t>
  </si>
  <si>
    <t>临近交割月份</t>
  </si>
  <si>
    <t>按品种</t>
  </si>
  <si>
    <t>按合约</t>
  </si>
  <si>
    <t>分段时间</t>
  </si>
  <si>
    <t>燃料油、原油、低硫燃料油：合约挂牌至交割月前第三月的最后一个交易日
其他品种：合约挂牌至交割月前第二月的最后一个交易日</t>
  </si>
  <si>
    <t>燃料油、原油、低硫燃料油：交割月前第二月和交割月前第一月
其他品种：交割月前第一月和交割月份</t>
  </si>
  <si>
    <t>期货合约挂牌至交割月前一个月第15个日历日（含该日）
PTA、白糖、甲醇、短纤、菜油、菜粕、棉花、硅铁、锰硅、玻璃、纯碱按品种，其他按合约</t>
  </si>
  <si>
    <t>交割月前一个月第16个日历日至合约最后交易日（含该日）</t>
  </si>
  <si>
    <t>自合约上市之日起至交割月份前一个月最后一个交易日
其他按品种，生猪、鸡蛋按合约</t>
  </si>
  <si>
    <t>交割月份第一个交易日
至最后交易日</t>
  </si>
  <si>
    <t>自合约上市之日起至交割月份前第一个月最后一个交易日</t>
  </si>
  <si>
    <t>申请时间</t>
  </si>
  <si>
    <t>燃料油、原油、低硫燃料油：交割月前第三月的最后一个交易日之前提出
其他品种：交割月前第二月的最后一个交易日之前提出申请</t>
  </si>
  <si>
    <t>燃料油、原油、低硫燃料油：交割月前第四月的第一个交易日至交 割月前第二月的最后一个交易日之间提出
其他品种：交割月前第三月的第一个交易日至交割月前第一月的最后一个交易日之间提出申请</t>
  </si>
  <si>
    <t>全年的任一交易日均可提出</t>
  </si>
  <si>
    <t>合约挂牌至交割月前一个月的第5个日历日（含该日）之间提出</t>
  </si>
  <si>
    <t>交割月前第二个月第15个日历日至交割月前一个月第20个日历日（含该日）之间提出</t>
  </si>
  <si>
    <t>在任一交易日提出申请</t>
  </si>
  <si>
    <t>申请截止日为套期保值合约交割月份前一个月的倒数第5个交易日</t>
  </si>
  <si>
    <t>交割月份前第一个月的
最后一个交易日之前提出</t>
  </si>
  <si>
    <t>交割月份前第二个月的
最后一个交易日之前提出</t>
  </si>
  <si>
    <t>批复时间</t>
  </si>
  <si>
    <t>5个交易日内完成批复</t>
  </si>
  <si>
    <t>5个交易日完成批复</t>
  </si>
  <si>
    <t>第一次批复：交割月前一个月第5个日历日后的5个交易日内集中审核                             第二次批复：申请截止日后的5个交易日内集中审核</t>
  </si>
  <si>
    <t>交割月前一个月第一交易日起审批，5个交易日内完成批复</t>
  </si>
  <si>
    <t>未申请临近交割月套保头寸</t>
  </si>
  <si>
    <t>参照已获一般月份套期保值交易头寸和该品种限仓制度规定额度中的较低标准执行，并按此标准转化为临近交割月份套期保值交易头寸</t>
  </si>
  <si>
    <t>白糖、PTA一般月份套期保值持仓额度可以部分自动转化为该阶段的套期保值持仓额度。自动转化额度为获批的一般月份套保额度和转化基准值取小。
（转化基准值：白糖 6000手，PTA 10000手）</t>
  </si>
  <si>
    <t>投机+套保持仓不超过投机持仓限额</t>
  </si>
  <si>
    <t>建仓时效</t>
  </si>
  <si>
    <t>最后交易日前三个交易日收市前建套保仓，
在规定期限内未建仓的，视为自动放弃套期保值交易头寸。</t>
  </si>
  <si>
    <t>期货投机转套保</t>
  </si>
  <si>
    <t>可以</t>
  </si>
  <si>
    <t>申请额度增加</t>
  </si>
  <si>
    <t>额度累加</t>
  </si>
  <si>
    <t>固定额度</t>
  </si>
  <si>
    <t>额度重复使用限制</t>
  </si>
  <si>
    <t>自交割月第一交易日起不能重复使用
(fu、lu、sc自交割月前一月第一个交易日起不能重复使用)</t>
  </si>
  <si>
    <t>自交割月第一交易日起不能重复使用</t>
  </si>
  <si>
    <t>可以重复使用</t>
  </si>
  <si>
    <t>套保持仓平仓后额度可重复使用，
套保持仓交割后额度不能重复使用</t>
  </si>
  <si>
    <t>注：1、一般月份按品种方式申请的，自获批额度的次年起，应当在每年6月30日之前向交易所更新申请材料，逾期未更新的，相应套期保值持仓额度将失效。
2、套保额度使用注意期现匹配，交易所可能回溯套保额度的使用情况，如套保指令频繁交易，且交易行为不符合经济合理性或者期现匹配要求，无法说明正当理由的，交易所将采取相应监管措施。</t>
  </si>
  <si>
    <t>交易所交割业务审核时间点</t>
  </si>
  <si>
    <t>有价证券质押业务</t>
  </si>
  <si>
    <t>交割业务类型</t>
  </si>
  <si>
    <t>上期所/能源中心交割业务交易所审核时间截点</t>
  </si>
  <si>
    <t>大商所交割业务审核时间截点</t>
  </si>
  <si>
    <t>广期所交割业务审核时间截点</t>
  </si>
  <si>
    <t>郑商所交割业务审核时间截点</t>
  </si>
  <si>
    <t>中金所交割业务审核时间截点</t>
  </si>
  <si>
    <t>类型</t>
  </si>
  <si>
    <t>标准仓单
（适用五大商品交易所）</t>
  </si>
  <si>
    <t>国债</t>
  </si>
  <si>
    <t>交割预报</t>
  </si>
  <si>
    <t>提交申请后交易所三个交易日内予以答复</t>
  </si>
  <si>
    <t>提交申请后交易所三个交易日予以答复</t>
  </si>
  <si>
    <t>提交后由交割仓库2个工作日内予以答复</t>
  </si>
  <si>
    <t>无此业务</t>
  </si>
  <si>
    <t>折扣率</t>
  </si>
  <si>
    <t>仓单转让（不委托交易所结算）</t>
  </si>
  <si>
    <t>客户自行通过上期所标准仓单系统发起，由交割仓库审核</t>
  </si>
  <si>
    <t>质押基准价</t>
  </si>
  <si>
    <t>前一交易日对应品种最近交割月份期货合约的结算价</t>
  </si>
  <si>
    <t>以前一交易日该国债中债登基准计算价值的净价</t>
  </si>
  <si>
    <t>仓单转让（交易所结算）</t>
  </si>
  <si>
    <t>质押金额计算公式</t>
  </si>
  <si>
    <t>质押资金=基准价*数量*折扣率</t>
  </si>
  <si>
    <t>有价证券质押</t>
  </si>
  <si>
    <t>结算调整</t>
  </si>
  <si>
    <t>每个交易日按照当日基准价重新计算质押金额</t>
  </si>
  <si>
    <t>每日结算时按照前一交易日国债估值净价计算折后金额</t>
  </si>
  <si>
    <t>标准仓单解除质押</t>
  </si>
  <si>
    <t>质押配比要求</t>
  </si>
  <si>
    <t>客户质押资金小于等于4倍的实有货币资金</t>
  </si>
  <si>
    <t>国债质押</t>
  </si>
  <si>
    <t>手续费率（年化）</t>
  </si>
  <si>
    <t>上期所：0.1%
能源中心：0.5%（暂免）
大商所：1.8%（暂免）
广期所：1.8%（暂免）
郑商所：0.9%（暂免）</t>
  </si>
  <si>
    <t>交易所手续费：按质押金额年化0.05%
质押券管理服务费：债券面额年化0.05%</t>
  </si>
  <si>
    <t>国债解除质押</t>
  </si>
  <si>
    <t>收取方式</t>
  </si>
  <si>
    <t>按月收取，每月第一个交易日收取上月手续费。
（大商所：质出时收取月初至质出前一日手续费）</t>
  </si>
  <si>
    <t>仓单折抵</t>
  </si>
  <si>
    <t>到期日</t>
  </si>
  <si>
    <t>大商所、广期所：截止仓单有效期前一交易日
其他交易所：截止仓单有效期当日</t>
  </si>
  <si>
    <t>国债到期日前一个月的第一交易日</t>
  </si>
  <si>
    <t>仓单解除折抵</t>
  </si>
  <si>
    <t>备注：
（1）郑商所品种每次质押的标准仓单市值不得低于10万元，大商所、广期所品种每次质押金额不得低于10万元。
（2）国债质押，每次提交的国债面值不得低于100万元。
（3）鸡蛋、黄大豆2号不可办理仓单质押业务。
（4）质押资金只能用作交易保证金，不能出金，且期货交易的相关亏损、费用等，应当以客户货币资金支付。</t>
  </si>
  <si>
    <t>仓单注销</t>
  </si>
  <si>
    <t>客户自行通过标准仓单系统发起，
由仓库审核</t>
  </si>
  <si>
    <t>期转现交割申请</t>
  </si>
  <si>
    <t>无此业务（期转现交易14:00）</t>
  </si>
  <si>
    <t>滚动交割申请</t>
  </si>
  <si>
    <t>15:00（jd、lh、pg、i卖方需在11:30前提交）</t>
  </si>
  <si>
    <t>集中交割申请</t>
  </si>
  <si>
    <t>非对冲平仓、仓单申报冻结 14：30</t>
  </si>
  <si>
    <t>投机转套保</t>
  </si>
  <si>
    <t>注：以上时间点为交易日期货公司提交至交易所相应业务审核时间截点，客户应至少应提前半小时，向我司提交业务申请。</t>
  </si>
  <si>
    <t>各交易所保证金优惠规则</t>
  </si>
  <si>
    <t>保证金优惠政策</t>
  </si>
  <si>
    <t>优惠政策描述</t>
  </si>
  <si>
    <t>组合类型</t>
  </si>
  <si>
    <t>组合规则</t>
  </si>
  <si>
    <t>保证金收取规则</t>
  </si>
  <si>
    <t>盘中优惠方式</t>
  </si>
  <si>
    <t>结算后优惠方式</t>
  </si>
  <si>
    <t>大商所
广期所</t>
  </si>
  <si>
    <t>组合策略保证金</t>
  </si>
  <si>
    <t>符合优惠规则的双边持仓按照规定比例组成持仓组合，组合中的持仓按照交易所规定的组合保证金收取</t>
  </si>
  <si>
    <t>期货对锁</t>
  </si>
  <si>
    <t>在同一期货品种同一月份合约上建立数量相等、方向相反的头寸</t>
  </si>
  <si>
    <t>期货高腿保证金</t>
  </si>
  <si>
    <t>1、部分组合盘中使用SP（期货跨期）、SPC（期货跨品种）套利指令直接建立组合，实时优惠；
2、盘中先建立单腿合约，再通过交易端申请组合可以实时优惠，也可以申请组合解除实时拆散组合，解除优惠。</t>
  </si>
  <si>
    <t>1、结算时交易所根据公布的组合优先级自动进行组合优惠；
2、客户可通过会员申请保留组合资格，交易所审批通过后，结算时将保留客户的盘中组合持仓，且不将剩余单腿持仓进行自动组合。</t>
  </si>
  <si>
    <t>1、大商所组合规则详见交易所官网：首页 &gt; 业务/服务 &gt; 业务参数 &gt; 交易参数；
2、广期所组合规则详见交易所官网：首页 &gt; 业务/服务 &gt; 业务参数 &gt; 交易参数\结算参数；
3、期权合约仅部分月份支持组合；
4、新合约上市首日盘中不参与组合，结算时参与组合。</t>
  </si>
  <si>
    <t>期货跨期</t>
  </si>
  <si>
    <t>在同一期货品种的不同月份合约上建立数量相等、方向相反的头寸</t>
  </si>
  <si>
    <t>期货跨品种
（广期所无）</t>
  </si>
  <si>
    <t>在不同期货品种合约上建立数量相等、方向相反的头寸</t>
  </si>
  <si>
    <t>卖出期权期货组合</t>
  </si>
  <si>
    <t>卖出看涨期权，同时买入标的期货合约</t>
  </si>
  <si>
    <t>期货保证金+期权权利金</t>
  </si>
  <si>
    <t>卖出看跌期权，同时卖出标的期货合约</t>
  </si>
  <si>
    <t>期权跨式</t>
  </si>
  <si>
    <t>卖出相同标的期货合约相同执行价格的看涨期权和看跌期权</t>
  </si>
  <si>
    <t>max(看涨期权保证金，看跌期权保证金)+另一腿权利金</t>
  </si>
  <si>
    <t>期权宽跨式</t>
  </si>
  <si>
    <t>卖出相同标的期货合约低执行价格的看跌期权和高执行价格的看涨期权</t>
  </si>
  <si>
    <t>期权对锁</t>
  </si>
  <si>
    <t>在同一期权合约上建立数量相等、方向相反的头寸</t>
  </si>
  <si>
    <t>0.2*卖期权保证金</t>
  </si>
  <si>
    <t>买入期权垂直价差</t>
  </si>
  <si>
    <t>买进低执行价格的看涨期权，同时卖出相同标的期货合约的高执行价格的看涨期权</t>
  </si>
  <si>
    <t>买进高执行价格的看跌期权，同时卖出相同标的期货合约的低执行价格的看跌期权</t>
  </si>
  <si>
    <t>卖出期权垂直价差</t>
  </si>
  <si>
    <t>卖出低执行价格的看涨期权，同时买进相同标的期货合约的高执行价格的看涨期权</t>
  </si>
  <si>
    <t>min(执行价格之差，卖期权保证金)</t>
  </si>
  <si>
    <t>卖出高执行价格的看跌期权，同时买进相同标的期货合约的低执行价格的看跌期权</t>
  </si>
  <si>
    <t>买入期权期货组合（广期所无）</t>
  </si>
  <si>
    <t>买入看涨期权，同时卖出标的期货合约</t>
  </si>
  <si>
    <t>0.8*期货保证金</t>
  </si>
  <si>
    <t>买入看跌期权，同时买入标的期货合约</t>
  </si>
  <si>
    <t>1、期货对锁持仓盘中自动实时优惠；
2、部分组合盘中使用SPD（期货跨期）、IPS（期货跨品种）、STD（期权跨式，需附加FOK、FAK使用）、STG（期权宽跨式，需附加FOK、FAK使用）套利指令直接建立组合，实时优惠。</t>
  </si>
  <si>
    <t>1、每个交易日下午指定时间前（期货组合14:30前，期权组合14点前）向期货公司提交组合申请的持仓，结算时优惠；
2、备兑组合结算后自动优惠；
3、未通过套利指令建仓、未申请组合的持仓结算时不自动组合。</t>
  </si>
  <si>
    <t>1、跨品种：硅铁&amp;锰硅、棉花&amp;棉纱、纯碱&amp;玻璃、PTA&amp;短纤。</t>
  </si>
  <si>
    <t>期货跨品种</t>
  </si>
  <si>
    <t>备兑组合</t>
  </si>
  <si>
    <t>卖出看涨期权，同时买入对应标的期货合约</t>
  </si>
  <si>
    <t>卖出看跌期权，同时卖出对应标的期货合约</t>
  </si>
  <si>
    <r>
      <rPr>
        <b/>
        <sz val="12"/>
        <rFont val="微软雅黑"/>
        <charset val="134"/>
      </rPr>
      <t>产品组单向大边保证金</t>
    </r>
    <r>
      <rPr>
        <sz val="12"/>
        <rFont val="微软雅黑"/>
        <charset val="134"/>
      </rPr>
      <t xml:space="preserve">
</t>
    </r>
    <r>
      <rPr>
        <sz val="10"/>
        <rFont val="微软雅黑"/>
        <charset val="134"/>
      </rPr>
      <t>（股指期货为权益组、国债期货为利率组）</t>
    </r>
  </si>
  <si>
    <t>符合优惠规则的双边持仓按照保证金较大的一边收取，保证金较少的一边予以优惠</t>
  </si>
  <si>
    <t>盘中实时优惠（产品组内的双边持仓只收取保证金较高的单边，保证金较少的单边免收）
委托时按照持仓和未成交委托综合判断保证金小的一边可开仓手数，如超过此手数则需补足保证金差额部分，可用资金需覆盖手续费。</t>
  </si>
  <si>
    <t>与盘中优惠规则一致</t>
  </si>
  <si>
    <t>1、国债期货合约在交割月前一交易日结算时取消优惠；股指期货无限制；
2、中金所股指期权无保证金优惠。</t>
  </si>
  <si>
    <t>上期所
能源中心</t>
  </si>
  <si>
    <t>产品单向大边保证金</t>
  </si>
  <si>
    <t>盘中实时优惠（品种内的双边持仓只收取保证金较高的单边，保证金较少的单边免收）
委托时按照持仓和未成交委托综合判断保证金小的一边可开仓手数，如超过此手数则需补足保证金差额部分，可用资金需覆盖手续费。</t>
  </si>
  <si>
    <t>1、集运指数（欧线）品种无保证金优惠；
2、其余品种合约进入最后交易日前五个交易日闭市后取消优惠；
3、上期所、能源中心期权无保证金优惠。</t>
  </si>
  <si>
    <t>上交所
深交所</t>
  </si>
  <si>
    <t>跨式空头</t>
  </si>
  <si>
    <t>由一个认购期权义务仓与一个相同合约标的、相同到期日、相同合约单位、相同行权价格的认沽期权义务仓组成</t>
  </si>
  <si>
    <t>max(认购期权保证金，认沽期权保证金)+另一腿权利金</t>
  </si>
  <si>
    <t>盘中单腿开仓，再通过交易端申请组合可以实时享受优惠，也可以申请组合解除实时拆散组合，解除优惠。</t>
  </si>
  <si>
    <t>盘中未申请组合的，结算时交易所不会自动组合。</t>
  </si>
  <si>
    <t>1、到期月份的认购牛市价差策略、认沽熊市价差策略、认购熊市价差策略、认沽牛市价差策略组合于期权到期日前倒数第二个交易日收市后自动解除；
2、期权合约未被组合占用的双边持仓，于每个交易日收市后自动进行对冲了结；
3、除备兑策略外的期权组合，进行单腿平仓时，需要先解除组合，否则不能平仓；
4、通过交易端申请的方式，深交所支持备兑仓与普通认购义务仓互相转化；上交所仅支持普通认购义务仓转为备兑仓，不支持备兑仓转为普通认购义务仓。</t>
  </si>
  <si>
    <t>宽跨式空头</t>
  </si>
  <si>
    <t>由一个较高行权价格的认购期权义务仓，与一个相同合约标的、相同到期日、相同合约单位、较低行权价格的认沽期权义务仓组成</t>
  </si>
  <si>
    <t>认购牛市价差策略</t>
  </si>
  <si>
    <t>由一个认购期权权利仓与一个相同合约标的、相同到期日、相同合约单位的认购期权义务仓组成，其中义务仓的行权价格高于权利仓的行权价格</t>
  </si>
  <si>
    <t>零</t>
  </si>
  <si>
    <t>认沽熊市价差策略</t>
  </si>
  <si>
    <t>由一个认沽期权权利仓与一个相同合约标的、相同到期日、相同合约单位的认沽期权义务仓组成，其中义务仓的行权价格低于权利仓的行权价格</t>
  </si>
  <si>
    <t>认购熊市价差策略</t>
  </si>
  <si>
    <t>由一个认购期权权利仓与一个相同合约标的、相同到期日、相同合约单位的认购期权义务仓组成，其中义务仓的行权价格低于权利仓的行权价格</t>
  </si>
  <si>
    <t>行权价之差*合约单位</t>
  </si>
  <si>
    <t>认沽牛市价差策略</t>
  </si>
  <si>
    <t>由一个认沽期权权利仓与一个相同合约标的、相同到期日、相同合约单位的认沽期权义务仓组成，其中义务仓的行权价格高于权利仓的行权价格</t>
  </si>
  <si>
    <t>备兑策略</t>
  </si>
  <si>
    <t>持有现货ETF，同时卖出标的为该ETF的备兑性质认购期权</t>
  </si>
  <si>
    <t>备兑开仓不收取保证金，普通仓转备兑仓盘中实时优惠。</t>
  </si>
  <si>
    <t>期货交易所申报费规则对比表</t>
  </si>
  <si>
    <t>具体收取标准（元/笔）</t>
  </si>
  <si>
    <t>共同之处</t>
  </si>
  <si>
    <t>上期所&amp;
能源中心</t>
  </si>
  <si>
    <t>品种</t>
  </si>
  <si>
    <t>信息量</t>
  </si>
  <si>
    <t>OTR≤2</t>
  </si>
  <si>
    <t>OTR＞2</t>
  </si>
  <si>
    <t xml:space="preserve">1、对信息量笔数超过4000笔的客户收费；
2、按照合约计算信息量；
3、同一客户在不同期货公司开户的，对其所有信息量合并计算收取；
4、做市商做市交易，免收申报费；
5、对于具有实控关系的客户，交易所对其所有信息量合并计算；
6、自2024年10月25日交易时起，对所有商品期货交易所的期货及期权全品种收取申报费。
</t>
  </si>
  <si>
    <t>1、TAS指令的信息量和标的合约信息量合并计算；
2、有成交的报单笔数为0时，视其为1来计算OTR；
3、期权合约申报费按合约月份统计。</t>
  </si>
  <si>
    <t>A组【期货】包括白银、不锈钢、黄金、螺纹钢、铝、镍、铅、热轧卷板、燃料油、石油沥青、铜、天然橡胶、锌、锡、纸浆、低硫燃料油、20号胶和原油</t>
  </si>
  <si>
    <t>信息量≤4000笔</t>
  </si>
  <si>
    <t>4000笔＜信息量≤8000笔</t>
  </si>
  <si>
    <t>8000笔＜信息量≤40000笔</t>
  </si>
  <si>
    <t>信息量＞40000笔</t>
  </si>
  <si>
    <t>B组【期权】包括原油期权、白银期权、黄金期权、螺纹钢期权、铝期权、铜期权、天然橡胶期权、锌期权、丁二烯橡胶期权、铅期权、镍期权、锡期权和氧化铝期权</t>
  </si>
  <si>
    <t>C组【期货】包括丁二烯橡胶、线材、氧化铝、国际铜和集运指数（欧线）</t>
  </si>
  <si>
    <t xml:space="preserve">1、有成交的报单笔数为0时，OTR为极大值；
2、期权合约申报费按合约月份统计。
</t>
  </si>
  <si>
    <t>棕榈油期货、豆粕期货、
鸡蛋期货、苯乙烯期货、乙二醇期货、液化石油气期货、聚丙烯期货、聚氯乙烯期货</t>
  </si>
  <si>
    <t>信息量＞8000笔</t>
  </si>
  <si>
    <t>玉米期货、线型低密度聚乙烯期货</t>
  </si>
  <si>
    <r>
      <rPr>
        <sz val="12"/>
        <rFont val="Microsoft YaHei"/>
        <charset val="134"/>
      </rPr>
      <t>豆油期货、黄大豆1号期货、黄大豆2号期货、</t>
    </r>
    <r>
      <rPr>
        <b/>
        <sz val="12"/>
        <rFont val="Microsoft YaHei"/>
        <charset val="134"/>
      </rPr>
      <t xml:space="preserve">
</t>
    </r>
    <r>
      <rPr>
        <sz val="12"/>
        <rFont val="Microsoft YaHei"/>
        <charset val="134"/>
      </rPr>
      <t>纤维板期货、粳米期货、玉米淀粉期货、原木期货</t>
    </r>
  </si>
  <si>
    <t>全部期权</t>
  </si>
  <si>
    <t>生猪期货、铁矿石期货、
焦煤期货、焦炭期货、胶合板期货</t>
  </si>
  <si>
    <t xml:space="preserve">1、有成交的报单笔数为0时，按OTR大于2来计算；
2、期权合约申报费按合约月份统计。
</t>
  </si>
  <si>
    <t>PTA期货</t>
  </si>
  <si>
    <t>8000笔＜信息量≤20000笔</t>
  </si>
  <si>
    <t>信息量＞20000笔</t>
  </si>
  <si>
    <t>甲醇期货、白糖期货、菜油期货、菜粕期货、
棉花期货、玻璃期货、纯碱期货、硅铁期货、锰硅期货、红枣期货、苹果期货、对二甲苯期货、烧碱期货、尿素期货</t>
  </si>
  <si>
    <t>短纤期货、花生期货、
普通小麦期货、优质强筋小麦期货、早籼稻期货、晚籼稻期货、粳稻期货、动力煤期货、棉纱期货、油菜籽期货、瓶片期货</t>
  </si>
  <si>
    <t>1、有成交的报单笔数为0时，则当日在该期货合约或期权合约月份上其报单成交比（OTR）视为大于2；
2、期权合约申报费按合约月份统计。</t>
  </si>
  <si>
    <t>工业硅期货、多晶硅期货</t>
  </si>
  <si>
    <t>碳酸锂期货</t>
  </si>
  <si>
    <t>工业硅期权、碳酸锂期权、多晶硅期权</t>
  </si>
  <si>
    <t>有成交的报单笔数为0时，视其为1来计算OTR。</t>
  </si>
  <si>
    <t>国债期货</t>
  </si>
  <si>
    <t>8000笔＜信息量≤12000笔</t>
  </si>
  <si>
    <t>信息量＞12000笔</t>
  </si>
  <si>
    <t>股指期货</t>
  </si>
  <si>
    <t>申报费为每笔1元；申报是指买入、卖出及撤销委托。</t>
  </si>
  <si>
    <t>注：
1、申报费按照合约计算收取，且在当日结算时收取（盘中预冻结），下一交易日会重新计算；
2、信息量=报单、撤单、询价等交易指令笔数之和；
3、报单成交比（OTR）=（信息量/有成交的报单笔数）- 1。</t>
  </si>
  <si>
    <t>交易指令</t>
  </si>
  <si>
    <t>产品类型</t>
  </si>
  <si>
    <t>限价指令</t>
  </si>
  <si>
    <t>市价指令</t>
  </si>
  <si>
    <t>套利</t>
  </si>
  <si>
    <t>互换</t>
  </si>
  <si>
    <t>止损（盈）指令</t>
  </si>
  <si>
    <t>是否支持</t>
  </si>
  <si>
    <t>描述</t>
  </si>
  <si>
    <t>上期所、
能源中心</t>
  </si>
  <si>
    <t>期货</t>
  </si>
  <si>
    <t>支持</t>
  </si>
  <si>
    <t>可附加FOK、FAK</t>
  </si>
  <si>
    <t>不支持</t>
  </si>
  <si>
    <t>期权</t>
  </si>
  <si>
    <t>可附加FOK、FAK、GIS</t>
  </si>
  <si>
    <t>任意价，指交易所计算机撮合系统执行指令时以涨（跌）停板价格参与交易的买（卖）指令，可附加FAK、FOK</t>
  </si>
  <si>
    <t>跨期套利，跨品种套利，具体支持情况由交易所公布</t>
  </si>
  <si>
    <t>市价/限价止损（盈）指令：当市场价格触及客户预先设定触发价格时，立即转为市价/限价指令的指令，限价止损（盈）指令可附加GIS</t>
  </si>
  <si>
    <t>跨期套利，具体支持情况由交易所公布</t>
  </si>
  <si>
    <t>市价/限价止损（盈）指令：当市场价格触及客户预先设定触发价格时，立即转为市价/限价指令的指令</t>
  </si>
  <si>
    <t>可附加FAK</t>
  </si>
  <si>
    <t>最优价，按市场最优价格成交，可附加FAK</t>
  </si>
  <si>
    <t>跨期套利，跨品种套利</t>
  </si>
  <si>
    <t>期权跨式套利，期权宽跨式套利(必须附加FOK或FAK)</t>
  </si>
  <si>
    <t>部分合约支持</t>
  </si>
  <si>
    <t>仅适用股指期货的当月、下月合约，国债期货最近的季月合约；
最优价，按市场最优价格成交（需附加五档价，最优价，最优价转限价，五档市价转现价等属性）</t>
  </si>
  <si>
    <t>包括普通限价委托、全额即时限价委托等</t>
  </si>
  <si>
    <t>包括市价剩余转限价委托、市价剩余撤销委托、全额即时市价委托等</t>
  </si>
  <si>
    <t>包括普通限价申报、全额成交或撤销限价申报等</t>
  </si>
  <si>
    <t>包括对手方最优价格市价申报、本方最优价格市价申报、最优五档即时成交剩余撤销市价申报、即时成交剩余撤销市价申报。全额成交或撤销市价申报等</t>
  </si>
  <si>
    <t>备注：
（1）限价指令是指按照限定价格或者更优价格成交的指令；
（2）大商所、广期所市价指令是指交易所计算机撮合系统执行指令时以涨（跌）停板价格参与交易的买（卖）指令；中金所、郑商所市价指令是指不限定价格、按照当时市场上可执行的报价成交的指令；市价指令只能和限价指令撮合成交； 
（3）FOK指令是指限价指令中所有数量必须同时成交，否则该指令自动撤销；
（4）FAK指令是指限价指令中无法立即成交部分自动撤销。FOK指令是指限价指令中所有数量必须同时成交，否则该指令自动撤销；
（5）GIS指令是指该指令只在本交易小节有效，本小节结束后，未成交部分立即撤销的指令属性。</t>
  </si>
  <si>
    <t>各交易所期权行权及自对冲规则对比表</t>
  </si>
  <si>
    <t>自动行权条件</t>
  </si>
  <si>
    <t>1、相较于当日结算价为实值；
2、账户可用资金满足行权要求</t>
  </si>
  <si>
    <t>实值额大于行权手续费</t>
  </si>
  <si>
    <t>支持自对冲类型</t>
  </si>
  <si>
    <t>期权自对冲
行权后期货自对冲
履约后期货自对冲</t>
  </si>
  <si>
    <t>期权自对冲，当日有效；
行权后期货自对冲，当日有效；
履约后期货自对冲，一次申请，长期有效</t>
  </si>
  <si>
    <t>期权自对冲，一次申请，长期有效；
行权后期货自对冲，一次申请，长期有效；
履约后期货自对冲，一次申请，长期有效；
期货自对冲，一次申请，长期有效</t>
  </si>
  <si>
    <t>仅做市商可申请期权每日自对冲，其他客户不支持；
到期日所有客户自动对冲，以净头寸行权履约</t>
  </si>
  <si>
    <t>自对冲申请有效期</t>
  </si>
  <si>
    <t>当日有效</t>
  </si>
  <si>
    <t>一次申请，长期有效</t>
  </si>
  <si>
    <t>做市商开通自对冲之后，长期有效</t>
  </si>
  <si>
    <t>自对冲申请途径</t>
  </si>
  <si>
    <t>交易端与期货公司会员服务系统均支持提交</t>
  </si>
  <si>
    <t>仅期货公司会员服务系统支持提交</t>
  </si>
  <si>
    <t>做市商日常对冲需通过期货公司会员服务系统申请
所有客户到期日自动对冲无需额外申请</t>
  </si>
  <si>
    <t>行权手续费</t>
  </si>
  <si>
    <t>收取行权手续费，免收期货开仓手续费</t>
  </si>
  <si>
    <t>收取行权手续费，不涉及期货建仓</t>
  </si>
  <si>
    <t>自对冲手续费</t>
  </si>
  <si>
    <t>期权自对冲</t>
  </si>
  <si>
    <t>收取双边期权自对冲手续费</t>
  </si>
  <si>
    <t>收取双边期权平仓手续费</t>
  </si>
  <si>
    <t>免收</t>
  </si>
  <si>
    <t>期货自对冲</t>
  </si>
  <si>
    <t>收取双边期货平仓手续费</t>
  </si>
  <si>
    <t>不涉及</t>
  </si>
  <si>
    <t>修订日期</t>
  </si>
  <si>
    <t>涉及表格</t>
  </si>
  <si>
    <t>修订内容</t>
  </si>
  <si>
    <t>所有分页</t>
  </si>
  <si>
    <t>发布第一版《国泰君安期货各交易所规则汇总表》</t>
  </si>
  <si>
    <t>完善上期所、能源中心、大商所申报费收取品种所属类别</t>
  </si>
  <si>
    <t>非规则修订</t>
  </si>
  <si>
    <t>上调集运指数公司保证金加收；下调菜油、菜粕、硅铁、锰硅保证金、涨跌停板；
下调工业硅、碳酸锂保证金、涨跌停板，同时增加套保保证金；
下调豆一、豆二、玉米、鸡蛋投机保证金，上调粳米套保保证金</t>
  </si>
  <si>
    <t>保证金及涨跌停板幅度</t>
  </si>
  <si>
    <t>新增ec2502保证金、涨跌停板</t>
  </si>
  <si>
    <t>新增ec2502交易限额</t>
  </si>
  <si>
    <t>调整ec2406-2412合约交易所保证金标准及涨跌停板幅度</t>
  </si>
  <si>
    <t>20240320结算时起生效</t>
  </si>
  <si>
    <t>调整ec2406-2502合约交易限额</t>
  </si>
  <si>
    <t>20240320交易时起生效</t>
  </si>
  <si>
    <t>新增期货自对冲业务</t>
  </si>
  <si>
    <t>20240322交易时起生效</t>
  </si>
  <si>
    <t>调整期权自对冲业务</t>
  </si>
  <si>
    <t>新增GIS指令属性</t>
  </si>
  <si>
    <t>20240325交易时起生效</t>
  </si>
  <si>
    <t>新增股票期权持仓限额、买入额度调整标准</t>
  </si>
  <si>
    <t>新增股票期权组合持仓保证金优惠规则</t>
  </si>
  <si>
    <t>新增cu、au、sc交易限额</t>
  </si>
  <si>
    <t>20240412交易时起生效</t>
  </si>
  <si>
    <t>调整bc,cu,al,au,ag交易所保证金标准及涨跌停板幅度</t>
  </si>
  <si>
    <t>20240417结算时起生效</t>
  </si>
  <si>
    <t>调整SH与PX交易所保证金标准及涨跌停板幅度
调整ec与lc公司加收保证金标准</t>
  </si>
  <si>
    <t>20240408结算时起生效</t>
  </si>
  <si>
    <t>新增UR406-UR409交易限额</t>
  </si>
  <si>
    <t>20240424交易时起生效</t>
  </si>
  <si>
    <t>新增i2409、ec2504交易限额</t>
  </si>
  <si>
    <t>20240426交易时起生效</t>
  </si>
  <si>
    <t>新增SM2406-2409交易限额</t>
  </si>
  <si>
    <t>20240514交易时起生效</t>
  </si>
  <si>
    <t>新增bb交易限额</t>
  </si>
  <si>
    <t>更新cu,al,zn,pb,sn,ao,fu,bc,sc,SM,fb,bb的公司保证金加收</t>
  </si>
  <si>
    <t>20240515结算时起生效</t>
  </si>
  <si>
    <t>新增SM409最小下单手数</t>
  </si>
  <si>
    <t>20240516交易时起生效</t>
  </si>
  <si>
    <t>持仓限额</t>
  </si>
  <si>
    <t>调整b2412及之后合约交易所梯度限仓</t>
  </si>
  <si>
    <t>20240520结算时起生效</t>
  </si>
  <si>
    <t>调整l2412及之后合约交易所梯度限仓</t>
  </si>
  <si>
    <t>更新au,ag的保证金和涨跌停板幅度</t>
  </si>
  <si>
    <t>20240523结算时起生效</t>
  </si>
  <si>
    <t>申报费</t>
  </si>
  <si>
    <t>更新各交易所申报费</t>
  </si>
  <si>
    <t>20240603交易时起生效
国债20240701交易时起生效</t>
  </si>
  <si>
    <t>更新SM部分合约的保证金和涨跌停板幅度</t>
  </si>
  <si>
    <t>20240604结算时起生效</t>
  </si>
  <si>
    <t>更新si合约的保证金和涨跌停板幅度</t>
  </si>
  <si>
    <t>20240606结算时起生效</t>
  </si>
  <si>
    <t>新增对二甲苯及烧碱的交割规则</t>
  </si>
  <si>
    <t>新增股指期货申报费规则表述</t>
  </si>
  <si>
    <t>《交易所交割业务审核时间点》更新</t>
  </si>
  <si>
    <t>新增玻璃期权、红枣期权</t>
  </si>
  <si>
    <t>更新UR部分合约的保证金和涨跌停板幅度</t>
  </si>
  <si>
    <t>20240621结算时起生效</t>
  </si>
  <si>
    <t>保证金及涨跌停板幅度表、交易限额</t>
  </si>
  <si>
    <t>更新ec2502-2506合约保证金、涨跌停板幅度及ec2506交易限额</t>
  </si>
  <si>
    <t>20240624结算时起</t>
  </si>
  <si>
    <t>更新了中金所豁免异常交易的内容</t>
  </si>
  <si>
    <t>20240701生效</t>
  </si>
  <si>
    <t>更新pb、zn的保证金和涨跌停板幅度</t>
  </si>
  <si>
    <t>20240709结算时起生效</t>
  </si>
  <si>
    <t>更新RM部分合约的保证金和涨跌停板幅度</t>
  </si>
  <si>
    <t>20240722结算时起生效</t>
  </si>
  <si>
    <t>大商所、郑商所、广期所新增申报费品种</t>
  </si>
  <si>
    <t>20241025交易时生效</t>
  </si>
  <si>
    <t>上期所/能源中心/大商所/郑商所/广期所更新异常交易规则，取消FAK/FOK豁免异常交易的情形</t>
  </si>
  <si>
    <t>更新螺纹钢部分合约的保证金和涨跌停板幅度</t>
  </si>
  <si>
    <t>20240731结算时起生效</t>
  </si>
  <si>
    <t>更新菜粕2409合约保证金</t>
  </si>
  <si>
    <t>20240807结算时起生效</t>
  </si>
  <si>
    <t>更新纸浆、花生、棉纱、豆二、聚乙烯等品种的交割要素</t>
  </si>
  <si>
    <t>新增鸡蛋、玉米淀粉和生猪期权</t>
  </si>
  <si>
    <t>保证金及涨跌停板幅度表、交易限额、异常交易规则</t>
  </si>
  <si>
    <t>更新集运指数（欧线）期货新上市合约的保证金、涨跌停板幅度及交易限额</t>
  </si>
  <si>
    <t>2024年8月27日交易起</t>
  </si>
  <si>
    <t>保证金及涨跌停板幅度表等多张参数表</t>
  </si>
  <si>
    <t>新增瓶片合约参数、更新聚氯乙烯期权限仓</t>
  </si>
  <si>
    <t>新增铅期权、镍期权、锡期权、氧化铝期权参数</t>
  </si>
  <si>
    <t>更新棉纱2502之后合约保证金</t>
  </si>
  <si>
    <t>20240902结算时起生效</t>
  </si>
  <si>
    <t>上期所、能源中心修改期权申报费计算维度</t>
  </si>
  <si>
    <t>2024年10月25日交易时起</t>
  </si>
  <si>
    <t>更新原油期货保证金和涨跌停板幅度，菜粕、菜油、锰硅期货部分合约保证金和涨跌停板幅度</t>
  </si>
  <si>
    <t>20240918结算时起生效</t>
  </si>
  <si>
    <t>更新国庆假期后沥青、合成橡胶、燃料油、低硫燃料油保证金和涨跌停板幅度</t>
  </si>
  <si>
    <t>20241011结算时起生效</t>
  </si>
  <si>
    <t>更新氧化铝保证金和涨跌停板幅度</t>
  </si>
  <si>
    <t>20241017结算时起生效</t>
  </si>
  <si>
    <t>20241023结算时起生效</t>
  </si>
  <si>
    <t>20241029结算时起生效</t>
  </si>
  <si>
    <t>更新交易所套保业务审核时间点表格</t>
  </si>
  <si>
    <t>更新PX、SH两品种交割月持仓限额手数</t>
  </si>
  <si>
    <t>20241107交易时起生效</t>
  </si>
  <si>
    <t>更新郑商所硅铁、锰硅、烧碱及对二甲苯品种限仓规则</t>
  </si>
  <si>
    <t>新增原木期货、期权相关规则</t>
  </si>
  <si>
    <t>更新焦煤期货保证金及交易限额</t>
  </si>
  <si>
    <t>20241126交易时起生效</t>
  </si>
  <si>
    <t>更新广期所互换指令支持情况，新增上交所、深交所指令支持情况</t>
  </si>
  <si>
    <t>保证金及涨跌停板幅度表、限仓规则</t>
  </si>
  <si>
    <t>更新铁矿石保证金和涨跌停板幅度；更新铁矿石和棕榈油限仓规则</t>
  </si>
  <si>
    <t>20241206结算时起生效</t>
  </si>
  <si>
    <t>期货合约要素、保证金及涨跌停板幅度表、限仓规则</t>
  </si>
  <si>
    <t>更新广期所碳酸锂期货合约最小变动价位、保证金规则及限仓规则</t>
  </si>
  <si>
    <t>20241217结算时起生效</t>
  </si>
  <si>
    <t>更新苹果2501保证金和涨跌停板调整</t>
  </si>
  <si>
    <t>20241223结算时起生效</t>
  </si>
  <si>
    <t>更新苹果2503-2505保证金和涨跌停板调整</t>
  </si>
  <si>
    <t>20241225结算时起生效</t>
  </si>
  <si>
    <t>新增多晶硅期货、多晶硅期权、瓶片期权相关规则</t>
  </si>
  <si>
    <t>更新原木期货公司加收保证金率</t>
  </si>
  <si>
    <t>20241224结算时起生效</t>
  </si>
  <si>
    <t>期权行权、对冲规则</t>
  </si>
  <si>
    <t>调整期权自对冲、行权后自对冲、履约后自对冲业务</t>
  </si>
  <si>
    <t>20241231结算时起生效</t>
  </si>
  <si>
    <t>期货合约要素、限仓规则</t>
  </si>
  <si>
    <t>bb2509及后续合约交易规则改动</t>
  </si>
  <si>
    <t>bb2509及后续合约生效</t>
  </si>
  <si>
    <t>下调玻璃、纯碱等11个品种的公司保证金加收；</t>
  </si>
  <si>
    <t>20250205结算时起生效</t>
  </si>
  <si>
    <t>下调玻璃、纯碱、红枣、短纤、瓶片的交易所保证金率和涨跌停板幅度；下调多晶硅套保保证金率</t>
  </si>
  <si>
    <t>铁矿、双焦交割单位调整</t>
  </si>
  <si>
    <t>2604及后续合约生效</t>
  </si>
  <si>
    <t>更新大商所豆一、豆粕及豆油品种限仓规则</t>
  </si>
  <si>
    <t>2603及后续合约生效</t>
  </si>
  <si>
    <t>下调乙二醇、苯乙烯、液化石油气的交易所保证金率和涨跌停板幅度</t>
  </si>
  <si>
    <t>20250226结算时起生效</t>
  </si>
  <si>
    <t>期货、期权合约要素表</t>
  </si>
  <si>
    <t>增加上市时间、国际化品种、QFII&amp;RQFII交易品种</t>
  </si>
  <si>
    <t>期货、期权合约要素表、限仓规则、交易限额、交割规则</t>
  </si>
  <si>
    <t>增加品种代码</t>
  </si>
  <si>
    <t>下调氧化铝期货保证金及涨跌停板幅度</t>
  </si>
  <si>
    <t>20250311结算时起生效</t>
  </si>
  <si>
    <t>交易限额表</t>
  </si>
  <si>
    <t>增加菜粕2505-2601期货合约每笔最小开仓量</t>
  </si>
  <si>
    <t>20250311交易时起生效</t>
  </si>
  <si>
    <t>更新菜粕2505-2601期货合约保证金率</t>
  </si>
  <si>
    <t>20250312结算时起生效</t>
  </si>
  <si>
    <t>交易限额、异常交易规则</t>
  </si>
  <si>
    <t>提高工业硅期货各合约交易限额</t>
  </si>
  <si>
    <t>20250328交易时起生效</t>
  </si>
  <si>
    <t>下调氧化铝、工业硅、碳酸锂的交易所保证金率和涨跌停板幅度；上调菜粕RM505-603、菜油OI505-603、玻璃FG505的交易所保证金率和涨跌停板幅度</t>
  </si>
  <si>
    <t>20250407结算时起生效</t>
  </si>
  <si>
    <t>上调黄金、白银、沥青、燃料油、天然橡胶、原油、低硫燃料油的交易所保证金率和涨跌停板幅度</t>
  </si>
  <si>
    <t>20250410结算时起生效</t>
  </si>
  <si>
    <t>上调合成橡胶、20号胶的交易所保证金率和涨跌停板幅度</t>
  </si>
  <si>
    <t>20250411结算时起生效</t>
  </si>
  <si>
    <t>上调PTA、对二甲苯部分合约的交易所保证金率和涨跌停板幅度</t>
  </si>
  <si>
    <t>20250414结算时起生效</t>
  </si>
  <si>
    <t>夜盘品种不实行日盘集合竞价（夜盘交易中的未成交申报单，可以在同一交易日上午8：55至8：59之间撤单）。</t>
    <phoneticPr fontId="106" type="noConversion"/>
  </si>
  <si>
    <t>（一）组成每一保税标准仓单的20号胶的生产日期应当不超过连续30天。每一保税标准仓单20号胶的最早生产日期为该保税标准仓单的生产日期。20号胶保税标准仓单的有效期为自标识的生产月份起十二个月止。
（二）用于实物交割的20号胶应当在生产日期起90天内入库，超过90天入库的，不得用于生成保税标准仓单。
（三）入库生成标准仓单时的20号胶的检验报告自签发之日起180天内有效，在库商品的检验报告自签发之日起90天内有效。期满后，其相应的商品应当重新检验，合格后方可用于交割。对在库20号胶重新检验时，质量检验报告不合格的，保税标准仓单持有人对其商品质量承担全部责任，指定交割仓库有责任的除外。</t>
    <phoneticPr fontId="106" type="noConversion"/>
  </si>
  <si>
    <t>N年11月1日起接受红枣标准仓单注册，仓单有效期至N+1年9月份最后一个交易日（含该日）</t>
    <phoneticPr fontId="106" type="noConversion"/>
  </si>
  <si>
    <t>每年11月1日（遇国家法定节假日、休息日顺延）之前生成的仓单，其有效期限为生成之日起至当年12月31日，之后生成仓单，其有效期限为生成之日起至下一年度12月31日，超过期限的转作现货。</t>
    <phoneticPr fontId="10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</si>
</sst>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76" formatCode="0_ "/>
    <numFmt numFmtId="177" formatCode="0.0%"/>
    <numFmt numFmtId="178" formatCode="yyyy/m/d;@"/>
    <numFmt numFmtId="179" formatCode="0.0000_);[Red]\(0.0000\)"/>
  </numFmts>
  <fonts count="108">
    <font>
      <sz val="11"/>
      <color theme="1"/>
      <name val="等线"/>
      <charset val="134"/>
      <scheme val="minor"/>
    </font>
    <font>
      <sz val="11"/>
      <name val="等线"/>
      <charset val="134"/>
      <scheme val="minor"/>
    </font>
    <font>
      <sz val="11"/>
      <color theme="1"/>
      <name val="微软雅黑"/>
      <charset val="134"/>
    </font>
    <font>
      <b/>
      <u/>
      <sz val="20"/>
      <color rgb="FF1846F0"/>
      <name val="等线"/>
      <charset val="134"/>
      <scheme val="minor"/>
    </font>
    <font>
      <b/>
      <sz val="18"/>
      <color theme="0"/>
      <name val="微软雅黑"/>
      <charset val="134"/>
    </font>
    <font>
      <b/>
      <sz val="14"/>
      <color theme="0"/>
      <name val="微软雅黑"/>
      <charset val="134"/>
    </font>
    <font>
      <sz val="12"/>
      <color theme="1" tint="4.9470503860591451E-2"/>
      <name val="微软雅黑"/>
      <charset val="134"/>
    </font>
    <font>
      <sz val="12"/>
      <color theme="1"/>
      <name val="微软雅黑"/>
      <charset val="134"/>
    </font>
    <font>
      <sz val="11"/>
      <name val="微软雅黑"/>
      <charset val="134"/>
    </font>
    <font>
      <sz val="11"/>
      <color rgb="FFFF0000"/>
      <name val="微软雅黑"/>
      <charset val="134"/>
    </font>
    <font>
      <b/>
      <sz val="22"/>
      <color rgb="FFFFFFFF"/>
      <name val="微软雅黑"/>
      <charset val="134"/>
    </font>
    <font>
      <b/>
      <sz val="11"/>
      <color theme="0"/>
      <name val="微软雅黑"/>
      <charset val="134"/>
    </font>
    <font>
      <sz val="13"/>
      <name val="微软雅黑"/>
      <charset val="134"/>
    </font>
    <font>
      <sz val="13"/>
      <color theme="1"/>
      <name val="微软雅黑"/>
      <charset val="134"/>
    </font>
    <font>
      <b/>
      <sz val="22"/>
      <color theme="0"/>
      <name val="微软雅黑"/>
      <charset val="134"/>
    </font>
    <font>
      <sz val="12"/>
      <name val="微软雅黑"/>
      <charset val="134"/>
    </font>
    <font>
      <b/>
      <sz val="14"/>
      <color rgb="FFFFFFFF"/>
      <name val="微软雅黑"/>
      <charset val="134"/>
    </font>
    <font>
      <b/>
      <sz val="20"/>
      <color rgb="FFFFFFFF"/>
      <name val="Microsoft YaHei"/>
      <charset val="134"/>
    </font>
    <font>
      <b/>
      <sz val="14"/>
      <color theme="0"/>
      <name val="Microsoft YaHei"/>
      <charset val="134"/>
    </font>
    <font>
      <b/>
      <sz val="14"/>
      <color rgb="FFFFFFFF"/>
      <name val="Microsoft YaHei"/>
      <charset val="134"/>
    </font>
    <font>
      <b/>
      <sz val="12"/>
      <color rgb="FFFFFFFF"/>
      <name val="Microsoft YaHei"/>
      <charset val="134"/>
    </font>
    <font>
      <sz val="12"/>
      <name val="Microsoft YaHei"/>
      <charset val="134"/>
    </font>
    <font>
      <sz val="12"/>
      <name val="Microsoft YaHei UI"/>
      <charset val="134"/>
    </font>
    <font>
      <sz val="12"/>
      <color rgb="FF000000"/>
      <name val="Microsoft YaHei"/>
      <charset val="134"/>
    </font>
    <font>
      <b/>
      <sz val="14"/>
      <color theme="0"/>
      <name val="Microsoft YaHei UI"/>
      <charset val="134"/>
    </font>
    <font>
      <sz val="12"/>
      <color rgb="FF000000"/>
      <name val="微软雅黑"/>
      <charset val="134"/>
    </font>
    <font>
      <b/>
      <u/>
      <sz val="20"/>
      <color rgb="FF1846F0"/>
      <name val="微软雅黑"/>
      <charset val="134"/>
    </font>
    <font>
      <b/>
      <sz val="12"/>
      <name val="微软雅黑"/>
      <charset val="134"/>
    </font>
    <font>
      <sz val="12"/>
      <color rgb="FF333333"/>
      <name val="微软雅黑"/>
      <charset val="134"/>
    </font>
    <font>
      <b/>
      <sz val="11"/>
      <color theme="1"/>
      <name val="等线"/>
      <charset val="134"/>
      <scheme val="minor"/>
    </font>
    <font>
      <sz val="10"/>
      <color theme="1"/>
      <name val="等线"/>
      <charset val="134"/>
      <scheme val="minor"/>
    </font>
    <font>
      <b/>
      <sz val="12"/>
      <color theme="1"/>
      <name val="等线"/>
      <charset val="134"/>
      <scheme val="minor"/>
    </font>
    <font>
      <b/>
      <sz val="11"/>
      <color theme="1"/>
      <name val="宋体"/>
      <charset val="134"/>
    </font>
    <font>
      <sz val="12"/>
      <color theme="1"/>
      <name val="宋体"/>
      <charset val="134"/>
    </font>
    <font>
      <b/>
      <sz val="20"/>
      <color rgb="FFFFFFFF"/>
      <name val="微软雅黑"/>
      <charset val="134"/>
    </font>
    <font>
      <b/>
      <sz val="20"/>
      <color theme="0"/>
      <name val="微软雅黑"/>
      <charset val="134"/>
    </font>
    <font>
      <b/>
      <sz val="11"/>
      <color theme="1"/>
      <name val="微软雅黑"/>
      <charset val="134"/>
    </font>
    <font>
      <b/>
      <sz val="12"/>
      <color theme="1"/>
      <name val="微软雅黑"/>
      <charset val="134"/>
    </font>
    <font>
      <b/>
      <sz val="12"/>
      <color rgb="FFFF0000"/>
      <name val="微软雅黑"/>
      <charset val="134"/>
    </font>
    <font>
      <b/>
      <sz val="12"/>
      <color theme="0"/>
      <name val="微软雅黑"/>
      <charset val="134"/>
    </font>
    <font>
      <sz val="10"/>
      <color theme="1"/>
      <name val="微软雅黑"/>
      <charset val="134"/>
    </font>
    <font>
      <sz val="14"/>
      <color theme="1"/>
      <name val="微软雅黑"/>
      <charset val="134"/>
    </font>
    <font>
      <sz val="12"/>
      <color rgb="FF000000"/>
      <name val="Arial"/>
      <family val="2"/>
    </font>
    <font>
      <sz val="11"/>
      <color theme="1"/>
      <name val="宋体"/>
      <charset val="134"/>
    </font>
    <font>
      <b/>
      <sz val="12"/>
      <color theme="1"/>
      <name val="宋体"/>
      <charset val="134"/>
    </font>
    <font>
      <sz val="12"/>
      <name val="宋体"/>
      <charset val="134"/>
    </font>
    <font>
      <b/>
      <sz val="20"/>
      <color rgb="FFFFFFFF"/>
      <name val="等线"/>
      <charset val="134"/>
      <scheme val="minor"/>
    </font>
    <font>
      <b/>
      <sz val="12"/>
      <color rgb="FFFFFFFF"/>
      <name val="等线"/>
      <charset val="134"/>
      <scheme val="minor"/>
    </font>
    <font>
      <b/>
      <sz val="12"/>
      <color rgb="FF000000"/>
      <name val="等线"/>
      <charset val="134"/>
      <scheme val="minor"/>
    </font>
    <font>
      <sz val="12"/>
      <color rgb="FF000000"/>
      <name val="等线"/>
      <charset val="134"/>
      <scheme val="minor"/>
    </font>
    <font>
      <sz val="11"/>
      <color rgb="FF000000"/>
      <name val="等线"/>
      <charset val="134"/>
      <scheme val="minor"/>
    </font>
    <font>
      <b/>
      <sz val="12"/>
      <name val="宋体"/>
      <charset val="134"/>
    </font>
    <font>
      <sz val="18"/>
      <color theme="1"/>
      <name val="等线"/>
      <charset val="134"/>
      <scheme val="minor"/>
    </font>
    <font>
      <b/>
      <u/>
      <sz val="26"/>
      <color rgb="FF1846F0"/>
      <name val="等线"/>
      <charset val="134"/>
      <scheme val="minor"/>
    </font>
    <font>
      <b/>
      <sz val="20"/>
      <color rgb="FF000000"/>
      <name val="微软雅黑"/>
      <charset val="134"/>
    </font>
    <font>
      <b/>
      <sz val="16"/>
      <color theme="0"/>
      <name val="微软雅黑"/>
      <charset val="134"/>
    </font>
    <font>
      <b/>
      <sz val="16"/>
      <color theme="1"/>
      <name val="微软雅黑"/>
      <charset val="134"/>
    </font>
    <font>
      <b/>
      <sz val="16"/>
      <name val="微软雅黑"/>
      <charset val="134"/>
    </font>
    <font>
      <sz val="16"/>
      <name val="微软雅黑"/>
      <charset val="134"/>
    </font>
    <font>
      <sz val="16"/>
      <color theme="1"/>
      <name val="微软雅黑"/>
      <charset val="134"/>
    </font>
    <font>
      <sz val="18"/>
      <name val="微软雅黑"/>
      <charset val="134"/>
    </font>
    <font>
      <sz val="16"/>
      <color rgb="FF333333"/>
      <name val="微软雅黑"/>
      <charset val="134"/>
    </font>
    <font>
      <sz val="12"/>
      <color rgb="FFFF0000"/>
      <name val="微软雅黑"/>
      <charset val="134"/>
    </font>
    <font>
      <b/>
      <sz val="13"/>
      <color theme="0"/>
      <name val="微软雅黑"/>
      <charset val="134"/>
    </font>
    <font>
      <b/>
      <sz val="11"/>
      <name val="微软雅黑"/>
      <charset val="134"/>
    </font>
    <font>
      <b/>
      <sz val="11"/>
      <color rgb="FFFF0000"/>
      <name val="微软雅黑"/>
      <charset val="134"/>
    </font>
    <font>
      <sz val="11"/>
      <color rgb="FF000000"/>
      <name val="微软雅黑"/>
      <charset val="134"/>
    </font>
    <font>
      <b/>
      <u/>
      <sz val="20"/>
      <color rgb="FFFFFFFF"/>
      <name val="微软雅黑"/>
      <charset val="134"/>
    </font>
    <font>
      <b/>
      <u/>
      <sz val="20"/>
      <color theme="0"/>
      <name val="微软雅黑"/>
      <charset val="134"/>
    </font>
    <font>
      <sz val="10.5"/>
      <name val="微软雅黑"/>
      <charset val="134"/>
    </font>
    <font>
      <sz val="10.5"/>
      <name val="等线"/>
      <charset val="134"/>
      <scheme val="minor"/>
    </font>
    <font>
      <sz val="11"/>
      <color theme="0"/>
      <name val="微软雅黑"/>
      <charset val="134"/>
    </font>
    <font>
      <b/>
      <sz val="11"/>
      <color rgb="FFFFFFFF"/>
      <name val="微软雅黑"/>
      <charset val="134"/>
    </font>
    <font>
      <sz val="11"/>
      <color rgb="FFD56409"/>
      <name val="微软雅黑"/>
      <charset val="134"/>
    </font>
    <font>
      <b/>
      <sz val="11"/>
      <color rgb="FF000000"/>
      <name val="微软雅黑"/>
      <charset val="134"/>
    </font>
    <font>
      <b/>
      <sz val="14"/>
      <color rgb="FF000000"/>
      <name val="微软雅黑"/>
      <charset val="134"/>
    </font>
    <font>
      <sz val="11"/>
      <color theme="7" tint="-0.249977111117893"/>
      <name val="微软雅黑"/>
      <charset val="134"/>
    </font>
    <font>
      <sz val="11"/>
      <color theme="8"/>
      <name val="微软雅黑"/>
      <charset val="134"/>
    </font>
    <font>
      <sz val="10"/>
      <color rgb="FFD56409"/>
      <name val="微软雅黑"/>
      <charset val="134"/>
    </font>
    <font>
      <sz val="11"/>
      <color rgb="FFFFFFFF"/>
      <name val="微软雅黑"/>
      <charset val="134"/>
    </font>
    <font>
      <sz val="10"/>
      <color rgb="FFFFFFFF"/>
      <name val="微软雅黑"/>
      <charset val="134"/>
    </font>
    <font>
      <sz val="11"/>
      <color theme="4"/>
      <name val="微软雅黑"/>
      <charset val="134"/>
    </font>
    <font>
      <sz val="10"/>
      <color rgb="FF000000"/>
      <name val="微软雅黑"/>
      <charset val="134"/>
    </font>
    <font>
      <sz val="6"/>
      <color rgb="FF000000"/>
      <name val="微软雅黑"/>
      <charset val="134"/>
    </font>
    <font>
      <sz val="11"/>
      <color rgb="FFFF0000"/>
      <name val="等线"/>
      <charset val="134"/>
      <scheme val="minor"/>
    </font>
    <font>
      <sz val="11"/>
      <color rgb="FF212121"/>
      <name val="微软雅黑"/>
      <charset val="134"/>
    </font>
    <font>
      <b/>
      <sz val="14"/>
      <color rgb="FFFF0000"/>
      <name val="微软雅黑"/>
      <charset val="134"/>
    </font>
    <font>
      <u/>
      <sz val="12"/>
      <color theme="1"/>
      <name val="微软雅黑"/>
      <charset val="134"/>
    </font>
    <font>
      <sz val="11"/>
      <color rgb="FF1450B8"/>
      <name val="等线"/>
      <charset val="134"/>
    </font>
    <font>
      <sz val="11"/>
      <color rgb="FF1846F0"/>
      <name val="等线"/>
      <charset val="134"/>
    </font>
    <font>
      <u/>
      <sz val="12"/>
      <name val="微软雅黑"/>
      <charset val="134"/>
    </font>
    <font>
      <sz val="11"/>
      <color theme="1"/>
      <name val="等线"/>
      <charset val="134"/>
      <scheme val="minor"/>
    </font>
    <font>
      <sz val="20"/>
      <color indexed="8"/>
      <name val="宋体"/>
      <charset val="134"/>
    </font>
    <font>
      <sz val="20"/>
      <color indexed="8"/>
      <name val="微软雅黑"/>
      <charset val="134"/>
    </font>
    <font>
      <sz val="24"/>
      <color indexed="10"/>
      <name val="微软雅黑"/>
      <charset val="134"/>
    </font>
    <font>
      <sz val="12"/>
      <color indexed="8"/>
      <name val="微软雅黑"/>
      <charset val="134"/>
    </font>
    <font>
      <b/>
      <sz val="12"/>
      <color indexed="9"/>
      <name val="微软雅黑"/>
      <charset val="134"/>
    </font>
    <font>
      <sz val="11"/>
      <color indexed="9"/>
      <name val="微软雅黑"/>
      <charset val="134"/>
    </font>
    <font>
      <sz val="12"/>
      <color rgb="FFC00000"/>
      <name val="Arial"/>
      <family val="2"/>
    </font>
    <font>
      <sz val="16"/>
      <color indexed="8"/>
      <name val="微软雅黑"/>
      <charset val="134"/>
    </font>
    <font>
      <sz val="16"/>
      <color indexed="63"/>
      <name val="微软雅黑"/>
      <charset val="134"/>
    </font>
    <font>
      <sz val="11"/>
      <color indexed="8"/>
      <name val="微软雅黑"/>
      <charset val="134"/>
    </font>
    <font>
      <sz val="16"/>
      <color rgb="FFFF0000"/>
      <name val="微软雅黑"/>
      <charset val="134"/>
    </font>
    <font>
      <sz val="10"/>
      <name val="微软雅黑"/>
      <charset val="134"/>
    </font>
    <font>
      <b/>
      <sz val="12"/>
      <name val="Microsoft YaHei"/>
      <charset val="134"/>
    </font>
    <font>
      <u/>
      <sz val="16"/>
      <name val="微软雅黑"/>
      <charset val="134"/>
    </font>
    <font>
      <sz val="9"/>
      <name val="等线"/>
      <charset val="134"/>
      <scheme val="minor"/>
    </font>
    <font>
      <sz val="12"/>
      <color theme="1"/>
      <name val="微软雅黑"/>
      <family val="2"/>
      <charset val="134"/>
    </font>
  </fonts>
  <fills count="52">
    <fill>
      <patternFill patternType="none"/>
    </fill>
    <fill>
      <patternFill patternType="gray125"/>
    </fill>
    <fill>
      <patternFill patternType="solid">
        <fgColor theme="8" tint="-0.24994659260841701"/>
        <bgColor rgb="FF000000"/>
      </patternFill>
    </fill>
    <fill>
      <patternFill patternType="solid">
        <fgColor theme="4"/>
        <bgColor rgb="FF000000"/>
      </patternFill>
    </fill>
    <fill>
      <patternFill patternType="solid">
        <fgColor theme="8"/>
        <bgColor rgb="FF000000"/>
      </patternFill>
    </fill>
    <fill>
      <patternFill patternType="solid">
        <fgColor rgb="FF0070C0"/>
        <bgColor rgb="FF000000"/>
      </patternFill>
    </fill>
    <fill>
      <patternFill patternType="solid">
        <fgColor rgb="FF00B050"/>
        <bgColor rgb="FF000000"/>
      </patternFill>
    </fill>
    <fill>
      <patternFill patternType="solid">
        <fgColor theme="5"/>
        <bgColor rgb="FF000000"/>
      </patternFill>
    </fill>
    <fill>
      <patternFill patternType="solid">
        <fgColor rgb="FF7030A0"/>
        <bgColor rgb="FF000000"/>
      </patternFill>
    </fill>
    <fill>
      <patternFill patternType="solid">
        <fgColor theme="7"/>
        <bgColor rgb="FF000000"/>
      </patternFill>
    </fill>
    <fill>
      <patternFill patternType="solid">
        <fgColor theme="8" tint="0.39921262245551925"/>
        <bgColor rgb="FF000000"/>
      </patternFill>
    </fill>
    <fill>
      <patternFill patternType="solid">
        <fgColor theme="0"/>
        <bgColor rgb="FF000000"/>
      </patternFill>
    </fill>
    <fill>
      <patternFill patternType="solid">
        <fgColor rgb="FFF09056"/>
        <bgColor rgb="FF000000"/>
      </patternFill>
    </fill>
    <fill>
      <patternFill patternType="solid">
        <fgColor theme="5" tint="0.39921262245551925"/>
        <bgColor rgb="FF000000"/>
      </patternFill>
    </fill>
    <fill>
      <patternFill patternType="solid">
        <fgColor theme="9"/>
        <bgColor rgb="FF000000"/>
      </patternFill>
    </fill>
    <fill>
      <patternFill patternType="solid">
        <fgColor theme="9" tint="0.39921262245551925"/>
        <bgColor rgb="FF000000"/>
      </patternFill>
    </fill>
    <fill>
      <patternFill patternType="solid">
        <fgColor rgb="FFB889DC"/>
        <bgColor rgb="FF000000"/>
      </patternFill>
    </fill>
    <fill>
      <patternFill patternType="solid">
        <fgColor rgb="FFFFCB3D"/>
        <bgColor rgb="FF000000"/>
      </patternFill>
    </fill>
    <fill>
      <patternFill patternType="solid">
        <fgColor theme="4" tint="0.39976195562608724"/>
        <bgColor indexed="64"/>
      </patternFill>
    </fill>
    <fill>
      <patternFill patternType="solid">
        <fgColor theme="9" tint="0.39976195562608724"/>
        <bgColor indexed="64"/>
      </patternFill>
    </fill>
    <fill>
      <patternFill patternType="solid">
        <fgColor rgb="FF0070C0"/>
        <bgColor indexed="64"/>
      </patternFill>
    </fill>
    <fill>
      <patternFill patternType="solid">
        <fgColor rgb="FFF4AE84"/>
        <bgColor rgb="FF000000"/>
      </patternFill>
    </fill>
    <fill>
      <patternFill patternType="solid">
        <fgColor rgb="FFFFFFFF"/>
        <bgColor indexed="64"/>
      </patternFill>
    </fill>
    <fill>
      <patternFill patternType="solid">
        <fgColor rgb="FF9D5DCF"/>
        <bgColor rgb="FF000000"/>
      </patternFill>
    </fill>
    <fill>
      <patternFill patternType="solid">
        <fgColor rgb="FF00B050"/>
        <bgColor indexed="64"/>
      </patternFill>
    </fill>
    <fill>
      <patternFill patternType="solid">
        <fgColor theme="7"/>
        <bgColor indexed="64"/>
      </patternFill>
    </fill>
    <fill>
      <patternFill patternType="solid">
        <fgColor theme="8" tint="0.39942625202185128"/>
        <bgColor rgb="FF000000"/>
      </patternFill>
    </fill>
    <fill>
      <patternFill patternType="solid">
        <fgColor theme="4" tint="0.79970702230903046"/>
        <bgColor indexed="64"/>
      </patternFill>
    </fill>
    <fill>
      <patternFill patternType="solid">
        <fgColor theme="4" tint="0.79964598529007846"/>
        <bgColor indexed="64"/>
      </patternFill>
    </fill>
    <fill>
      <patternFill patternType="solid">
        <fgColor theme="4" tint="0.7993408001953185"/>
        <bgColor rgb="FF000000"/>
      </patternFill>
    </fill>
    <fill>
      <patternFill patternType="solid">
        <fgColor theme="0"/>
        <bgColor indexed="64"/>
      </patternFill>
    </fill>
    <fill>
      <patternFill patternType="solid">
        <fgColor rgb="FFDDEBF7"/>
        <bgColor indexed="64"/>
      </patternFill>
    </fill>
    <fill>
      <patternFill patternType="solid">
        <fgColor theme="5" tint="0.7993408001953185"/>
        <bgColor rgb="FF000000"/>
      </patternFill>
    </fill>
    <fill>
      <patternFill patternType="solid">
        <fgColor theme="4" tint="0.79961546678060247"/>
        <bgColor indexed="64"/>
      </patternFill>
    </fill>
    <fill>
      <patternFill patternType="solid">
        <fgColor rgb="FF2F75B5"/>
        <bgColor indexed="64"/>
      </patternFill>
    </fill>
    <fill>
      <patternFill patternType="solid">
        <fgColor rgb="FF5B9BD5"/>
        <bgColor indexed="64"/>
      </patternFill>
    </fill>
    <fill>
      <patternFill patternType="solid">
        <fgColor rgb="FFD9E1F2"/>
        <bgColor indexed="64"/>
      </patternFill>
    </fill>
    <fill>
      <patternFill patternType="solid">
        <fgColor rgb="FFFFFF00"/>
        <bgColor indexed="64"/>
      </patternFill>
    </fill>
    <fill>
      <patternFill patternType="solid">
        <fgColor theme="4" tint="0.59996337778862885"/>
        <bgColor rgb="FF000000"/>
      </patternFill>
    </fill>
    <fill>
      <patternFill patternType="solid">
        <fgColor theme="5" tint="0.7993408001953185"/>
        <bgColor rgb="FF000000"/>
      </patternFill>
    </fill>
    <fill>
      <patternFill patternType="solid">
        <fgColor theme="9" tint="-0.24994659260841701"/>
        <bgColor rgb="FF000000"/>
      </patternFill>
    </fill>
    <fill>
      <patternFill patternType="solid">
        <fgColor theme="9" tint="0.7993408001953185"/>
        <bgColor rgb="FF000000"/>
      </patternFill>
    </fill>
    <fill>
      <patternFill patternType="solid">
        <fgColor theme="0" tint="-0.14935758537553026"/>
        <bgColor rgb="FF000000"/>
      </patternFill>
    </fill>
    <fill>
      <patternFill patternType="solid">
        <fgColor rgb="FF4472C4"/>
        <bgColor rgb="FF000000"/>
      </patternFill>
    </fill>
    <fill>
      <patternFill patternType="solid">
        <fgColor rgb="FFFFC000"/>
        <bgColor rgb="FF000000"/>
      </patternFill>
    </fill>
    <fill>
      <patternFill patternType="solid">
        <fgColor theme="9" tint="0.7993408001953185"/>
        <bgColor rgb="FF000000"/>
      </patternFill>
    </fill>
    <fill>
      <patternFill patternType="solid">
        <fgColor rgb="FFF4E9CC"/>
        <bgColor rgb="FF000000"/>
      </patternFill>
    </fill>
    <fill>
      <patternFill patternType="solid">
        <fgColor theme="7" tint="0.7993408001953185"/>
        <bgColor rgb="FF000000"/>
      </patternFill>
    </fill>
    <fill>
      <patternFill patternType="solid">
        <fgColor rgb="FFFDD5CB"/>
        <bgColor rgb="FF000000"/>
      </patternFill>
    </fill>
    <fill>
      <patternFill patternType="solid">
        <fgColor theme="0" tint="-0.14920499282815028"/>
        <bgColor rgb="FF000000"/>
      </patternFill>
    </fill>
    <fill>
      <patternFill patternType="solid">
        <fgColor theme="8"/>
        <bgColor indexed="64"/>
      </patternFill>
    </fill>
    <fill>
      <patternFill patternType="solid">
        <fgColor rgb="FFDADDE1"/>
        <bgColor rgb="FF000000"/>
      </patternFill>
    </fill>
  </fills>
  <borders count="156">
    <border>
      <left/>
      <right/>
      <top/>
      <bottom/>
      <diagonal/>
    </border>
    <border>
      <left style="thin">
        <color auto="1"/>
      </left>
      <right style="thin">
        <color auto="1"/>
      </right>
      <top style="thin">
        <color auto="1"/>
      </top>
      <bottom style="thin">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top style="thin">
        <color auto="1"/>
      </top>
      <bottom style="medium">
        <color auto="1"/>
      </bottom>
      <diagonal/>
    </border>
    <border>
      <left/>
      <right/>
      <top style="thin">
        <color auto="1"/>
      </top>
      <bottom style="medium">
        <color auto="1"/>
      </bottom>
      <diagonal/>
    </border>
    <border>
      <left/>
      <right style="thin">
        <color auto="1"/>
      </right>
      <top style="thin">
        <color auto="1"/>
      </top>
      <bottom style="medium">
        <color auto="1"/>
      </bottom>
      <diagonal/>
    </border>
    <border>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diagonal/>
    </border>
    <border>
      <left style="thin">
        <color auto="1"/>
      </left>
      <right/>
      <top style="thin">
        <color auto="1"/>
      </top>
      <bottom/>
      <diagonal/>
    </border>
    <border>
      <left/>
      <right style="thin">
        <color auto="1"/>
      </right>
      <top style="thin">
        <color auto="1"/>
      </top>
      <bottom/>
      <diagonal/>
    </border>
    <border>
      <left style="medium">
        <color auto="1"/>
      </left>
      <right style="thin">
        <color rgb="FF000000"/>
      </right>
      <top style="medium">
        <color auto="1"/>
      </top>
      <bottom style="thin">
        <color rgb="FF000000"/>
      </bottom>
      <diagonal/>
    </border>
    <border>
      <left style="thin">
        <color rgb="FF000000"/>
      </left>
      <right style="thin">
        <color rgb="FF000000"/>
      </right>
      <top style="medium">
        <color auto="1"/>
      </top>
      <bottom style="thin">
        <color rgb="FF000000"/>
      </bottom>
      <diagonal/>
    </border>
    <border>
      <left style="thin">
        <color rgb="FF000000"/>
      </left>
      <right style="medium">
        <color auto="1"/>
      </right>
      <top style="medium">
        <color auto="1"/>
      </top>
      <bottom style="thin">
        <color rgb="FF000000"/>
      </bottom>
      <diagonal/>
    </border>
    <border>
      <left style="medium">
        <color auto="1"/>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auto="1"/>
      </right>
      <top style="thin">
        <color rgb="FF000000"/>
      </top>
      <bottom style="thin">
        <color rgb="FF000000"/>
      </bottom>
      <diagonal/>
    </border>
    <border>
      <left style="medium">
        <color auto="1"/>
      </left>
      <right style="thin">
        <color rgb="FF000000"/>
      </right>
      <top style="thin">
        <color rgb="FF000000"/>
      </top>
      <bottom/>
      <diagonal/>
    </border>
    <border>
      <left style="thin">
        <color rgb="FF000000"/>
      </left>
      <right style="thin">
        <color rgb="FF000000"/>
      </right>
      <top style="thin">
        <color rgb="FF000000"/>
      </top>
      <bottom/>
      <diagonal/>
    </border>
    <border>
      <left style="medium">
        <color auto="1"/>
      </left>
      <right style="thin">
        <color rgb="FF000000"/>
      </right>
      <top/>
      <bottom/>
      <diagonal/>
    </border>
    <border>
      <left style="thin">
        <color rgb="FF000000"/>
      </left>
      <right style="thin">
        <color auto="1"/>
      </right>
      <top style="thin">
        <color rgb="FF000000"/>
      </top>
      <bottom style="thin">
        <color auto="1"/>
      </bottom>
      <diagonal/>
    </border>
    <border>
      <left style="thin">
        <color rgb="FF000000"/>
      </left>
      <right style="thin">
        <color rgb="FF000000"/>
      </right>
      <top/>
      <bottom/>
      <diagonal/>
    </border>
    <border>
      <left style="thin">
        <color rgb="FF000000"/>
      </left>
      <right style="thin">
        <color auto="1"/>
      </right>
      <top style="thin">
        <color auto="1"/>
      </top>
      <bottom style="thin">
        <color auto="1"/>
      </bottom>
      <diagonal/>
    </border>
    <border>
      <left style="medium">
        <color auto="1"/>
      </left>
      <right style="thin">
        <color rgb="FF000000"/>
      </right>
      <top/>
      <bottom style="thin">
        <color rgb="FF000000"/>
      </bottom>
      <diagonal/>
    </border>
    <border>
      <left style="thin">
        <color rgb="FF000000"/>
      </left>
      <right style="thin">
        <color auto="1"/>
      </right>
      <top style="thin">
        <color auto="1"/>
      </top>
      <bottom style="thin">
        <color rgb="FF000000"/>
      </bottom>
      <diagonal/>
    </border>
    <border>
      <left style="thin">
        <color rgb="FF000000"/>
      </left>
      <right style="thin">
        <color rgb="FF000000"/>
      </right>
      <top/>
      <bottom style="thin">
        <color rgb="FF000000"/>
      </bottom>
      <diagonal/>
    </border>
    <border>
      <left style="medium">
        <color auto="1"/>
      </left>
      <right style="thin">
        <color indexed="8"/>
      </right>
      <top style="thin">
        <color rgb="FF000000"/>
      </top>
      <bottom/>
      <diagonal/>
    </border>
    <border>
      <left style="thin">
        <color rgb="FF000000"/>
      </left>
      <right/>
      <top/>
      <bottom/>
      <diagonal/>
    </border>
    <border>
      <left style="thin">
        <color indexed="8"/>
      </left>
      <right style="medium">
        <color auto="1"/>
      </right>
      <top style="thin">
        <color rgb="FF000000"/>
      </top>
      <bottom/>
      <diagonal/>
    </border>
    <border>
      <left style="medium">
        <color auto="1"/>
      </left>
      <right style="thin">
        <color indexed="8"/>
      </right>
      <top/>
      <bottom/>
      <diagonal/>
    </border>
    <border>
      <left/>
      <right style="thin">
        <color rgb="FF000000"/>
      </right>
      <top style="thin">
        <color rgb="FF000000"/>
      </top>
      <bottom/>
      <diagonal/>
    </border>
    <border>
      <left style="thin">
        <color indexed="8"/>
      </left>
      <right style="medium">
        <color auto="1"/>
      </right>
      <top/>
      <bottom/>
      <diagonal/>
    </border>
    <border>
      <left/>
      <right style="thin">
        <color rgb="FF000000"/>
      </right>
      <top/>
      <bottom/>
      <diagonal/>
    </border>
    <border>
      <left/>
      <right style="thin">
        <color rgb="FF000000"/>
      </right>
      <top/>
      <bottom style="thin">
        <color rgb="FF000000"/>
      </bottom>
      <diagonal/>
    </border>
    <border>
      <left style="thin">
        <color rgb="FF000000"/>
      </left>
      <right style="thin">
        <color rgb="FF000000"/>
      </right>
      <top style="medium">
        <color auto="1"/>
      </top>
      <bottom/>
      <diagonal/>
    </border>
    <border>
      <left style="thin">
        <color auto="1"/>
      </left>
      <right style="medium">
        <color auto="1"/>
      </right>
      <top style="medium">
        <color auto="1"/>
      </top>
      <bottom style="thin">
        <color auto="1"/>
      </bottom>
      <diagonal/>
    </border>
    <border>
      <left style="thin">
        <color rgb="FF000000"/>
      </left>
      <right/>
      <top style="thin">
        <color rgb="FF000000"/>
      </top>
      <bottom style="thin">
        <color rgb="FF000000"/>
      </bottom>
      <diagonal/>
    </border>
    <border>
      <left style="thin">
        <color rgb="FF000000"/>
      </left>
      <right style="medium">
        <color auto="1"/>
      </right>
      <top style="thin">
        <color rgb="FF000000"/>
      </top>
      <bottom/>
      <diagonal/>
    </border>
    <border>
      <left/>
      <right/>
      <top style="thin">
        <color rgb="FF000000"/>
      </top>
      <bottom/>
      <diagonal/>
    </border>
    <border>
      <left style="thin">
        <color rgb="FF000000"/>
      </left>
      <right style="medium">
        <color auto="1"/>
      </right>
      <top/>
      <bottom/>
      <diagonal/>
    </border>
    <border>
      <left/>
      <right/>
      <top style="thin">
        <color auto="1"/>
      </top>
      <bottom/>
      <diagonal/>
    </border>
    <border>
      <left style="thin">
        <color auto="1"/>
      </left>
      <right style="medium">
        <color auto="1"/>
      </right>
      <top style="thin">
        <color auto="1"/>
      </top>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medium">
        <color auto="1"/>
      </left>
      <right style="thin">
        <color auto="1"/>
      </right>
      <top/>
      <bottom/>
      <diagonal/>
    </border>
    <border>
      <left style="thin">
        <color auto="1"/>
      </left>
      <right style="thin">
        <color auto="1"/>
      </right>
      <top/>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medium">
        <color auto="1"/>
      </left>
      <right style="thin">
        <color auto="1"/>
      </right>
      <top/>
      <bottom style="thin">
        <color auto="1"/>
      </bottom>
      <diagonal/>
    </border>
    <border>
      <left style="thin">
        <color auto="1"/>
      </left>
      <right style="medium">
        <color auto="1"/>
      </right>
      <top style="medium">
        <color auto="1"/>
      </top>
      <bottom/>
      <diagonal/>
    </border>
    <border>
      <left style="thin">
        <color auto="1"/>
      </left>
      <right style="medium">
        <color auto="1"/>
      </right>
      <top/>
      <bottom/>
      <diagonal/>
    </border>
    <border>
      <left style="thin">
        <color auto="1"/>
      </left>
      <right style="medium">
        <color auto="1"/>
      </right>
      <top/>
      <bottom style="medium">
        <color auto="1"/>
      </bottom>
      <diagonal/>
    </border>
    <border>
      <left/>
      <right style="medium">
        <color auto="1"/>
      </right>
      <top/>
      <bottom/>
      <diagonal/>
    </border>
    <border>
      <left style="thin">
        <color auto="1"/>
      </left>
      <right/>
      <top style="medium">
        <color auto="1"/>
      </top>
      <bottom style="thin">
        <color auto="1"/>
      </bottom>
      <diagonal/>
    </border>
    <border>
      <left style="thin">
        <color auto="1"/>
      </left>
      <right/>
      <top/>
      <bottom style="thin">
        <color auto="1"/>
      </bottom>
      <diagonal/>
    </border>
    <border>
      <left style="thin">
        <color auto="1"/>
      </left>
      <right style="medium">
        <color auto="1"/>
      </right>
      <top/>
      <bottom style="thin">
        <color auto="1"/>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right/>
      <top/>
      <bottom style="thin">
        <color auto="1"/>
      </bottom>
      <diagonal/>
    </border>
    <border>
      <left style="thin">
        <color auto="1"/>
      </left>
      <right/>
      <top/>
      <bottom/>
      <diagonal/>
    </border>
    <border>
      <left/>
      <right style="thin">
        <color auto="1"/>
      </right>
      <top/>
      <bottom style="thin">
        <color auto="1"/>
      </bottom>
      <diagonal/>
    </border>
    <border>
      <left/>
      <right style="medium">
        <color auto="1"/>
      </right>
      <top style="thin">
        <color auto="1"/>
      </top>
      <bottom style="medium">
        <color auto="1"/>
      </bottom>
      <diagonal/>
    </border>
    <border>
      <left/>
      <right style="thin">
        <color auto="1"/>
      </right>
      <top/>
      <bottom style="medium">
        <color auto="1"/>
      </bottom>
      <diagonal/>
    </border>
    <border>
      <left style="medium">
        <color auto="1"/>
      </left>
      <right style="thin">
        <color auto="1"/>
      </right>
      <top style="medium">
        <color auto="1"/>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thin">
        <color auto="1"/>
      </right>
      <top/>
      <bottom style="thin">
        <color auto="1"/>
      </bottom>
      <diagonal/>
    </border>
    <border>
      <left style="medium">
        <color rgb="FF000000"/>
      </left>
      <right style="thin">
        <color auto="1"/>
      </right>
      <top style="thin">
        <color auto="1"/>
      </top>
      <bottom style="thin">
        <color auto="1"/>
      </bottom>
      <diagonal/>
    </border>
    <border>
      <left style="medium">
        <color rgb="FF000000"/>
      </left>
      <right style="thin">
        <color auto="1"/>
      </right>
      <top style="thin">
        <color auto="1"/>
      </top>
      <bottom/>
      <diagonal/>
    </border>
    <border>
      <left style="medium">
        <color rgb="FF000000"/>
      </left>
      <right style="thin">
        <color auto="1"/>
      </right>
      <top/>
      <bottom/>
      <diagonal/>
    </border>
    <border>
      <left style="thin">
        <color rgb="FF000000"/>
      </left>
      <right/>
      <top style="thin">
        <color rgb="FF000000"/>
      </top>
      <bottom/>
      <diagonal/>
    </border>
    <border>
      <left style="medium">
        <color rgb="FF000000"/>
      </left>
      <right style="thin">
        <color auto="1"/>
      </right>
      <top/>
      <bottom style="medium">
        <color rgb="FF000000"/>
      </bottom>
      <diagonal/>
    </border>
    <border>
      <left style="thin">
        <color auto="1"/>
      </left>
      <right style="thin">
        <color auto="1"/>
      </right>
      <top style="thin">
        <color auto="1"/>
      </top>
      <bottom style="medium">
        <color rgb="FF000000"/>
      </bottom>
      <diagonal/>
    </border>
    <border>
      <left style="thin">
        <color auto="1"/>
      </left>
      <right style="thin">
        <color auto="1"/>
      </right>
      <top/>
      <bottom style="medium">
        <color rgb="FF000000"/>
      </bottom>
      <diagonal/>
    </border>
    <border>
      <left/>
      <right style="medium">
        <color rgb="FF000000"/>
      </right>
      <top style="medium">
        <color rgb="FF000000"/>
      </top>
      <bottom style="medium">
        <color rgb="FF000000"/>
      </bottom>
      <diagonal/>
    </border>
    <border>
      <left style="thin">
        <color rgb="FF000000"/>
      </left>
      <right style="medium">
        <color rgb="FF000000"/>
      </right>
      <top/>
      <bottom style="thin">
        <color rgb="FF000000"/>
      </bottom>
      <diagonal/>
    </border>
    <border>
      <left style="thin">
        <color rgb="FF000000"/>
      </left>
      <right style="medium">
        <color rgb="FF000000"/>
      </right>
      <top style="thin">
        <color rgb="FF000000"/>
      </top>
      <bottom/>
      <diagonal/>
    </border>
    <border>
      <left style="thin">
        <color auto="1"/>
      </left>
      <right style="thin">
        <color rgb="FF000000"/>
      </right>
      <top style="thin">
        <color auto="1"/>
      </top>
      <bottom/>
      <diagonal/>
    </border>
    <border>
      <left style="thin">
        <color auto="1"/>
      </left>
      <right style="thin">
        <color rgb="FF000000"/>
      </right>
      <top/>
      <bottom/>
      <diagonal/>
    </border>
    <border>
      <left style="thin">
        <color rgb="FF000000"/>
      </left>
      <right style="medium">
        <color rgb="FF000000"/>
      </right>
      <top/>
      <bottom/>
      <diagonal/>
    </border>
    <border>
      <left style="thin">
        <color auto="1"/>
      </left>
      <right style="medium">
        <color rgb="FF000000"/>
      </right>
      <top style="thin">
        <color rgb="FF000000"/>
      </top>
      <bottom/>
      <diagonal/>
    </border>
    <border>
      <left style="thin">
        <color auto="1"/>
      </left>
      <right style="medium">
        <color rgb="FF000000"/>
      </right>
      <top/>
      <bottom/>
      <diagonal/>
    </border>
    <border>
      <left/>
      <right style="medium">
        <color rgb="FF000000"/>
      </right>
      <top style="thin">
        <color rgb="FF000000"/>
      </top>
      <bottom style="thin">
        <color rgb="FF000000"/>
      </bottom>
      <diagonal/>
    </border>
    <border>
      <left/>
      <right style="medium">
        <color rgb="FF000000"/>
      </right>
      <top style="thin">
        <color rgb="FF000000"/>
      </top>
      <bottom/>
      <diagonal/>
    </border>
    <border>
      <left/>
      <right style="medium">
        <color rgb="FF000000"/>
      </right>
      <top/>
      <bottom/>
      <diagonal/>
    </border>
    <border>
      <left style="thin">
        <color auto="1"/>
      </left>
      <right/>
      <top style="thin">
        <color auto="1"/>
      </top>
      <bottom style="medium">
        <color rgb="FF000000"/>
      </bottom>
      <diagonal/>
    </border>
    <border>
      <left style="thin">
        <color rgb="FF000000"/>
      </left>
      <right style="medium">
        <color rgb="FF000000"/>
      </right>
      <top/>
      <bottom style="medium">
        <color rgb="FF000000"/>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style="medium">
        <color auto="1"/>
      </right>
      <top style="medium">
        <color auto="1"/>
      </top>
      <bottom style="medium">
        <color auto="1"/>
      </bottom>
      <diagonal/>
    </border>
    <border>
      <left style="medium">
        <color auto="1"/>
      </left>
      <right/>
      <top/>
      <bottom/>
      <diagonal/>
    </border>
    <border>
      <left style="medium">
        <color auto="1"/>
      </left>
      <right style="thin">
        <color rgb="FF000000"/>
      </right>
      <top style="medium">
        <color auto="1"/>
      </top>
      <bottom/>
      <diagonal/>
    </border>
    <border>
      <left style="medium">
        <color auto="1"/>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style="thin">
        <color auto="1"/>
      </left>
      <right/>
      <top/>
      <bottom style="medium">
        <color auto="1"/>
      </bottom>
      <diagonal/>
    </border>
    <border>
      <left style="thin">
        <color rgb="FF000000"/>
      </left>
      <right/>
      <top style="medium">
        <color auto="1"/>
      </top>
      <bottom style="thin">
        <color rgb="FF000000"/>
      </bottom>
      <diagonal/>
    </border>
    <border>
      <left style="thin">
        <color rgb="FF000000"/>
      </left>
      <right/>
      <top style="thin">
        <color rgb="FF000000"/>
      </top>
      <bottom style="thin">
        <color auto="1"/>
      </bottom>
      <diagonal/>
    </border>
    <border>
      <left/>
      <right/>
      <top style="medium">
        <color auto="1"/>
      </top>
      <bottom style="thin">
        <color rgb="FF000000"/>
      </bottom>
      <diagonal/>
    </border>
    <border>
      <left/>
      <right style="medium">
        <color auto="1"/>
      </right>
      <top style="medium">
        <color auto="1"/>
      </top>
      <bottom style="thin">
        <color rgb="FF000000"/>
      </bottom>
      <diagonal/>
    </border>
    <border>
      <left/>
      <right style="medium">
        <color auto="1"/>
      </right>
      <top style="thin">
        <color rgb="FF000000"/>
      </top>
      <bottom style="thin">
        <color auto="1"/>
      </bottom>
      <diagonal/>
    </border>
    <border>
      <left/>
      <right style="thin">
        <color rgb="FF000000"/>
      </right>
      <top style="thin">
        <color rgb="FF000000"/>
      </top>
      <bottom style="thin">
        <color auto="1"/>
      </bottom>
      <diagonal/>
    </border>
    <border>
      <left/>
      <right style="thin">
        <color auto="1"/>
      </right>
      <top style="thin">
        <color rgb="FF000000"/>
      </top>
      <bottom style="thin">
        <color auto="1"/>
      </bottom>
      <diagonal/>
    </border>
    <border>
      <left style="thin">
        <color rgb="FF000000"/>
      </left>
      <right style="thin">
        <color rgb="FF000000"/>
      </right>
      <top style="thin">
        <color rgb="FF000000"/>
      </top>
      <bottom style="thin">
        <color auto="1"/>
      </bottom>
      <diagonal/>
    </border>
    <border>
      <left style="thin">
        <color rgb="FF000000"/>
      </left>
      <right style="thin">
        <color rgb="FF000000"/>
      </right>
      <top style="thin">
        <color auto="1"/>
      </top>
      <bottom style="thin">
        <color auto="1"/>
      </bottom>
      <diagonal/>
    </border>
    <border>
      <left style="thin">
        <color rgb="FF000000"/>
      </left>
      <right style="thin">
        <color rgb="FF000000"/>
      </right>
      <top style="thin">
        <color rgb="FF000000"/>
      </top>
      <bottom style="medium">
        <color auto="1"/>
      </bottom>
      <diagonal/>
    </border>
    <border>
      <left style="thin">
        <color rgb="FF000000"/>
      </left>
      <right/>
      <top/>
      <bottom style="thin">
        <color rgb="FF000000"/>
      </bottom>
      <diagonal/>
    </border>
    <border>
      <left style="medium">
        <color auto="1"/>
      </left>
      <right style="thin">
        <color rgb="FF000000"/>
      </right>
      <top style="thin">
        <color rgb="FF000000"/>
      </top>
      <bottom style="medium">
        <color auto="1"/>
      </bottom>
      <diagonal/>
    </border>
    <border>
      <left style="thin">
        <color rgb="FF000000"/>
      </left>
      <right style="thin">
        <color rgb="FF000000"/>
      </right>
      <top/>
      <bottom style="medium">
        <color auto="1"/>
      </bottom>
      <diagonal/>
    </border>
    <border>
      <left style="thin">
        <color rgb="FF000000"/>
      </left>
      <right/>
      <top/>
      <bottom style="medium">
        <color auto="1"/>
      </bottom>
      <diagonal/>
    </border>
    <border>
      <left style="thin">
        <color auto="1"/>
      </left>
      <right/>
      <top style="medium">
        <color auto="1"/>
      </top>
      <bottom/>
      <diagonal/>
    </border>
    <border>
      <left/>
      <right style="thin">
        <color auto="1"/>
      </right>
      <top style="medium">
        <color auto="1"/>
      </top>
      <bottom/>
      <diagonal/>
    </border>
    <border>
      <left style="thin">
        <color auto="1"/>
      </left>
      <right style="thin">
        <color rgb="FF000000"/>
      </right>
      <top style="thin">
        <color auto="1"/>
      </top>
      <bottom style="thin">
        <color auto="1"/>
      </bottom>
      <diagonal/>
    </border>
    <border>
      <left style="thin">
        <color auto="1"/>
      </left>
      <right/>
      <top style="thin">
        <color rgb="FF000000"/>
      </top>
      <bottom style="thin">
        <color auto="1"/>
      </bottom>
      <diagonal/>
    </border>
    <border>
      <left style="thin">
        <color rgb="FF000000"/>
      </left>
      <right/>
      <top style="thin">
        <color auto="1"/>
      </top>
      <bottom style="thin">
        <color rgb="FF000000"/>
      </bottom>
      <diagonal/>
    </border>
    <border>
      <left style="thin">
        <color rgb="FF000000"/>
      </left>
      <right/>
      <top style="thin">
        <color rgb="FF000000"/>
      </top>
      <bottom style="medium">
        <color auto="1"/>
      </bottom>
      <diagonal/>
    </border>
    <border>
      <left/>
      <right style="thin">
        <color auto="1"/>
      </right>
      <top style="medium">
        <color auto="1"/>
      </top>
      <bottom style="thin">
        <color auto="1"/>
      </bottom>
      <diagonal/>
    </border>
    <border>
      <left/>
      <right style="medium">
        <color auto="1"/>
      </right>
      <top style="thin">
        <color rgb="FF000000"/>
      </top>
      <bottom style="thin">
        <color rgb="FF000000"/>
      </bottom>
      <diagonal/>
    </border>
    <border>
      <left style="thin">
        <color rgb="FF000000"/>
      </left>
      <right style="medium">
        <color auto="1"/>
      </right>
      <top style="thin">
        <color rgb="FF000000"/>
      </top>
      <bottom style="medium">
        <color auto="1"/>
      </bottom>
      <diagonal/>
    </border>
    <border>
      <left/>
      <right style="thin">
        <color auto="1"/>
      </right>
      <top style="thin">
        <color rgb="FF000000"/>
      </top>
      <bottom style="thin">
        <color rgb="FF000000"/>
      </bottom>
      <diagonal/>
    </border>
    <border>
      <left style="thin">
        <color auto="1"/>
      </left>
      <right/>
      <top style="thin">
        <color rgb="FF000000"/>
      </top>
      <bottom/>
      <diagonal/>
    </border>
    <border>
      <left/>
      <right style="medium">
        <color auto="1"/>
      </right>
      <top style="thin">
        <color rgb="FF000000"/>
      </top>
      <bottom/>
      <diagonal/>
    </border>
    <border>
      <left/>
      <right style="thin">
        <color rgb="FF000000"/>
      </right>
      <top style="thin">
        <color auto="1"/>
      </top>
      <bottom style="thin">
        <color rgb="FF000000"/>
      </bottom>
      <diagonal/>
    </border>
    <border>
      <left/>
      <right style="thin">
        <color rgb="FF000000"/>
      </right>
      <top style="thin">
        <color rgb="FF000000"/>
      </top>
      <bottom style="medium">
        <color auto="1"/>
      </bottom>
      <diagonal/>
    </border>
    <border>
      <left/>
      <right style="thin">
        <color rgb="FF000000"/>
      </right>
      <top/>
      <bottom style="medium">
        <color auto="1"/>
      </bottom>
      <diagonal/>
    </border>
    <border>
      <left/>
      <right style="medium">
        <color auto="1"/>
      </right>
      <top style="thin">
        <color auto="1"/>
      </top>
      <bottom/>
      <diagonal/>
    </border>
    <border>
      <left/>
      <right style="medium">
        <color auto="1"/>
      </right>
      <top/>
      <bottom style="thin">
        <color auto="1"/>
      </bottom>
      <diagonal/>
    </border>
    <border>
      <left style="medium">
        <color auto="1"/>
      </left>
      <right/>
      <top style="thin">
        <color auto="1"/>
      </top>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top style="thin">
        <color auto="1"/>
      </top>
      <bottom style="medium">
        <color auto="1"/>
      </bottom>
      <diagonal/>
    </border>
    <border>
      <left/>
      <right style="thin">
        <color auto="1"/>
      </right>
      <top/>
      <bottom/>
      <diagonal/>
    </border>
  </borders>
  <cellStyleXfs count="2">
    <xf numFmtId="0" fontId="0" fillId="0" borderId="0">
      <alignment vertical="center"/>
    </xf>
    <xf numFmtId="0" fontId="91" fillId="0" borderId="0">
      <alignment vertical="center"/>
    </xf>
  </cellStyleXfs>
  <cellXfs count="1283">
    <xf numFmtId="0" fontId="0" fillId="0" borderId="0" xfId="0">
      <alignment vertical="center"/>
    </xf>
    <xf numFmtId="0" fontId="1" fillId="0" borderId="0" xfId="0" applyFont="1" applyAlignment="1">
      <alignment vertical="center" wrapText="1"/>
    </xf>
    <xf numFmtId="0" fontId="2" fillId="0" borderId="0" xfId="0" applyFont="1" applyAlignment="1">
      <alignment vertical="center" wrapText="1"/>
    </xf>
    <xf numFmtId="0" fontId="0" fillId="0" borderId="0" xfId="0" applyAlignment="1">
      <alignment vertical="center" wrapText="1"/>
    </xf>
    <xf numFmtId="0" fontId="5" fillId="3" borderId="1" xfId="0" applyFont="1" applyFill="1" applyBorder="1" applyAlignment="1">
      <alignment horizontal="center" vertical="center" wrapText="1"/>
    </xf>
    <xf numFmtId="0" fontId="6" fillId="0" borderId="1" xfId="0" applyFont="1" applyBorder="1" applyAlignment="1">
      <alignment horizontal="center" vertical="center" wrapText="1"/>
    </xf>
    <xf numFmtId="0" fontId="7" fillId="0" borderId="1" xfId="0" applyFont="1" applyBorder="1" applyAlignment="1">
      <alignment horizontal="center" vertical="center" wrapText="1"/>
    </xf>
    <xf numFmtId="0" fontId="2" fillId="0" borderId="1" xfId="0" applyFont="1" applyBorder="1" applyAlignment="1">
      <alignment horizontal="center" vertical="center" wrapText="1"/>
    </xf>
    <xf numFmtId="0" fontId="8" fillId="0" borderId="1" xfId="0" applyFont="1" applyBorder="1" applyAlignment="1">
      <alignment horizontal="center" vertical="center" wrapText="1"/>
    </xf>
    <xf numFmtId="0" fontId="9" fillId="0" borderId="1" xfId="0" applyFont="1" applyBorder="1" applyAlignment="1">
      <alignment horizontal="center" vertical="center" wrapText="1"/>
    </xf>
    <xf numFmtId="31" fontId="8" fillId="0" borderId="1" xfId="0" applyNumberFormat="1" applyFont="1" applyBorder="1" applyAlignment="1">
      <alignment horizontal="center" vertical="center" wrapText="1"/>
    </xf>
    <xf numFmtId="0" fontId="8" fillId="0" borderId="1" xfId="0" applyFont="1" applyBorder="1" applyAlignment="1">
      <alignment vertical="center" wrapText="1"/>
    </xf>
    <xf numFmtId="0" fontId="8" fillId="0" borderId="0" xfId="0" applyFont="1" applyAlignment="1">
      <alignment vertical="center" wrapText="1"/>
    </xf>
    <xf numFmtId="0" fontId="2" fillId="0" borderId="1" xfId="0" applyFont="1" applyBorder="1" applyAlignment="1">
      <alignment vertical="center" wrapText="1"/>
    </xf>
    <xf numFmtId="0" fontId="3" fillId="0" borderId="0" xfId="0" applyFont="1" applyAlignment="1">
      <alignment horizontal="center" vertical="center"/>
    </xf>
    <xf numFmtId="0" fontId="11" fillId="4" borderId="1" xfId="0" applyFont="1" applyFill="1" applyBorder="1" applyAlignment="1">
      <alignment horizontal="center" vertical="center"/>
    </xf>
    <xf numFmtId="0" fontId="5" fillId="5" borderId="1" xfId="0" applyFont="1" applyFill="1" applyBorder="1" applyAlignment="1">
      <alignment horizontal="center" vertical="center" wrapText="1"/>
    </xf>
    <xf numFmtId="0" fontId="5" fillId="4" borderId="1" xfId="0" applyFont="1" applyFill="1" applyBorder="1" applyAlignment="1">
      <alignment horizontal="center" vertical="center" wrapText="1"/>
    </xf>
    <xf numFmtId="0" fontId="5" fillId="6" borderId="1" xfId="0" applyFont="1" applyFill="1" applyBorder="1" applyAlignment="1">
      <alignment horizontal="center" vertical="center" wrapText="1"/>
    </xf>
    <xf numFmtId="0" fontId="5" fillId="7" borderId="1" xfId="0" applyFont="1" applyFill="1" applyBorder="1" applyAlignment="1">
      <alignment horizontal="center" vertical="center" wrapText="1"/>
    </xf>
    <xf numFmtId="0" fontId="5" fillId="8" borderId="1" xfId="0" applyFont="1" applyFill="1" applyBorder="1" applyAlignment="1">
      <alignment horizontal="center" vertical="center" wrapText="1"/>
    </xf>
    <xf numFmtId="0" fontId="12" fillId="0" borderId="6" xfId="0" applyFont="1" applyBorder="1" applyAlignment="1">
      <alignment horizontal="center" vertical="center" wrapText="1"/>
    </xf>
    <xf numFmtId="0" fontId="12" fillId="0" borderId="1" xfId="0" applyFont="1" applyBorder="1" applyAlignment="1">
      <alignment horizontal="center" vertical="center" wrapText="1"/>
    </xf>
    <xf numFmtId="0" fontId="5" fillId="4" borderId="11" xfId="0" applyFont="1" applyFill="1" applyBorder="1" applyAlignment="1">
      <alignment horizontal="center" vertical="center" wrapText="1"/>
    </xf>
    <xf numFmtId="0" fontId="5" fillId="9" borderId="16" xfId="0" applyFont="1" applyFill="1" applyBorder="1" applyAlignment="1">
      <alignment horizontal="center" vertical="center" wrapText="1"/>
    </xf>
    <xf numFmtId="0" fontId="12" fillId="0" borderId="16" xfId="0" applyFont="1" applyBorder="1" applyAlignment="1">
      <alignment horizontal="center" vertical="center" wrapText="1"/>
    </xf>
    <xf numFmtId="0" fontId="13" fillId="0" borderId="16" xfId="0" applyFont="1" applyBorder="1" applyAlignment="1">
      <alignment horizontal="center" vertical="center"/>
    </xf>
    <xf numFmtId="0" fontId="12" fillId="0" borderId="17" xfId="0" applyFont="1" applyBorder="1" applyAlignment="1">
      <alignment horizontal="center" vertical="center" wrapText="1"/>
    </xf>
    <xf numFmtId="0" fontId="2" fillId="0" borderId="0" xfId="0" applyFont="1">
      <alignment vertical="center"/>
    </xf>
    <xf numFmtId="0" fontId="5" fillId="10" borderId="1" xfId="0" applyFont="1" applyFill="1" applyBorder="1" applyAlignment="1">
      <alignment horizontal="center" vertical="center"/>
    </xf>
    <xf numFmtId="0" fontId="7" fillId="11" borderId="1" xfId="0" applyFont="1" applyFill="1" applyBorder="1" applyAlignment="1">
      <alignment horizontal="center" vertical="center"/>
    </xf>
    <xf numFmtId="0" fontId="7" fillId="11" borderId="1" xfId="0" applyFont="1" applyFill="1" applyBorder="1" applyAlignment="1">
      <alignment horizontal="center" vertical="center" wrapText="1"/>
    </xf>
    <xf numFmtId="0" fontId="5" fillId="13" borderId="1" xfId="0" applyFont="1" applyFill="1" applyBorder="1" applyAlignment="1">
      <alignment horizontal="center" vertical="center"/>
    </xf>
    <xf numFmtId="0" fontId="15" fillId="11" borderId="1" xfId="0" applyFont="1" applyFill="1" applyBorder="1" applyAlignment="1">
      <alignment horizontal="center" vertical="center" wrapText="1"/>
    </xf>
    <xf numFmtId="0" fontId="5" fillId="15" borderId="1" xfId="0" applyFont="1" applyFill="1" applyBorder="1" applyAlignment="1">
      <alignment horizontal="center" vertical="center"/>
    </xf>
    <xf numFmtId="0" fontId="5" fillId="16" borderId="1" xfId="0" applyFont="1" applyFill="1" applyBorder="1" applyAlignment="1">
      <alignment horizontal="center" vertical="center"/>
    </xf>
    <xf numFmtId="0" fontId="5" fillId="17" borderId="1" xfId="0" applyFont="1" applyFill="1" applyBorder="1" applyAlignment="1">
      <alignment horizontal="center" vertical="center"/>
    </xf>
    <xf numFmtId="0" fontId="7" fillId="0" borderId="1" xfId="0" applyFont="1" applyBorder="1" applyAlignment="1">
      <alignment horizontal="center" vertical="center"/>
    </xf>
    <xf numFmtId="0" fontId="5" fillId="18" borderId="20" xfId="0" applyFont="1" applyFill="1" applyBorder="1" applyAlignment="1">
      <alignment horizontal="center" vertical="center" textRotation="255" wrapText="1" readingOrder="1"/>
    </xf>
    <xf numFmtId="0" fontId="5" fillId="18" borderId="1" xfId="0" applyFont="1" applyFill="1" applyBorder="1" applyAlignment="1">
      <alignment horizontal="center" vertical="center"/>
    </xf>
    <xf numFmtId="0" fontId="15" fillId="0" borderId="8" xfId="0" applyFont="1" applyBorder="1" applyAlignment="1">
      <alignment horizontal="center" vertical="center" wrapText="1"/>
    </xf>
    <xf numFmtId="0" fontId="5" fillId="19" borderId="20" xfId="0" applyFont="1" applyFill="1" applyBorder="1" applyAlignment="1">
      <alignment horizontal="center" vertical="center" textRotation="255" wrapText="1" readingOrder="1"/>
    </xf>
    <xf numFmtId="0" fontId="5" fillId="19" borderId="1" xfId="0" applyFont="1" applyFill="1" applyBorder="1" applyAlignment="1">
      <alignment horizontal="center" vertical="center"/>
    </xf>
    <xf numFmtId="0" fontId="2" fillId="11" borderId="1" xfId="0" applyFont="1" applyFill="1" applyBorder="1" applyAlignment="1">
      <alignment horizontal="center" vertical="center" wrapText="1"/>
    </xf>
    <xf numFmtId="0" fontId="15" fillId="11" borderId="1" xfId="0" applyFont="1" applyFill="1" applyBorder="1" applyAlignment="1">
      <alignment horizontal="center" vertical="center"/>
    </xf>
    <xf numFmtId="0" fontId="8" fillId="11" borderId="1" xfId="0" applyFont="1" applyFill="1" applyBorder="1" applyAlignment="1">
      <alignment horizontal="center" vertical="center" wrapText="1"/>
    </xf>
    <xf numFmtId="0" fontId="0" fillId="0" borderId="0" xfId="0" applyAlignment="1"/>
    <xf numFmtId="0" fontId="18" fillId="20" borderId="26" xfId="0" applyFont="1" applyFill="1" applyBorder="1" applyAlignment="1">
      <alignment horizontal="center" vertical="center"/>
    </xf>
    <xf numFmtId="0" fontId="18" fillId="20" borderId="29" xfId="0" applyFont="1" applyFill="1" applyBorder="1" applyAlignment="1">
      <alignment horizontal="center" vertical="center"/>
    </xf>
    <xf numFmtId="0" fontId="18" fillId="20" borderId="30" xfId="0" applyFont="1" applyFill="1" applyBorder="1" applyAlignment="1">
      <alignment horizontal="center" vertical="center"/>
    </xf>
    <xf numFmtId="0" fontId="20" fillId="20" borderId="28" xfId="0" applyFont="1" applyFill="1" applyBorder="1" applyAlignment="1">
      <alignment horizontal="center" vertical="center"/>
    </xf>
    <xf numFmtId="0" fontId="20" fillId="20" borderId="29" xfId="0" applyFont="1" applyFill="1" applyBorder="1" applyAlignment="1">
      <alignment horizontal="center" vertical="center"/>
    </xf>
    <xf numFmtId="0" fontId="21" fillId="0" borderId="28" xfId="0" applyFont="1" applyBorder="1" applyAlignment="1">
      <alignment horizontal="center" vertical="center" wrapText="1"/>
    </xf>
    <xf numFmtId="0" fontId="21" fillId="0" borderId="29" xfId="0" applyFont="1" applyBorder="1" applyAlignment="1">
      <alignment horizontal="center" vertical="center" wrapText="1"/>
    </xf>
    <xf numFmtId="0" fontId="20" fillId="20" borderId="32" xfId="0" applyFont="1" applyFill="1" applyBorder="1" applyAlignment="1">
      <alignment horizontal="center" vertical="center"/>
    </xf>
    <xf numFmtId="0" fontId="21" fillId="22" borderId="32" xfId="0" applyFont="1" applyFill="1" applyBorder="1" applyAlignment="1">
      <alignment horizontal="center" vertical="center" wrapText="1"/>
    </xf>
    <xf numFmtId="0" fontId="23" fillId="0" borderId="29" xfId="0" applyFont="1" applyBorder="1" applyAlignment="1">
      <alignment horizontal="center" vertical="center" wrapText="1"/>
    </xf>
    <xf numFmtId="0" fontId="21" fillId="22" borderId="29" xfId="0" applyFont="1" applyFill="1" applyBorder="1" applyAlignment="1">
      <alignment horizontal="center" vertical="center" wrapText="1"/>
    </xf>
    <xf numFmtId="0" fontId="21" fillId="0" borderId="29" xfId="0" applyFont="1" applyBorder="1" applyAlignment="1">
      <alignment horizontal="center" vertical="center"/>
    </xf>
    <xf numFmtId="0" fontId="21" fillId="22" borderId="29" xfId="0" applyFont="1" applyFill="1" applyBorder="1" applyAlignment="1">
      <alignment horizontal="center" vertical="center"/>
    </xf>
    <xf numFmtId="0" fontId="18" fillId="23" borderId="43" xfId="0" applyFont="1" applyFill="1" applyBorder="1" applyAlignment="1">
      <alignment horizontal="center" vertical="center"/>
    </xf>
    <xf numFmtId="0" fontId="20" fillId="20" borderId="48" xfId="0" applyFont="1" applyFill="1" applyBorder="1" applyAlignment="1">
      <alignment horizontal="center" vertical="center"/>
    </xf>
    <xf numFmtId="0" fontId="21" fillId="22" borderId="50" xfId="0" applyFont="1" applyFill="1" applyBorder="1" applyAlignment="1">
      <alignment horizontal="center" vertical="center" wrapText="1"/>
    </xf>
    <xf numFmtId="0" fontId="22" fillId="0" borderId="54" xfId="0" applyFont="1" applyBorder="1" applyAlignment="1">
      <alignment horizontal="center" vertical="center"/>
    </xf>
    <xf numFmtId="0" fontId="21" fillId="22" borderId="8" xfId="0" applyFont="1" applyFill="1" applyBorder="1" applyAlignment="1">
      <alignment vertical="center" wrapText="1"/>
    </xf>
    <xf numFmtId="0" fontId="21" fillId="22" borderId="55" xfId="0" applyFont="1" applyFill="1" applyBorder="1" applyAlignment="1">
      <alignment vertical="center" wrapText="1"/>
    </xf>
    <xf numFmtId="0" fontId="5" fillId="0" borderId="0" xfId="0" applyFont="1">
      <alignment vertical="center"/>
    </xf>
    <xf numFmtId="0" fontId="26" fillId="0" borderId="0" xfId="0" applyFont="1" applyAlignment="1">
      <alignment horizontal="center" vertical="center"/>
    </xf>
    <xf numFmtId="0" fontId="5" fillId="4" borderId="20" xfId="0" applyFont="1" applyFill="1" applyBorder="1" applyAlignment="1">
      <alignment horizontal="center" vertical="center"/>
    </xf>
    <xf numFmtId="9" fontId="5" fillId="4" borderId="8" xfId="0" applyNumberFormat="1" applyFont="1" applyFill="1" applyBorder="1" applyAlignment="1">
      <alignment horizontal="center" vertical="center" wrapText="1"/>
    </xf>
    <xf numFmtId="0" fontId="5" fillId="4" borderId="8" xfId="0" applyFont="1" applyFill="1" applyBorder="1" applyAlignment="1">
      <alignment horizontal="center" vertical="center"/>
    </xf>
    <xf numFmtId="0" fontId="7" fillId="0" borderId="19" xfId="0" applyFont="1" applyBorder="1" applyAlignment="1">
      <alignment horizontal="center" vertical="center"/>
    </xf>
    <xf numFmtId="0" fontId="28" fillId="0" borderId="19" xfId="0" applyFont="1" applyBorder="1" applyAlignment="1">
      <alignment horizontal="center" vertical="center" wrapText="1"/>
    </xf>
    <xf numFmtId="0" fontId="27" fillId="0" borderId="59" xfId="0" applyFont="1" applyBorder="1" applyAlignment="1">
      <alignment horizontal="center" vertical="center" wrapText="1"/>
    </xf>
    <xf numFmtId="0" fontId="28" fillId="0" borderId="1" xfId="0" applyFont="1" applyBorder="1" applyAlignment="1">
      <alignment horizontal="center" vertical="center" wrapText="1"/>
    </xf>
    <xf numFmtId="9" fontId="15" fillId="0" borderId="1" xfId="0" applyNumberFormat="1" applyFont="1" applyBorder="1" applyAlignment="1">
      <alignment horizontal="center" vertical="center" wrapText="1"/>
    </xf>
    <xf numFmtId="9" fontId="15" fillId="0" borderId="1" xfId="0" applyNumberFormat="1" applyFont="1" applyBorder="1" applyAlignment="1" applyProtection="1">
      <alignment horizontal="center" vertical="center" wrapText="1"/>
      <protection locked="0"/>
    </xf>
    <xf numFmtId="0" fontId="7" fillId="0" borderId="11" xfId="0" applyFont="1" applyBorder="1" applyAlignment="1">
      <alignment horizontal="center" vertical="center"/>
    </xf>
    <xf numFmtId="9" fontId="15" fillId="0" borderId="11" xfId="0" applyNumberFormat="1" applyFont="1" applyBorder="1" applyAlignment="1">
      <alignment horizontal="center" vertical="center" wrapText="1"/>
    </xf>
    <xf numFmtId="0" fontId="15" fillId="0" borderId="1" xfId="0" applyFont="1" applyBorder="1" applyAlignment="1">
      <alignment horizontal="center" vertical="center" wrapText="1"/>
    </xf>
    <xf numFmtId="0" fontId="15" fillId="0" borderId="1" xfId="0" applyFont="1" applyBorder="1" applyAlignment="1">
      <alignment horizontal="left" vertical="center" wrapText="1"/>
    </xf>
    <xf numFmtId="0" fontId="15" fillId="0" borderId="11" xfId="0" applyFont="1" applyBorder="1" applyAlignment="1">
      <alignment horizontal="center" vertical="center" wrapText="1"/>
    </xf>
    <xf numFmtId="0" fontId="28" fillId="0" borderId="11" xfId="0" applyFont="1" applyBorder="1" applyAlignment="1">
      <alignment horizontal="center" vertical="center" wrapText="1"/>
    </xf>
    <xf numFmtId="0" fontId="7" fillId="0" borderId="8" xfId="0" applyFont="1" applyBorder="1" applyAlignment="1">
      <alignment horizontal="center" vertical="center"/>
    </xf>
    <xf numFmtId="0" fontId="28" fillId="0" borderId="8" xfId="0" applyFont="1" applyBorder="1" applyAlignment="1">
      <alignment horizontal="center" vertical="center" wrapText="1"/>
    </xf>
    <xf numFmtId="0" fontId="15" fillId="0" borderId="1" xfId="0" applyFont="1" applyBorder="1" applyAlignment="1">
      <alignment horizontal="center" vertical="center"/>
    </xf>
    <xf numFmtId="0" fontId="15" fillId="0" borderId="11" xfId="0" applyFont="1" applyBorder="1" applyAlignment="1">
      <alignment horizontal="center" vertical="center"/>
    </xf>
    <xf numFmtId="0" fontId="5" fillId="4" borderId="55" xfId="0" applyFont="1" applyFill="1" applyBorder="1" applyAlignment="1">
      <alignment horizontal="center" vertical="center"/>
    </xf>
    <xf numFmtId="0" fontId="29" fillId="0" borderId="0" xfId="0" applyFont="1" applyAlignment="1"/>
    <xf numFmtId="0" fontId="30" fillId="0" borderId="0" xfId="0" applyFont="1" applyAlignment="1">
      <alignment horizontal="left" vertical="center"/>
    </xf>
    <xf numFmtId="0" fontId="31" fillId="0" borderId="0" xfId="0" applyFont="1" applyAlignment="1"/>
    <xf numFmtId="0" fontId="32" fillId="0" borderId="0" xfId="0" applyFont="1" applyAlignment="1">
      <alignment horizontal="left" vertical="center"/>
    </xf>
    <xf numFmtId="0" fontId="0" fillId="11" borderId="0" xfId="0" applyFill="1" applyAlignment="1"/>
    <xf numFmtId="0" fontId="33" fillId="0" borderId="0" xfId="0" applyFont="1" applyAlignment="1"/>
    <xf numFmtId="0" fontId="0" fillId="0" borderId="0" xfId="0" applyAlignment="1">
      <alignment horizontal="left" vertical="center"/>
    </xf>
    <xf numFmtId="0" fontId="2" fillId="0" borderId="0" xfId="0" applyFont="1" applyAlignment="1"/>
    <xf numFmtId="0" fontId="36" fillId="0" borderId="0" xfId="0" applyFont="1" applyAlignment="1"/>
    <xf numFmtId="0" fontId="37" fillId="27" borderId="4" xfId="0" applyFont="1" applyFill="1" applyBorder="1" applyAlignment="1">
      <alignment horizontal="center" vertical="center" wrapText="1"/>
    </xf>
    <xf numFmtId="0" fontId="38" fillId="27" borderId="1" xfId="0" applyFont="1" applyFill="1" applyBorder="1" applyAlignment="1">
      <alignment horizontal="center" vertical="center" wrapText="1"/>
    </xf>
    <xf numFmtId="0" fontId="7" fillId="27" borderId="1" xfId="0" applyFont="1" applyFill="1" applyBorder="1" applyAlignment="1">
      <alignment horizontal="center" vertical="center" wrapText="1"/>
    </xf>
    <xf numFmtId="9" fontId="7" fillId="27" borderId="1" xfId="0" applyNumberFormat="1" applyFont="1" applyFill="1" applyBorder="1" applyAlignment="1">
      <alignment horizontal="center" vertical="center" wrapText="1"/>
    </xf>
    <xf numFmtId="0" fontId="37" fillId="0" borderId="4" xfId="0" applyFont="1" applyBorder="1" applyAlignment="1">
      <alignment horizontal="center" vertical="center" wrapText="1"/>
    </xf>
    <xf numFmtId="0" fontId="38" fillId="0" borderId="1" xfId="0" applyFont="1" applyBorder="1" applyAlignment="1">
      <alignment horizontal="center" vertical="center" wrapText="1"/>
    </xf>
    <xf numFmtId="9" fontId="7" fillId="0" borderId="1" xfId="0" applyNumberFormat="1" applyFont="1" applyBorder="1" applyAlignment="1">
      <alignment horizontal="center" vertical="center" wrapText="1"/>
    </xf>
    <xf numFmtId="0" fontId="27" fillId="0" borderId="4" xfId="0" applyFont="1" applyBorder="1" applyAlignment="1">
      <alignment horizontal="center" vertical="center" wrapText="1"/>
    </xf>
    <xf numFmtId="0" fontId="27" fillId="28" borderId="4" xfId="0" applyFont="1" applyFill="1" applyBorder="1" applyAlignment="1">
      <alignment horizontal="center" vertical="center" wrapText="1"/>
    </xf>
    <xf numFmtId="0" fontId="38" fillId="28" borderId="1" xfId="0" applyFont="1" applyFill="1" applyBorder="1" applyAlignment="1">
      <alignment horizontal="center" vertical="center" wrapText="1"/>
    </xf>
    <xf numFmtId="0" fontId="15" fillId="28" borderId="1" xfId="0" applyFont="1" applyFill="1" applyBorder="1" applyAlignment="1">
      <alignment horizontal="center" vertical="center" wrapText="1"/>
    </xf>
    <xf numFmtId="9" fontId="15" fillId="28" borderId="1" xfId="0" applyNumberFormat="1" applyFont="1" applyFill="1" applyBorder="1" applyAlignment="1">
      <alignment horizontal="center" vertical="center" wrapText="1"/>
    </xf>
    <xf numFmtId="0" fontId="39" fillId="4" borderId="4" xfId="0" applyFont="1" applyFill="1" applyBorder="1" applyAlignment="1">
      <alignment horizontal="center" vertical="center"/>
    </xf>
    <xf numFmtId="0" fontId="39" fillId="4" borderId="1" xfId="0" applyFont="1" applyFill="1" applyBorder="1" applyAlignment="1">
      <alignment horizontal="center" vertical="center"/>
    </xf>
    <xf numFmtId="0" fontId="39" fillId="4" borderId="1" xfId="0" applyFont="1" applyFill="1" applyBorder="1" applyAlignment="1">
      <alignment horizontal="center" vertical="center" wrapText="1"/>
    </xf>
    <xf numFmtId="0" fontId="40" fillId="0" borderId="0" xfId="0" applyFont="1" applyAlignment="1">
      <alignment horizontal="left" vertical="center"/>
    </xf>
    <xf numFmtId="0" fontId="37" fillId="29" borderId="4" xfId="0" applyFont="1" applyFill="1" applyBorder="1" applyAlignment="1">
      <alignment horizontal="center" vertical="center" wrapText="1"/>
    </xf>
    <xf numFmtId="0" fontId="38" fillId="29" borderId="1" xfId="0" applyFont="1" applyFill="1" applyBorder="1" applyAlignment="1">
      <alignment horizontal="center" vertical="center" wrapText="1"/>
    </xf>
    <xf numFmtId="0" fontId="7" fillId="29" borderId="1" xfId="0" applyFont="1" applyFill="1" applyBorder="1" applyAlignment="1">
      <alignment horizontal="center" vertical="center" wrapText="1"/>
    </xf>
    <xf numFmtId="0" fontId="39" fillId="4" borderId="4" xfId="0" applyFont="1" applyFill="1" applyBorder="1" applyAlignment="1">
      <alignment horizontal="center" vertical="center" wrapText="1"/>
    </xf>
    <xf numFmtId="0" fontId="41" fillId="29" borderId="1" xfId="0" applyFont="1" applyFill="1" applyBorder="1" applyAlignment="1">
      <alignment horizontal="center" vertical="center" wrapText="1"/>
    </xf>
    <xf numFmtId="0" fontId="37" fillId="30" borderId="4" xfId="0" applyFont="1" applyFill="1" applyBorder="1" applyAlignment="1">
      <alignment horizontal="center" vertical="center" wrapText="1"/>
    </xf>
    <xf numFmtId="0" fontId="38" fillId="30" borderId="1" xfId="0" applyFont="1" applyFill="1" applyBorder="1" applyAlignment="1">
      <alignment horizontal="center" vertical="center" wrapText="1"/>
    </xf>
    <xf numFmtId="0" fontId="7" fillId="30" borderId="1" xfId="0" applyFont="1" applyFill="1" applyBorder="1" applyAlignment="1">
      <alignment horizontal="center" vertical="center" wrapText="1"/>
    </xf>
    <xf numFmtId="9" fontId="7" fillId="30" borderId="1" xfId="0" applyNumberFormat="1" applyFont="1" applyFill="1" applyBorder="1" applyAlignment="1">
      <alignment horizontal="center" vertical="center" wrapText="1"/>
    </xf>
    <xf numFmtId="0" fontId="15" fillId="30" borderId="1" xfId="0" applyFont="1" applyFill="1" applyBorder="1" applyAlignment="1">
      <alignment horizontal="center" vertical="center" wrapText="1"/>
    </xf>
    <xf numFmtId="0" fontId="15" fillId="27" borderId="1" xfId="0" applyFont="1" applyFill="1" applyBorder="1" applyAlignment="1">
      <alignment horizontal="center" vertical="center" wrapText="1"/>
    </xf>
    <xf numFmtId="0" fontId="42" fillId="31" borderId="1" xfId="0" applyFont="1" applyFill="1" applyBorder="1" applyAlignment="1">
      <alignment horizontal="center" vertical="center" wrapText="1"/>
    </xf>
    <xf numFmtId="0" fontId="42" fillId="0" borderId="1" xfId="0" applyFont="1" applyBorder="1" applyAlignment="1">
      <alignment horizontal="center" vertical="center" wrapText="1"/>
    </xf>
    <xf numFmtId="0" fontId="27" fillId="30" borderId="10" xfId="0" applyFont="1" applyFill="1" applyBorder="1" applyAlignment="1">
      <alignment horizontal="center" vertical="center" wrapText="1"/>
    </xf>
    <xf numFmtId="0" fontId="38" fillId="30" borderId="11" xfId="0" applyFont="1" applyFill="1" applyBorder="1" applyAlignment="1">
      <alignment horizontal="center" vertical="center" wrapText="1"/>
    </xf>
    <xf numFmtId="0" fontId="15" fillId="30" borderId="11" xfId="0" applyFont="1" applyFill="1" applyBorder="1" applyAlignment="1">
      <alignment horizontal="center" vertical="center" wrapText="1"/>
    </xf>
    <xf numFmtId="9" fontId="15" fillId="30" borderId="11" xfId="0" applyNumberFormat="1" applyFont="1" applyFill="1" applyBorder="1" applyAlignment="1">
      <alignment horizontal="center" vertical="center" wrapText="1"/>
    </xf>
    <xf numFmtId="0" fontId="35" fillId="2" borderId="19" xfId="0" applyFont="1" applyFill="1" applyBorder="1" applyAlignment="1">
      <alignment horizontal="center" vertical="center" wrapText="1"/>
    </xf>
    <xf numFmtId="0" fontId="37" fillId="29" borderId="4" xfId="0" applyFont="1" applyFill="1" applyBorder="1" applyAlignment="1">
      <alignment horizontal="center" vertical="center"/>
    </xf>
    <xf numFmtId="0" fontId="38" fillId="29" borderId="1" xfId="0" applyFont="1" applyFill="1" applyBorder="1" applyAlignment="1">
      <alignment horizontal="center" vertical="center"/>
    </xf>
    <xf numFmtId="0" fontId="7" fillId="29" borderId="1" xfId="0" applyFont="1" applyFill="1" applyBorder="1" applyAlignment="1">
      <alignment horizontal="center" vertical="center"/>
    </xf>
    <xf numFmtId="9" fontId="7" fillId="29" borderId="1" xfId="0" applyNumberFormat="1" applyFont="1" applyFill="1" applyBorder="1" applyAlignment="1">
      <alignment horizontal="center" vertical="center" wrapText="1"/>
    </xf>
    <xf numFmtId="0" fontId="11" fillId="4" borderId="1" xfId="0" applyFont="1" applyFill="1" applyBorder="1" applyAlignment="1">
      <alignment horizontal="center" vertical="center" wrapText="1"/>
    </xf>
    <xf numFmtId="0" fontId="15" fillId="27" borderId="1" xfId="0" applyFont="1" applyFill="1" applyBorder="1" applyAlignment="1">
      <alignment horizontal="center" vertical="center"/>
    </xf>
    <xf numFmtId="0" fontId="15" fillId="27" borderId="1" xfId="0" applyFont="1" applyFill="1" applyBorder="1" applyAlignment="1">
      <alignment horizontal="justify" vertical="center" wrapText="1"/>
    </xf>
    <xf numFmtId="0" fontId="7" fillId="0" borderId="1" xfId="0" applyFont="1" applyBorder="1" applyAlignment="1">
      <alignment horizontal="justify" vertical="center" wrapText="1"/>
    </xf>
    <xf numFmtId="0" fontId="7" fillId="27" borderId="1" xfId="0" applyFont="1" applyFill="1" applyBorder="1" applyAlignment="1">
      <alignment horizontal="justify" vertical="center" wrapText="1"/>
    </xf>
    <xf numFmtId="0" fontId="15" fillId="28" borderId="1" xfId="0" applyFont="1" applyFill="1" applyBorder="1" applyAlignment="1">
      <alignment horizontal="center" vertical="center"/>
    </xf>
    <xf numFmtId="0" fontId="15" fillId="28" borderId="1" xfId="0" applyFont="1" applyFill="1" applyBorder="1" applyAlignment="1">
      <alignment horizontal="justify" vertical="center" wrapText="1"/>
    </xf>
    <xf numFmtId="0" fontId="7" fillId="0" borderId="1" xfId="0" applyFont="1" applyBorder="1" applyAlignment="1">
      <alignment horizontal="left" vertical="center" wrapText="1"/>
    </xf>
    <xf numFmtId="0" fontId="7" fillId="29" borderId="1" xfId="0" applyFont="1" applyFill="1" applyBorder="1" applyAlignment="1">
      <alignment horizontal="justify" vertical="center" wrapText="1"/>
    </xf>
    <xf numFmtId="0" fontId="43" fillId="0" borderId="0" xfId="0" applyFont="1" applyAlignment="1">
      <alignment horizontal="right"/>
    </xf>
    <xf numFmtId="176" fontId="15" fillId="27" borderId="1" xfId="0" applyNumberFormat="1" applyFont="1" applyFill="1" applyBorder="1" applyAlignment="1">
      <alignment horizontal="center" vertical="center" wrapText="1"/>
    </xf>
    <xf numFmtId="176" fontId="15" fillId="30" borderId="1" xfId="0" applyNumberFormat="1" applyFont="1" applyFill="1" applyBorder="1" applyAlignment="1">
      <alignment horizontal="center" vertical="center" wrapText="1"/>
    </xf>
    <xf numFmtId="0" fontId="7" fillId="30" borderId="1" xfId="0" applyFont="1" applyFill="1" applyBorder="1" applyAlignment="1">
      <alignment horizontal="justify" vertical="center" wrapText="1"/>
    </xf>
    <xf numFmtId="0" fontId="7" fillId="11" borderId="1" xfId="0" applyFont="1" applyFill="1" applyBorder="1" applyAlignment="1">
      <alignment horizontal="justify" vertical="center" wrapText="1"/>
    </xf>
    <xf numFmtId="0" fontId="15" fillId="30" borderId="1" xfId="0" applyFont="1" applyFill="1" applyBorder="1" applyAlignment="1">
      <alignment horizontal="justify" vertical="center" wrapText="1"/>
    </xf>
    <xf numFmtId="0" fontId="15" fillId="30" borderId="11" xfId="0" applyFont="1" applyFill="1" applyBorder="1" applyAlignment="1">
      <alignment horizontal="justify" vertical="center" wrapText="1"/>
    </xf>
    <xf numFmtId="0" fontId="15" fillId="11" borderId="11" xfId="0" applyFont="1" applyFill="1" applyBorder="1" applyAlignment="1">
      <alignment horizontal="center" vertical="center" wrapText="1"/>
    </xf>
    <xf numFmtId="0" fontId="15" fillId="11" borderId="11" xfId="0" applyFont="1" applyFill="1" applyBorder="1" applyAlignment="1">
      <alignment horizontal="justify" vertical="center" wrapText="1"/>
    </xf>
    <xf numFmtId="0" fontId="7" fillId="29" borderId="1" xfId="0" applyFont="1" applyFill="1" applyBorder="1" applyAlignment="1">
      <alignment horizontal="left" vertical="center" wrapText="1"/>
    </xf>
    <xf numFmtId="0" fontId="7" fillId="29" borderId="16" xfId="0" applyFont="1" applyFill="1" applyBorder="1" applyAlignment="1">
      <alignment horizontal="center" vertical="center" wrapText="1"/>
    </xf>
    <xf numFmtId="0" fontId="7" fillId="0" borderId="16" xfId="0" applyFont="1" applyBorder="1" applyAlignment="1">
      <alignment horizontal="center" vertical="center"/>
    </xf>
    <xf numFmtId="0" fontId="7" fillId="29" borderId="16" xfId="0" applyFont="1" applyFill="1" applyBorder="1" applyAlignment="1">
      <alignment horizontal="center" vertical="center"/>
    </xf>
    <xf numFmtId="0" fontId="7" fillId="0" borderId="16" xfId="0" applyFont="1" applyBorder="1" applyAlignment="1">
      <alignment horizontal="center" vertical="center" wrapText="1"/>
    </xf>
    <xf numFmtId="0" fontId="39" fillId="4" borderId="16" xfId="0" applyFont="1" applyFill="1" applyBorder="1" applyAlignment="1">
      <alignment horizontal="center" vertical="center"/>
    </xf>
    <xf numFmtId="0" fontId="37" fillId="0" borderId="1" xfId="0" applyFont="1" applyBorder="1" applyAlignment="1">
      <alignment horizontal="center" vertical="center" wrapText="1"/>
    </xf>
    <xf numFmtId="0" fontId="39" fillId="4" borderId="16" xfId="0" applyFont="1" applyFill="1" applyBorder="1" applyAlignment="1">
      <alignment horizontal="center" vertical="center" wrapText="1"/>
    </xf>
    <xf numFmtId="0" fontId="7" fillId="29" borderId="16" xfId="0" applyFont="1" applyFill="1" applyBorder="1" applyAlignment="1">
      <alignment horizontal="left" vertical="center" wrapText="1"/>
    </xf>
    <xf numFmtId="0" fontId="7" fillId="11" borderId="16" xfId="0" applyFont="1" applyFill="1" applyBorder="1" applyAlignment="1">
      <alignment horizontal="left" vertical="center" wrapText="1"/>
    </xf>
    <xf numFmtId="0" fontId="44" fillId="0" borderId="0" xfId="0" applyFont="1" applyAlignment="1">
      <alignment horizontal="center" vertical="center" wrapText="1"/>
    </xf>
    <xf numFmtId="0" fontId="7" fillId="29" borderId="16" xfId="0" applyFont="1" applyFill="1" applyBorder="1" applyAlignment="1">
      <alignment horizontal="justify" vertical="center" wrapText="1"/>
    </xf>
    <xf numFmtId="0" fontId="15" fillId="11" borderId="17" xfId="0" applyFont="1" applyFill="1" applyBorder="1" applyAlignment="1">
      <alignment horizontal="left" vertical="center" wrapText="1"/>
    </xf>
    <xf numFmtId="0" fontId="7" fillId="29" borderId="16" xfId="0" applyFont="1" applyFill="1" applyBorder="1" applyAlignment="1">
      <alignment vertical="center" wrapText="1"/>
    </xf>
    <xf numFmtId="0" fontId="7" fillId="0" borderId="16" xfId="0" applyFont="1" applyBorder="1" applyAlignment="1">
      <alignment vertical="center" wrapText="1"/>
    </xf>
    <xf numFmtId="0" fontId="33" fillId="0" borderId="1" xfId="0" applyFont="1" applyBorder="1" applyAlignment="1">
      <alignment horizontal="center" vertical="center" wrapText="1"/>
    </xf>
    <xf numFmtId="9" fontId="45" fillId="0" borderId="1" xfId="0" applyNumberFormat="1" applyFont="1" applyBorder="1" applyAlignment="1">
      <alignment horizontal="center" vertical="center" wrapText="1"/>
    </xf>
    <xf numFmtId="0" fontId="37" fillId="33" borderId="4" xfId="0" applyFont="1" applyFill="1" applyBorder="1" applyAlignment="1">
      <alignment horizontal="center" vertical="center"/>
    </xf>
    <xf numFmtId="0" fontId="38" fillId="33" borderId="1" xfId="0" applyFont="1" applyFill="1" applyBorder="1" applyAlignment="1">
      <alignment horizontal="center" vertical="center"/>
    </xf>
    <xf numFmtId="0" fontId="33" fillId="33" borderId="1" xfId="0" applyFont="1" applyFill="1" applyBorder="1" applyAlignment="1">
      <alignment horizontal="center" vertical="center"/>
    </xf>
    <xf numFmtId="0" fontId="33" fillId="33" borderId="1" xfId="0" applyFont="1" applyFill="1" applyBorder="1" applyAlignment="1">
      <alignment horizontal="center" vertical="center" wrapText="1"/>
    </xf>
    <xf numFmtId="9" fontId="45" fillId="33" borderId="1" xfId="0" applyNumberFormat="1" applyFont="1" applyFill="1" applyBorder="1" applyAlignment="1">
      <alignment horizontal="center" vertical="center" wrapText="1"/>
    </xf>
    <xf numFmtId="0" fontId="27" fillId="0" borderId="4" xfId="0" applyFont="1" applyBorder="1" applyAlignment="1">
      <alignment horizontal="center" vertical="center"/>
    </xf>
    <xf numFmtId="0" fontId="38" fillId="0" borderId="1" xfId="0" applyFont="1" applyBorder="1" applyAlignment="1">
      <alignment horizontal="center" vertical="center"/>
    </xf>
    <xf numFmtId="0" fontId="45" fillId="0" borderId="1" xfId="0" applyFont="1" applyBorder="1" applyAlignment="1">
      <alignment horizontal="center" vertical="center"/>
    </xf>
    <xf numFmtId="0" fontId="45" fillId="0" borderId="1" xfId="0" applyFont="1" applyBorder="1" applyAlignment="1">
      <alignment horizontal="center" vertical="center" wrapText="1"/>
    </xf>
    <xf numFmtId="0" fontId="7" fillId="0" borderId="0" xfId="0" applyFont="1" applyAlignment="1">
      <alignment horizontal="left" vertical="center"/>
    </xf>
    <xf numFmtId="0" fontId="37" fillId="0" borderId="20" xfId="0" applyFont="1" applyBorder="1" applyAlignment="1">
      <alignment horizontal="center" vertical="center"/>
    </xf>
    <xf numFmtId="0" fontId="38" fillId="0" borderId="8" xfId="0" applyFont="1" applyBorder="1" applyAlignment="1">
      <alignment horizontal="center" vertical="center"/>
    </xf>
    <xf numFmtId="0" fontId="25" fillId="0" borderId="8" xfId="0" applyFont="1" applyBorder="1" applyAlignment="1">
      <alignment horizontal="center" vertical="center"/>
    </xf>
    <xf numFmtId="9" fontId="7" fillId="0" borderId="8" xfId="0" applyNumberFormat="1" applyFont="1" applyBorder="1" applyAlignment="1">
      <alignment horizontal="center" vertical="center"/>
    </xf>
    <xf numFmtId="0" fontId="37" fillId="0" borderId="1" xfId="0" applyFont="1" applyBorder="1" applyAlignment="1">
      <alignment horizontal="center" vertical="center"/>
    </xf>
    <xf numFmtId="0" fontId="27" fillId="0" borderId="10" xfId="0" applyFont="1" applyBorder="1" applyAlignment="1">
      <alignment horizontal="center" vertical="center" wrapText="1"/>
    </xf>
    <xf numFmtId="0" fontId="38" fillId="0" borderId="11" xfId="0" applyFont="1" applyBorder="1" applyAlignment="1">
      <alignment horizontal="center" vertical="center" wrapText="1"/>
    </xf>
    <xf numFmtId="0" fontId="7" fillId="0" borderId="11" xfId="0" applyFont="1" applyBorder="1" applyAlignment="1">
      <alignment horizontal="center" vertical="center" wrapText="1"/>
    </xf>
    <xf numFmtId="0" fontId="47" fillId="35" borderId="4" xfId="0" applyFont="1" applyFill="1" applyBorder="1" applyAlignment="1">
      <alignment horizontal="center" vertical="center" wrapText="1"/>
    </xf>
    <xf numFmtId="0" fontId="47" fillId="35" borderId="1" xfId="0" applyFont="1" applyFill="1" applyBorder="1" applyAlignment="1">
      <alignment horizontal="center" vertical="center" wrapText="1"/>
    </xf>
    <xf numFmtId="0" fontId="48" fillId="36" borderId="1" xfId="0" applyFont="1" applyFill="1" applyBorder="1" applyAlignment="1">
      <alignment horizontal="left" vertical="center" wrapText="1"/>
    </xf>
    <xf numFmtId="0" fontId="49" fillId="36" borderId="1" xfId="0" applyFont="1" applyFill="1" applyBorder="1" applyAlignment="1">
      <alignment horizontal="center" vertical="center" wrapText="1"/>
    </xf>
    <xf numFmtId="0" fontId="48" fillId="0" borderId="1" xfId="0" applyFont="1" applyBorder="1" applyAlignment="1">
      <alignment horizontal="left" vertical="center" wrapText="1"/>
    </xf>
    <xf numFmtId="0" fontId="49" fillId="0" borderId="1" xfId="0" applyFont="1" applyBorder="1" applyAlignment="1">
      <alignment horizontal="center" vertical="center" wrapText="1"/>
    </xf>
    <xf numFmtId="0" fontId="48" fillId="36" borderId="1" xfId="0" applyFont="1" applyFill="1" applyBorder="1" applyAlignment="1">
      <alignment horizontal="center" vertical="center" wrapText="1"/>
    </xf>
    <xf numFmtId="0" fontId="2" fillId="0" borderId="0" xfId="0" applyFont="1" applyAlignment="1">
      <alignment horizontal="left" vertical="center"/>
    </xf>
    <xf numFmtId="0" fontId="7" fillId="0" borderId="0" xfId="0" applyFont="1" applyAlignment="1"/>
    <xf numFmtId="20" fontId="7" fillId="29" borderId="1" xfId="0" applyNumberFormat="1" applyFont="1" applyFill="1" applyBorder="1" applyAlignment="1">
      <alignment horizontal="center" vertical="center" wrapText="1"/>
    </xf>
    <xf numFmtId="20" fontId="7" fillId="0" borderId="1" xfId="0" applyNumberFormat="1" applyFont="1" applyBorder="1" applyAlignment="1">
      <alignment horizontal="center" vertical="center" wrapText="1"/>
    </xf>
    <xf numFmtId="20" fontId="7" fillId="29" borderId="16" xfId="0" applyNumberFormat="1" applyFont="1" applyFill="1" applyBorder="1" applyAlignment="1">
      <alignment horizontal="center" vertical="center" wrapText="1"/>
    </xf>
    <xf numFmtId="20" fontId="7" fillId="0" borderId="16" xfId="0" applyNumberFormat="1" applyFont="1" applyBorder="1" applyAlignment="1">
      <alignment horizontal="center" vertical="center" wrapText="1"/>
    </xf>
    <xf numFmtId="0" fontId="15" fillId="29" borderId="1" xfId="0" applyFont="1" applyFill="1" applyBorder="1" applyAlignment="1">
      <alignment horizontal="center" vertical="center" wrapText="1"/>
    </xf>
    <xf numFmtId="0" fontId="15" fillId="29" borderId="1" xfId="0" applyFont="1" applyFill="1" applyBorder="1" applyAlignment="1">
      <alignment horizontal="left" vertical="center" wrapText="1"/>
    </xf>
    <xf numFmtId="0" fontId="51" fillId="0" borderId="1" xfId="0" applyFont="1" applyBorder="1" applyAlignment="1">
      <alignment horizontal="center" vertical="center" wrapText="1"/>
    </xf>
    <xf numFmtId="0" fontId="33" fillId="0" borderId="1" xfId="0" applyFont="1" applyBorder="1" applyAlignment="1">
      <alignment horizontal="left" vertical="center" wrapText="1"/>
    </xf>
    <xf numFmtId="0" fontId="51" fillId="33" borderId="1" xfId="0" applyFont="1" applyFill="1" applyBorder="1" applyAlignment="1">
      <alignment horizontal="center" vertical="center" wrapText="1"/>
    </xf>
    <xf numFmtId="0" fontId="33" fillId="33" borderId="1" xfId="0" applyFont="1" applyFill="1" applyBorder="1" applyAlignment="1">
      <alignment horizontal="left" vertical="center" wrapText="1"/>
    </xf>
    <xf numFmtId="0" fontId="45" fillId="0" borderId="1" xfId="0" applyFont="1" applyBorder="1" applyAlignment="1">
      <alignment horizontal="left" vertical="center" wrapText="1"/>
    </xf>
    <xf numFmtId="0" fontId="7" fillId="0" borderId="8" xfId="0" applyFont="1" applyBorder="1" applyAlignment="1">
      <alignment horizontal="center" vertical="center" wrapText="1"/>
    </xf>
    <xf numFmtId="0" fontId="2" fillId="0" borderId="16" xfId="0" applyFont="1" applyBorder="1" applyAlignment="1">
      <alignment horizontal="center" vertical="center"/>
    </xf>
    <xf numFmtId="0" fontId="2" fillId="0" borderId="16" xfId="0" applyFont="1" applyBorder="1" applyAlignment="1">
      <alignment horizontal="left" vertical="center" wrapText="1"/>
    </xf>
    <xf numFmtId="0" fontId="7" fillId="0" borderId="11" xfId="0" applyFont="1" applyBorder="1" applyAlignment="1">
      <alignment horizontal="justify" vertical="center" wrapText="1"/>
    </xf>
    <xf numFmtId="0" fontId="49" fillId="36" borderId="16" xfId="0" applyFont="1" applyFill="1" applyBorder="1" applyAlignment="1">
      <alignment horizontal="center" vertical="center" wrapText="1"/>
    </xf>
    <xf numFmtId="0" fontId="49" fillId="0" borderId="16" xfId="0" applyFont="1" applyBorder="1" applyAlignment="1">
      <alignment horizontal="center" vertical="center" wrapText="1"/>
    </xf>
    <xf numFmtId="0" fontId="37" fillId="38" borderId="4" xfId="0" applyFont="1" applyFill="1" applyBorder="1" applyAlignment="1">
      <alignment horizontal="center" vertical="center" wrapText="1"/>
    </xf>
    <xf numFmtId="0" fontId="7" fillId="38" borderId="16" xfId="0" applyFont="1" applyFill="1" applyBorder="1" applyAlignment="1">
      <alignment horizontal="center" vertical="center" wrapText="1"/>
    </xf>
    <xf numFmtId="0" fontId="33" fillId="0" borderId="16" xfId="0" applyFont="1" applyBorder="1" applyAlignment="1">
      <alignment vertical="center" wrapText="1"/>
    </xf>
    <xf numFmtId="0" fontId="33" fillId="33" borderId="16" xfId="0" applyFont="1" applyFill="1" applyBorder="1" applyAlignment="1">
      <alignment vertical="center" wrapText="1"/>
    </xf>
    <xf numFmtId="0" fontId="45" fillId="0" borderId="16" xfId="0" applyFont="1" applyBorder="1" applyAlignment="1">
      <alignment vertical="center" wrapText="1"/>
    </xf>
    <xf numFmtId="0" fontId="7" fillId="0" borderId="66" xfId="0" applyFont="1" applyBorder="1" applyAlignment="1">
      <alignment horizontal="left" vertical="center"/>
    </xf>
    <xf numFmtId="0" fontId="7" fillId="0" borderId="55" xfId="0" applyFont="1" applyBorder="1" applyAlignment="1">
      <alignment horizontal="center" vertical="center"/>
    </xf>
    <xf numFmtId="20" fontId="15" fillId="0" borderId="1" xfId="0" applyNumberFormat="1" applyFont="1" applyBorder="1" applyAlignment="1">
      <alignment horizontal="center" vertical="center" wrapText="1"/>
    </xf>
    <xf numFmtId="20" fontId="15" fillId="0" borderId="16" xfId="0" applyNumberFormat="1" applyFont="1" applyBorder="1" applyAlignment="1">
      <alignment horizontal="center" vertical="center" wrapText="1"/>
    </xf>
    <xf numFmtId="0" fontId="27" fillId="29" borderId="4" xfId="0" applyFont="1" applyFill="1" applyBorder="1" applyAlignment="1">
      <alignment horizontal="center" vertical="center" wrapText="1"/>
    </xf>
    <xf numFmtId="20" fontId="15" fillId="29" borderId="1" xfId="0" applyNumberFormat="1" applyFont="1" applyFill="1" applyBorder="1" applyAlignment="1">
      <alignment horizontal="center" vertical="center" wrapText="1"/>
    </xf>
    <xf numFmtId="20" fontId="15" fillId="29" borderId="16" xfId="0" applyNumberFormat="1" applyFont="1" applyFill="1" applyBorder="1" applyAlignment="1">
      <alignment horizontal="center" vertical="center" wrapText="1"/>
    </xf>
    <xf numFmtId="10" fontId="7" fillId="38" borderId="16" xfId="0" applyNumberFormat="1" applyFont="1" applyFill="1" applyBorder="1" applyAlignment="1">
      <alignment horizontal="center" vertical="center" wrapText="1"/>
    </xf>
    <xf numFmtId="0" fontId="52" fillId="11" borderId="0" xfId="0" applyFont="1" applyFill="1" applyAlignment="1">
      <alignment horizontal="center" vertical="center"/>
    </xf>
    <xf numFmtId="0" fontId="0" fillId="11" borderId="0" xfId="0" applyFill="1" applyAlignment="1">
      <alignment horizontal="left" vertical="center"/>
    </xf>
    <xf numFmtId="0" fontId="0" fillId="11" borderId="0" xfId="0" applyFill="1">
      <alignment vertical="center"/>
    </xf>
    <xf numFmtId="0" fontId="53" fillId="0" borderId="0" xfId="0" applyFont="1">
      <alignment vertical="center"/>
    </xf>
    <xf numFmtId="0" fontId="3" fillId="0" borderId="0" xfId="0" applyFont="1">
      <alignment vertical="center"/>
    </xf>
    <xf numFmtId="0" fontId="54" fillId="11" borderId="0" xfId="0" applyFont="1" applyFill="1" applyAlignment="1">
      <alignment horizontal="left" vertical="center"/>
    </xf>
    <xf numFmtId="0" fontId="2" fillId="11" borderId="0" xfId="0" applyFont="1" applyFill="1">
      <alignment vertical="center"/>
    </xf>
    <xf numFmtId="0" fontId="43" fillId="11" borderId="0" xfId="0" applyFont="1" applyFill="1">
      <alignment vertical="center"/>
    </xf>
    <xf numFmtId="0" fontId="43" fillId="11" borderId="0" xfId="0" applyFont="1" applyFill="1" applyAlignment="1">
      <alignment horizontal="left" vertical="center"/>
    </xf>
    <xf numFmtId="0" fontId="35" fillId="2" borderId="18" xfId="0" applyFont="1" applyFill="1" applyBorder="1" applyAlignment="1">
      <alignment horizontal="center" vertical="center" wrapText="1"/>
    </xf>
    <xf numFmtId="0" fontId="35" fillId="2" borderId="49" xfId="0" applyFont="1" applyFill="1" applyBorder="1" applyAlignment="1">
      <alignment horizontal="center" vertical="center" wrapText="1"/>
    </xf>
    <xf numFmtId="0" fontId="55" fillId="4" borderId="56" xfId="0" applyFont="1" applyFill="1" applyBorder="1" applyAlignment="1">
      <alignment vertical="center" wrapText="1"/>
    </xf>
    <xf numFmtId="0" fontId="56" fillId="0" borderId="19" xfId="0" applyFont="1" applyBorder="1" applyAlignment="1">
      <alignment horizontal="center" vertical="center" wrapText="1"/>
    </xf>
    <xf numFmtId="0" fontId="56" fillId="0" borderId="49" xfId="0" applyFont="1" applyBorder="1" applyAlignment="1">
      <alignment horizontal="center" vertical="center" wrapText="1"/>
    </xf>
    <xf numFmtId="0" fontId="56" fillId="0" borderId="4" xfId="0" applyFont="1" applyBorder="1" applyAlignment="1">
      <alignment vertical="center" wrapText="1"/>
    </xf>
    <xf numFmtId="0" fontId="56" fillId="0" borderId="9" xfId="0" applyFont="1" applyBorder="1" applyAlignment="1">
      <alignment horizontal="center" vertical="center" wrapText="1"/>
    </xf>
    <xf numFmtId="0" fontId="57" fillId="0" borderId="9" xfId="0" applyFont="1" applyBorder="1" applyAlignment="1">
      <alignment horizontal="center" vertical="center" wrapText="1"/>
    </xf>
    <xf numFmtId="0" fontId="56" fillId="0" borderId="68" xfId="0" applyFont="1" applyBorder="1" applyAlignment="1">
      <alignment horizontal="center" vertical="center" wrapText="1"/>
    </xf>
    <xf numFmtId="0" fontId="56" fillId="0" borderId="69" xfId="0" applyFont="1" applyBorder="1" applyAlignment="1">
      <alignment horizontal="center" vertical="center" wrapText="1"/>
    </xf>
    <xf numFmtId="0" fontId="55" fillId="4" borderId="4" xfId="0" applyFont="1" applyFill="1" applyBorder="1" applyAlignment="1">
      <alignment horizontal="left" vertical="center" wrapText="1"/>
    </xf>
    <xf numFmtId="0" fontId="58" fillId="0" borderId="1" xfId="0" applyFont="1" applyBorder="1" applyAlignment="1">
      <alignment horizontal="center" vertical="center" wrapText="1"/>
    </xf>
    <xf numFmtId="0" fontId="59" fillId="0" borderId="1" xfId="0" applyFont="1" applyBorder="1" applyAlignment="1">
      <alignment horizontal="center" vertical="center" wrapText="1"/>
    </xf>
    <xf numFmtId="0" fontId="59" fillId="0" borderId="16" xfId="0" applyFont="1" applyBorder="1" applyAlignment="1">
      <alignment horizontal="center" vertical="center" wrapText="1"/>
    </xf>
    <xf numFmtId="0" fontId="59" fillId="0" borderId="8" xfId="0" applyFont="1" applyBorder="1" applyAlignment="1">
      <alignment horizontal="center" vertical="center" wrapText="1"/>
    </xf>
    <xf numFmtId="0" fontId="59" fillId="0" borderId="55" xfId="0" applyFont="1" applyBorder="1" applyAlignment="1">
      <alignment horizontal="center" vertical="center" wrapText="1"/>
    </xf>
    <xf numFmtId="0" fontId="55" fillId="7" borderId="70" xfId="0" applyFont="1" applyFill="1" applyBorder="1" applyAlignment="1">
      <alignment horizontal="center" vertical="center" wrapText="1"/>
    </xf>
    <xf numFmtId="0" fontId="58" fillId="41" borderId="9" xfId="0" applyFont="1" applyFill="1" applyBorder="1" applyAlignment="1">
      <alignment horizontal="left" vertical="center" wrapText="1"/>
    </xf>
    <xf numFmtId="0" fontId="58" fillId="41" borderId="69" xfId="0" applyFont="1" applyFill="1" applyBorder="1" applyAlignment="1">
      <alignment horizontal="left" vertical="center" wrapText="1"/>
    </xf>
    <xf numFmtId="0" fontId="55" fillId="7" borderId="10" xfId="0" applyFont="1" applyFill="1" applyBorder="1" applyAlignment="1">
      <alignment horizontal="center" vertical="center" wrapText="1"/>
    </xf>
    <xf numFmtId="0" fontId="59" fillId="39" borderId="17" xfId="0" applyFont="1" applyFill="1" applyBorder="1" applyAlignment="1">
      <alignment horizontal="left" vertical="center" wrapText="1"/>
    </xf>
    <xf numFmtId="0" fontId="55" fillId="4" borderId="62" xfId="0" applyFont="1" applyFill="1" applyBorder="1" applyAlignment="1">
      <alignment horizontal="left" vertical="center" wrapText="1"/>
    </xf>
    <xf numFmtId="0" fontId="58" fillId="0" borderId="9" xfId="0" applyFont="1" applyBorder="1" applyAlignment="1">
      <alignment horizontal="left" vertical="center" wrapText="1"/>
    </xf>
    <xf numFmtId="0" fontId="58" fillId="0" borderId="69" xfId="0" applyFont="1" applyBorder="1" applyAlignment="1">
      <alignment horizontal="left" vertical="center" wrapText="1"/>
    </xf>
    <xf numFmtId="0" fontId="58" fillId="39" borderId="11" xfId="0" applyFont="1" applyFill="1" applyBorder="1" applyAlignment="1">
      <alignment horizontal="left" vertical="center" wrapText="1"/>
    </xf>
    <xf numFmtId="0" fontId="58" fillId="39" borderId="17" xfId="0" applyFont="1" applyFill="1" applyBorder="1" applyAlignment="1">
      <alignment horizontal="left" vertical="center" wrapText="1"/>
    </xf>
    <xf numFmtId="0" fontId="59" fillId="0" borderId="9" xfId="0" applyFont="1" applyBorder="1" applyAlignment="1">
      <alignment horizontal="left" vertical="center" wrapText="1"/>
    </xf>
    <xf numFmtId="0" fontId="55" fillId="7" borderId="60" xfId="0" applyFont="1" applyFill="1" applyBorder="1" applyAlignment="1">
      <alignment horizontal="center" vertical="center" wrapText="1"/>
    </xf>
    <xf numFmtId="0" fontId="59" fillId="39" borderId="76" xfId="0" applyFont="1" applyFill="1" applyBorder="1" applyAlignment="1">
      <alignment horizontal="left" vertical="center" wrapText="1"/>
    </xf>
    <xf numFmtId="0" fontId="58" fillId="42" borderId="11" xfId="0" applyFont="1" applyFill="1" applyBorder="1" applyAlignment="1">
      <alignment horizontal="center" vertical="center" wrapText="1"/>
    </xf>
    <xf numFmtId="0" fontId="58" fillId="42" borderId="17" xfId="0" applyFont="1" applyFill="1" applyBorder="1" applyAlignment="1">
      <alignment horizontal="center" vertical="center" wrapText="1"/>
    </xf>
    <xf numFmtId="0" fontId="55" fillId="7" borderId="77" xfId="0" applyFont="1" applyFill="1" applyBorder="1" applyAlignment="1">
      <alignment horizontal="center" vertical="center" wrapText="1"/>
    </xf>
    <xf numFmtId="0" fontId="59" fillId="0" borderId="77" xfId="0" applyFont="1" applyBorder="1" applyAlignment="1">
      <alignment horizontal="center" vertical="center" wrapText="1"/>
    </xf>
    <xf numFmtId="0" fontId="58" fillId="0" borderId="80" xfId="0" applyFont="1" applyBorder="1" applyAlignment="1">
      <alignment horizontal="center" vertical="center" wrapText="1"/>
    </xf>
    <xf numFmtId="0" fontId="2" fillId="11" borderId="0" xfId="0" applyFont="1" applyFill="1" applyAlignment="1">
      <alignment horizontal="left" vertical="center"/>
    </xf>
    <xf numFmtId="0" fontId="61" fillId="0" borderId="1" xfId="0" applyFont="1" applyBorder="1" applyAlignment="1">
      <alignment horizontal="center" vertical="center" wrapText="1"/>
    </xf>
    <xf numFmtId="0" fontId="2" fillId="0" borderId="0" xfId="0" applyFont="1" applyAlignment="1">
      <alignment horizontal="center" vertical="center"/>
    </xf>
    <xf numFmtId="0" fontId="5" fillId="4" borderId="83" xfId="0" applyFont="1" applyFill="1" applyBorder="1" applyAlignment="1">
      <alignment horizontal="center" vertical="center" wrapText="1"/>
    </xf>
    <xf numFmtId="0" fontId="16" fillId="43" borderId="9" xfId="0" applyFont="1" applyFill="1" applyBorder="1" applyAlignment="1">
      <alignment horizontal="center" vertical="center" wrapText="1"/>
    </xf>
    <xf numFmtId="0" fontId="5" fillId="4" borderId="9" xfId="0" applyFont="1" applyFill="1" applyBorder="1" applyAlignment="1">
      <alignment horizontal="center" vertical="center" wrapText="1"/>
    </xf>
    <xf numFmtId="0" fontId="27" fillId="0" borderId="1" xfId="0" applyFont="1" applyBorder="1" applyAlignment="1">
      <alignment horizontal="center" vertical="center"/>
    </xf>
    <xf numFmtId="14" fontId="7" fillId="0" borderId="1" xfId="0" applyNumberFormat="1" applyFont="1" applyBorder="1" applyAlignment="1">
      <alignment horizontal="center" vertical="center" wrapText="1"/>
    </xf>
    <xf numFmtId="0" fontId="27" fillId="0" borderId="1" xfId="0" applyFont="1" applyBorder="1" applyAlignment="1">
      <alignment horizontal="center" vertical="center" wrapText="1"/>
    </xf>
    <xf numFmtId="14" fontId="15" fillId="0" borderId="1" xfId="0" applyNumberFormat="1" applyFont="1" applyBorder="1" applyAlignment="1">
      <alignment horizontal="center" vertical="center" wrapText="1"/>
    </xf>
    <xf numFmtId="0" fontId="27" fillId="0" borderId="8" xfId="0" applyFont="1" applyBorder="1" applyAlignment="1">
      <alignment horizontal="center" vertical="center" wrapText="1"/>
    </xf>
    <xf numFmtId="0" fontId="38" fillId="0" borderId="8" xfId="0" applyFont="1" applyBorder="1" applyAlignment="1">
      <alignment horizontal="center" vertical="center" wrapText="1"/>
    </xf>
    <xf numFmtId="0" fontId="62" fillId="0" borderId="1" xfId="0" applyFont="1" applyBorder="1" applyAlignment="1">
      <alignment horizontal="center" vertical="center" wrapText="1"/>
    </xf>
    <xf numFmtId="14" fontId="62" fillId="0" borderId="1" xfId="0" applyNumberFormat="1" applyFont="1" applyBorder="1" applyAlignment="1">
      <alignment horizontal="center" vertical="center" wrapText="1"/>
    </xf>
    <xf numFmtId="0" fontId="38" fillId="0" borderId="59" xfId="0" applyFont="1" applyBorder="1" applyAlignment="1">
      <alignment horizontal="center" vertical="center" wrapText="1"/>
    </xf>
    <xf numFmtId="14" fontId="15" fillId="0" borderId="9" xfId="0" applyNumberFormat="1" applyFont="1" applyBorder="1" applyAlignment="1">
      <alignment horizontal="center" vertical="center" wrapText="1"/>
    </xf>
    <xf numFmtId="14" fontId="15" fillId="0" borderId="5" xfId="0" applyNumberFormat="1" applyFont="1" applyBorder="1" applyAlignment="1">
      <alignment horizontal="center" vertical="center" wrapText="1"/>
    </xf>
    <xf numFmtId="0" fontId="15" fillId="0" borderId="29" xfId="0" applyFont="1" applyBorder="1" applyAlignment="1">
      <alignment horizontal="center" vertical="center" wrapText="1"/>
    </xf>
    <xf numFmtId="14" fontId="15" fillId="0" borderId="87" xfId="0" applyNumberFormat="1" applyFont="1" applyBorder="1" applyAlignment="1">
      <alignment horizontal="center" vertical="center" wrapText="1"/>
    </xf>
    <xf numFmtId="0" fontId="27" fillId="0" borderId="89" xfId="0" applyFont="1" applyBorder="1" applyAlignment="1">
      <alignment horizontal="center" vertical="center" wrapText="1"/>
    </xf>
    <xf numFmtId="0" fontId="38" fillId="0" borderId="89" xfId="0" applyFont="1" applyBorder="1" applyAlignment="1">
      <alignment horizontal="center" vertical="center" wrapText="1"/>
    </xf>
    <xf numFmtId="0" fontId="15" fillId="0" borderId="89" xfId="0" applyFont="1" applyBorder="1" applyAlignment="1">
      <alignment horizontal="center" vertical="center" wrapText="1"/>
    </xf>
    <xf numFmtId="0" fontId="5" fillId="4" borderId="68" xfId="0" applyFont="1" applyFill="1" applyBorder="1" applyAlignment="1">
      <alignment horizontal="center" vertical="center" wrapText="1"/>
    </xf>
    <xf numFmtId="0" fontId="16" fillId="4" borderId="92" xfId="0" applyFont="1" applyFill="1" applyBorder="1" applyAlignment="1">
      <alignment horizontal="center" vertical="center" wrapText="1"/>
    </xf>
    <xf numFmtId="0" fontId="0" fillId="0" borderId="96" xfId="0" applyBorder="1" applyAlignment="1"/>
    <xf numFmtId="0" fontId="2" fillId="0" borderId="99" xfId="0" applyFont="1" applyBorder="1" applyAlignment="1">
      <alignment horizontal="center" vertical="center"/>
    </xf>
    <xf numFmtId="0" fontId="41" fillId="0" borderId="0" xfId="0" applyFont="1" applyAlignment="1">
      <alignment horizontal="center" vertical="center"/>
    </xf>
    <xf numFmtId="0" fontId="63" fillId="4" borderId="4" xfId="0" applyFont="1" applyFill="1" applyBorder="1" applyAlignment="1">
      <alignment horizontal="center" vertical="center" wrapText="1"/>
    </xf>
    <xf numFmtId="0" fontId="63" fillId="4" borderId="1" xfId="0" applyFont="1" applyFill="1" applyBorder="1" applyAlignment="1">
      <alignment horizontal="center" vertical="center" wrapText="1"/>
    </xf>
    <xf numFmtId="0" fontId="64" fillId="0" borderId="1" xfId="0" applyFont="1" applyBorder="1" applyAlignment="1">
      <alignment horizontal="center" vertical="center" wrapText="1"/>
    </xf>
    <xf numFmtId="0" fontId="65" fillId="0" borderId="1" xfId="0" applyFont="1" applyBorder="1" applyAlignment="1">
      <alignment horizontal="center" vertical="center" wrapText="1"/>
    </xf>
    <xf numFmtId="0" fontId="8" fillId="0" borderId="1" xfId="0" applyFont="1" applyBorder="1" applyAlignment="1">
      <alignment horizontal="center" vertical="center"/>
    </xf>
    <xf numFmtId="0" fontId="2" fillId="0" borderId="1" xfId="0" applyFont="1" applyBorder="1" applyAlignment="1">
      <alignment horizontal="center" vertical="center"/>
    </xf>
    <xf numFmtId="0" fontId="66" fillId="0" borderId="1" xfId="0" applyFont="1" applyBorder="1" applyAlignment="1">
      <alignment horizontal="center" vertical="center" wrapText="1"/>
    </xf>
    <xf numFmtId="3" fontId="8" fillId="0" borderId="1" xfId="0" applyNumberFormat="1" applyFont="1" applyBorder="1" applyAlignment="1">
      <alignment horizontal="center" vertical="center" wrapText="1"/>
    </xf>
    <xf numFmtId="176" fontId="8" fillId="0" borderId="1" xfId="0" applyNumberFormat="1" applyFont="1" applyBorder="1" applyAlignment="1">
      <alignment horizontal="center" vertical="center" wrapText="1"/>
    </xf>
    <xf numFmtId="0" fontId="63" fillId="4" borderId="16" xfId="0" applyFont="1" applyFill="1" applyBorder="1" applyAlignment="1">
      <alignment horizontal="center" vertical="center" wrapText="1"/>
    </xf>
    <xf numFmtId="0" fontId="63" fillId="4" borderId="77" xfId="0" applyFont="1" applyFill="1" applyBorder="1" applyAlignment="1">
      <alignment horizontal="center" vertical="center" wrapText="1"/>
    </xf>
    <xf numFmtId="0" fontId="63" fillId="4" borderId="104" xfId="0" applyFont="1" applyFill="1" applyBorder="1" applyAlignment="1">
      <alignment horizontal="center" vertical="center" wrapText="1"/>
    </xf>
    <xf numFmtId="0" fontId="63" fillId="4" borderId="105" xfId="0" applyFont="1" applyFill="1" applyBorder="1" applyAlignment="1">
      <alignment horizontal="center" vertical="center" wrapText="1"/>
    </xf>
    <xf numFmtId="0" fontId="8" fillId="0" borderId="16" xfId="0" applyFont="1" applyBorder="1" applyAlignment="1">
      <alignment horizontal="center" vertical="center"/>
    </xf>
    <xf numFmtId="0" fontId="8" fillId="0" borderId="9" xfId="0" applyFont="1" applyBorder="1" applyAlignment="1">
      <alignment horizontal="center" vertical="center" wrapText="1"/>
    </xf>
    <xf numFmtId="0" fontId="8" fillId="0" borderId="11" xfId="0" applyFont="1" applyBorder="1" applyAlignment="1">
      <alignment horizontal="center" vertical="center" wrapText="1"/>
    </xf>
    <xf numFmtId="0" fontId="11" fillId="4" borderId="16" xfId="0" applyFont="1" applyFill="1" applyBorder="1" applyAlignment="1">
      <alignment horizontal="center" vertical="center" wrapText="1"/>
    </xf>
    <xf numFmtId="0" fontId="8" fillId="0" borderId="0" xfId="0" applyFont="1" applyAlignment="1">
      <alignment horizontal="center" vertical="center" wrapText="1"/>
    </xf>
    <xf numFmtId="0" fontId="70" fillId="0" borderId="0" xfId="0" applyFont="1" applyAlignment="1">
      <alignment horizontal="center" vertical="center" wrapText="1"/>
    </xf>
    <xf numFmtId="0" fontId="70" fillId="0" borderId="0" xfId="0" applyFont="1" applyAlignment="1">
      <alignment horizontal="left" vertical="center" wrapText="1"/>
    </xf>
    <xf numFmtId="3" fontId="11" fillId="4" borderId="1" xfId="0" applyNumberFormat="1" applyFont="1" applyFill="1" applyBorder="1" applyAlignment="1">
      <alignment horizontal="center" vertical="center" wrapText="1"/>
    </xf>
    <xf numFmtId="176" fontId="11" fillId="4" borderId="1" xfId="0" applyNumberFormat="1" applyFont="1" applyFill="1" applyBorder="1" applyAlignment="1">
      <alignment horizontal="center" vertical="center" wrapText="1"/>
    </xf>
    <xf numFmtId="9" fontId="11" fillId="4" borderId="1" xfId="0" applyNumberFormat="1" applyFont="1" applyFill="1" applyBorder="1" applyAlignment="1">
      <alignment horizontal="center" vertical="center" wrapText="1"/>
    </xf>
    <xf numFmtId="0" fontId="36" fillId="0" borderId="1" xfId="0" applyFont="1" applyBorder="1" applyAlignment="1">
      <alignment horizontal="center" vertical="center" wrapText="1"/>
    </xf>
    <xf numFmtId="0" fontId="36" fillId="0" borderId="11" xfId="0" applyFont="1" applyBorder="1" applyAlignment="1">
      <alignment horizontal="center" vertical="center" wrapText="1"/>
    </xf>
    <xf numFmtId="0" fontId="65" fillId="0" borderId="11" xfId="0" applyFont="1" applyBorder="1" applyAlignment="1">
      <alignment horizontal="center" vertical="center" wrapText="1"/>
    </xf>
    <xf numFmtId="0" fontId="2" fillId="0" borderId="11" xfId="0" applyFont="1" applyBorder="1" applyAlignment="1">
      <alignment horizontal="center" vertical="center" wrapText="1"/>
    </xf>
    <xf numFmtId="0" fontId="15" fillId="0" borderId="0" xfId="0" applyFont="1" applyAlignment="1"/>
    <xf numFmtId="0" fontId="8" fillId="0" borderId="0" xfId="0" applyFont="1" applyAlignment="1"/>
    <xf numFmtId="0" fontId="72" fillId="4" borderId="1" xfId="0" applyFont="1" applyFill="1" applyBorder="1" applyAlignment="1">
      <alignment horizontal="center" vertical="center" wrapText="1"/>
    </xf>
    <xf numFmtId="9" fontId="64" fillId="0" borderId="8" xfId="0" applyNumberFormat="1" applyFont="1" applyBorder="1" applyAlignment="1">
      <alignment horizontal="center" vertical="center" wrapText="1"/>
    </xf>
    <xf numFmtId="9" fontId="8" fillId="0" borderId="8" xfId="0" applyNumberFormat="1" applyFont="1" applyBorder="1" applyAlignment="1">
      <alignment horizontal="center" vertical="center" wrapText="1"/>
    </xf>
    <xf numFmtId="9" fontId="73" fillId="0" borderId="8" xfId="0" applyNumberFormat="1" applyFont="1" applyBorder="1" applyAlignment="1">
      <alignment horizontal="center" vertical="center" wrapText="1"/>
    </xf>
    <xf numFmtId="9" fontId="8" fillId="45" borderId="1" xfId="0" applyNumberFormat="1" applyFont="1" applyFill="1" applyBorder="1" applyAlignment="1">
      <alignment horizontal="center" vertical="center" wrapText="1"/>
    </xf>
    <xf numFmtId="9" fontId="8" fillId="46" borderId="1" xfId="0" applyNumberFormat="1" applyFont="1" applyFill="1" applyBorder="1" applyAlignment="1">
      <alignment horizontal="center" vertical="center" wrapText="1"/>
    </xf>
    <xf numFmtId="9" fontId="64" fillId="0" borderId="1" xfId="0" applyNumberFormat="1" applyFont="1" applyBorder="1" applyAlignment="1">
      <alignment horizontal="center" vertical="center" wrapText="1"/>
    </xf>
    <xf numFmtId="9" fontId="8" fillId="0" borderId="1" xfId="0" applyNumberFormat="1" applyFont="1" applyBorder="1" applyAlignment="1">
      <alignment horizontal="center" vertical="center" wrapText="1"/>
    </xf>
    <xf numFmtId="9" fontId="73" fillId="0" borderId="1" xfId="0" applyNumberFormat="1" applyFont="1" applyBorder="1" applyAlignment="1">
      <alignment horizontal="center" vertical="center" wrapText="1"/>
    </xf>
    <xf numFmtId="177" fontId="8" fillId="0" borderId="1" xfId="0" applyNumberFormat="1" applyFont="1" applyBorder="1" applyAlignment="1">
      <alignment horizontal="center" vertical="center" wrapText="1"/>
    </xf>
    <xf numFmtId="9" fontId="65" fillId="45" borderId="1" xfId="0" applyNumberFormat="1" applyFont="1" applyFill="1" applyBorder="1" applyAlignment="1">
      <alignment horizontal="center" vertical="center" wrapText="1"/>
    </xf>
    <xf numFmtId="9" fontId="65" fillId="46" borderId="1" xfId="0" applyNumberFormat="1" applyFont="1" applyFill="1" applyBorder="1" applyAlignment="1">
      <alignment horizontal="center" vertical="center" wrapText="1"/>
    </xf>
    <xf numFmtId="0" fontId="8" fillId="0" borderId="8" xfId="0" applyFont="1" applyBorder="1" applyAlignment="1">
      <alignment horizontal="center" vertical="center" wrapText="1"/>
    </xf>
    <xf numFmtId="0" fontId="74" fillId="0" borderId="4" xfId="0" applyFont="1" applyBorder="1" applyAlignment="1">
      <alignment horizontal="center" vertical="center" wrapText="1"/>
    </xf>
    <xf numFmtId="0" fontId="74" fillId="0" borderId="1" xfId="0" applyFont="1" applyBorder="1" applyAlignment="1">
      <alignment horizontal="center" vertical="center" wrapText="1"/>
    </xf>
    <xf numFmtId="0" fontId="8" fillId="11" borderId="8" xfId="0" applyFont="1" applyFill="1" applyBorder="1" applyAlignment="1">
      <alignment horizontal="center" vertical="center" wrapText="1"/>
    </xf>
    <xf numFmtId="0" fontId="75" fillId="0" borderId="0" xfId="0" applyFont="1" applyAlignment="1">
      <alignment horizontal="center" vertical="center" wrapText="1"/>
    </xf>
    <xf numFmtId="0" fontId="74" fillId="0" borderId="59" xfId="0" applyFont="1" applyBorder="1" applyAlignment="1">
      <alignment vertical="center" wrapText="1"/>
    </xf>
    <xf numFmtId="0" fontId="66" fillId="0" borderId="0" xfId="0" applyFont="1" applyAlignment="1">
      <alignment horizontal="center" vertical="center"/>
    </xf>
    <xf numFmtId="9" fontId="66" fillId="0" borderId="0" xfId="0" applyNumberFormat="1" applyFont="1" applyAlignment="1">
      <alignment horizontal="center" vertical="center"/>
    </xf>
    <xf numFmtId="0" fontId="11" fillId="4" borderId="19" xfId="0" applyFont="1" applyFill="1" applyBorder="1" applyAlignment="1">
      <alignment horizontal="center" vertical="center" wrapText="1"/>
    </xf>
    <xf numFmtId="9" fontId="64" fillId="11" borderId="116" xfId="0" applyNumberFormat="1" applyFont="1" applyFill="1" applyBorder="1" applyAlignment="1">
      <alignment horizontal="center" vertical="center" wrapText="1"/>
    </xf>
    <xf numFmtId="0" fontId="64" fillId="11" borderId="116" xfId="0" applyFont="1" applyFill="1" applyBorder="1" applyAlignment="1">
      <alignment horizontal="center" vertical="center"/>
    </xf>
    <xf numFmtId="9" fontId="8" fillId="11" borderId="116" xfId="0" applyNumberFormat="1" applyFont="1" applyFill="1" applyBorder="1" applyAlignment="1">
      <alignment horizontal="center" vertical="center" wrapText="1"/>
    </xf>
    <xf numFmtId="9" fontId="73" fillId="0" borderId="29" xfId="0" applyNumberFormat="1" applyFont="1" applyBorder="1" applyAlignment="1">
      <alignment horizontal="center" vertical="center" wrapText="1"/>
    </xf>
    <xf numFmtId="9" fontId="8" fillId="45" borderId="117" xfId="0" applyNumberFormat="1" applyFont="1" applyFill="1" applyBorder="1" applyAlignment="1">
      <alignment horizontal="center" vertical="center" wrapText="1"/>
    </xf>
    <xf numFmtId="9" fontId="8" fillId="47" borderId="117" xfId="0" applyNumberFormat="1" applyFont="1" applyFill="1" applyBorder="1" applyAlignment="1">
      <alignment horizontal="center" vertical="center" wrapText="1"/>
    </xf>
    <xf numFmtId="9" fontId="64" fillId="0" borderId="29" xfId="0" applyNumberFormat="1" applyFont="1" applyBorder="1" applyAlignment="1">
      <alignment horizontal="center" vertical="center" wrapText="1"/>
    </xf>
    <xf numFmtId="0" fontId="64" fillId="0" borderId="32" xfId="0" applyFont="1" applyBorder="1" applyAlignment="1">
      <alignment horizontal="center" vertical="center"/>
    </xf>
    <xf numFmtId="9" fontId="8" fillId="0" borderId="32" xfId="0" applyNumberFormat="1" applyFont="1" applyBorder="1" applyAlignment="1">
      <alignment horizontal="center" vertical="center" wrapText="1"/>
    </xf>
    <xf numFmtId="9" fontId="73" fillId="0" borderId="32" xfId="0" applyNumberFormat="1" applyFont="1" applyBorder="1" applyAlignment="1">
      <alignment horizontal="center" vertical="center" wrapText="1"/>
    </xf>
    <xf numFmtId="9" fontId="8" fillId="45" borderId="50" xfId="0" applyNumberFormat="1" applyFont="1" applyFill="1" applyBorder="1" applyAlignment="1">
      <alignment horizontal="center" vertical="center" wrapText="1"/>
    </xf>
    <xf numFmtId="9" fontId="8" fillId="46" borderId="9" xfId="0" applyNumberFormat="1" applyFont="1" applyFill="1" applyBorder="1" applyAlignment="1">
      <alignment horizontal="center" vertical="center" wrapText="1"/>
    </xf>
    <xf numFmtId="0" fontId="64" fillId="0" borderId="29" xfId="0" applyFont="1" applyBorder="1" applyAlignment="1">
      <alignment horizontal="center" vertical="center"/>
    </xf>
    <xf numFmtId="9" fontId="8" fillId="0" borderId="29" xfId="0" applyNumberFormat="1" applyFont="1" applyBorder="1" applyAlignment="1">
      <alignment horizontal="center" vertical="center" wrapText="1"/>
    </xf>
    <xf numFmtId="9" fontId="65" fillId="45" borderId="50" xfId="0" applyNumberFormat="1" applyFont="1" applyFill="1" applyBorder="1" applyAlignment="1">
      <alignment horizontal="center" vertical="center" wrapText="1"/>
    </xf>
    <xf numFmtId="9" fontId="65" fillId="46" borderId="9" xfId="0" applyNumberFormat="1" applyFont="1" applyFill="1" applyBorder="1" applyAlignment="1">
      <alignment horizontal="center" vertical="center" wrapText="1"/>
    </xf>
    <xf numFmtId="9" fontId="76" fillId="0" borderId="29" xfId="0" applyNumberFormat="1" applyFont="1" applyBorder="1" applyAlignment="1">
      <alignment horizontal="center" vertical="center" wrapText="1"/>
    </xf>
    <xf numFmtId="0" fontId="8" fillId="0" borderId="29" xfId="0" applyFont="1" applyBorder="1" applyAlignment="1">
      <alignment horizontal="center" vertical="center" wrapText="1"/>
    </xf>
    <xf numFmtId="9" fontId="8" fillId="11" borderId="32" xfId="0" applyNumberFormat="1" applyFont="1" applyFill="1" applyBorder="1" applyAlignment="1">
      <alignment horizontal="center" vertical="center" wrapText="1"/>
    </xf>
    <xf numFmtId="9" fontId="73" fillId="11" borderId="29" xfId="0" applyNumberFormat="1" applyFont="1" applyFill="1" applyBorder="1" applyAlignment="1">
      <alignment horizontal="center" vertical="center" wrapText="1"/>
    </xf>
    <xf numFmtId="9" fontId="64" fillId="11" borderId="29" xfId="0" applyNumberFormat="1" applyFont="1" applyFill="1" applyBorder="1" applyAlignment="1">
      <alignment horizontal="center" vertical="center" wrapText="1"/>
    </xf>
    <xf numFmtId="0" fontId="64" fillId="11" borderId="32" xfId="0" applyFont="1" applyFill="1" applyBorder="1" applyAlignment="1">
      <alignment horizontal="center" vertical="center"/>
    </xf>
    <xf numFmtId="9" fontId="73" fillId="11" borderId="32" xfId="0" applyNumberFormat="1" applyFont="1" applyFill="1" applyBorder="1" applyAlignment="1">
      <alignment horizontal="center" vertical="center" wrapText="1"/>
    </xf>
    <xf numFmtId="9" fontId="64" fillId="0" borderId="32" xfId="0" applyNumberFormat="1" applyFont="1" applyBorder="1" applyAlignment="1">
      <alignment horizontal="center" vertical="center" wrapText="1"/>
    </xf>
    <xf numFmtId="9" fontId="8" fillId="48" borderId="1" xfId="0" applyNumberFormat="1" applyFont="1" applyFill="1" applyBorder="1" applyAlignment="1">
      <alignment horizontal="center" vertical="center" wrapText="1"/>
    </xf>
    <xf numFmtId="9" fontId="77" fillId="45" borderId="1" xfId="0" applyNumberFormat="1" applyFont="1" applyFill="1" applyBorder="1" applyAlignment="1">
      <alignment horizontal="center" vertical="center" wrapText="1"/>
    </xf>
    <xf numFmtId="9" fontId="77" fillId="46" borderId="1" xfId="0" applyNumberFormat="1" applyFont="1" applyFill="1" applyBorder="1" applyAlignment="1">
      <alignment horizontal="center" vertical="center" wrapText="1"/>
    </xf>
    <xf numFmtId="9" fontId="77" fillId="48" borderId="1" xfId="0" applyNumberFormat="1" applyFont="1" applyFill="1" applyBorder="1" applyAlignment="1">
      <alignment horizontal="center" vertical="center" wrapText="1"/>
    </xf>
    <xf numFmtId="9" fontId="66" fillId="49" borderId="1" xfId="0" applyNumberFormat="1" applyFont="1" applyFill="1" applyBorder="1" applyAlignment="1">
      <alignment horizontal="center" vertical="center"/>
    </xf>
    <xf numFmtId="9" fontId="65" fillId="48" borderId="1" xfId="0" applyNumberFormat="1" applyFont="1" applyFill="1" applyBorder="1" applyAlignment="1">
      <alignment horizontal="center" vertical="center" wrapText="1"/>
    </xf>
    <xf numFmtId="9" fontId="65" fillId="49" borderId="1" xfId="0" applyNumberFormat="1" applyFont="1" applyFill="1" applyBorder="1" applyAlignment="1">
      <alignment horizontal="center" vertical="center"/>
    </xf>
    <xf numFmtId="0" fontId="11" fillId="50" borderId="1" xfId="0" applyFont="1" applyFill="1" applyBorder="1" applyAlignment="1">
      <alignment horizontal="center" vertical="center" wrapText="1"/>
    </xf>
    <xf numFmtId="9" fontId="66" fillId="49" borderId="8" xfId="0" applyNumberFormat="1" applyFont="1" applyFill="1" applyBorder="1" applyAlignment="1">
      <alignment horizontal="center" vertical="center"/>
    </xf>
    <xf numFmtId="0" fontId="11" fillId="50" borderId="19" xfId="0" applyFont="1" applyFill="1" applyBorder="1" applyAlignment="1">
      <alignment horizontal="center" vertical="center" wrapText="1"/>
    </xf>
    <xf numFmtId="9" fontId="8" fillId="49" borderId="1" xfId="0" applyNumberFormat="1" applyFont="1" applyFill="1" applyBorder="1" applyAlignment="1">
      <alignment horizontal="center" vertical="center"/>
    </xf>
    <xf numFmtId="9" fontId="11" fillId="50" borderId="1" xfId="0" applyNumberFormat="1" applyFont="1" applyFill="1" applyBorder="1" applyAlignment="1">
      <alignment horizontal="center" vertical="center" wrapText="1"/>
    </xf>
    <xf numFmtId="9" fontId="8" fillId="49" borderId="11" xfId="0" applyNumberFormat="1" applyFont="1" applyFill="1" applyBorder="1" applyAlignment="1">
      <alignment horizontal="center" vertical="center"/>
    </xf>
    <xf numFmtId="9" fontId="9" fillId="0" borderId="0" xfId="0" applyNumberFormat="1" applyFont="1" applyAlignment="1">
      <alignment horizontal="center" vertical="center"/>
    </xf>
    <xf numFmtId="9" fontId="8" fillId="48" borderId="117" xfId="0" applyNumberFormat="1" applyFont="1" applyFill="1" applyBorder="1" applyAlignment="1">
      <alignment horizontal="center" vertical="center" wrapText="1"/>
    </xf>
    <xf numFmtId="9" fontId="77" fillId="45" borderId="116" xfId="0" applyNumberFormat="1" applyFont="1" applyFill="1" applyBorder="1" applyAlignment="1">
      <alignment horizontal="center" vertical="center" wrapText="1"/>
    </xf>
    <xf numFmtId="9" fontId="77" fillId="46" borderId="116" xfId="0" applyNumberFormat="1" applyFont="1" applyFill="1" applyBorder="1" applyAlignment="1">
      <alignment horizontal="center" vertical="center" wrapText="1"/>
    </xf>
    <xf numFmtId="9" fontId="77" fillId="48" borderId="117" xfId="0" applyNumberFormat="1" applyFont="1" applyFill="1" applyBorder="1" applyAlignment="1">
      <alignment horizontal="center" vertical="center" wrapText="1"/>
    </xf>
    <xf numFmtId="9" fontId="66" fillId="51" borderId="1" xfId="0" applyNumberFormat="1" applyFont="1" applyFill="1" applyBorder="1" applyAlignment="1">
      <alignment horizontal="center" vertical="center"/>
    </xf>
    <xf numFmtId="9" fontId="8" fillId="48" borderId="9" xfId="0" applyNumberFormat="1" applyFont="1" applyFill="1" applyBorder="1" applyAlignment="1">
      <alignment horizontal="center" vertical="center" wrapText="1"/>
    </xf>
    <xf numFmtId="9" fontId="77" fillId="45" borderId="29" xfId="0" applyNumberFormat="1" applyFont="1" applyFill="1" applyBorder="1" applyAlignment="1">
      <alignment horizontal="center" vertical="center" wrapText="1"/>
    </xf>
    <xf numFmtId="9" fontId="77" fillId="46" borderId="29" xfId="0" applyNumberFormat="1" applyFont="1" applyFill="1" applyBorder="1" applyAlignment="1">
      <alignment horizontal="center" vertical="center" wrapText="1"/>
    </xf>
    <xf numFmtId="9" fontId="77" fillId="48" borderId="50" xfId="0" applyNumberFormat="1" applyFont="1" applyFill="1" applyBorder="1" applyAlignment="1">
      <alignment horizontal="center" vertical="center" wrapText="1"/>
    </xf>
    <xf numFmtId="9" fontId="65" fillId="48" borderId="9" xfId="0" applyNumberFormat="1" applyFont="1" applyFill="1" applyBorder="1" applyAlignment="1">
      <alignment horizontal="center" vertical="center" wrapText="1"/>
    </xf>
    <xf numFmtId="9" fontId="65" fillId="45" borderId="29" xfId="0" applyNumberFormat="1" applyFont="1" applyFill="1" applyBorder="1" applyAlignment="1">
      <alignment horizontal="center" vertical="center" wrapText="1"/>
    </xf>
    <xf numFmtId="9" fontId="65" fillId="46" borderId="29" xfId="0" applyNumberFormat="1" applyFont="1" applyFill="1" applyBorder="1" applyAlignment="1">
      <alignment horizontal="center" vertical="center" wrapText="1"/>
    </xf>
    <xf numFmtId="9" fontId="65" fillId="48" borderId="50" xfId="0" applyNumberFormat="1" applyFont="1" applyFill="1" applyBorder="1" applyAlignment="1">
      <alignment horizontal="center" vertical="center" wrapText="1"/>
    </xf>
    <xf numFmtId="0" fontId="72" fillId="4" borderId="16" xfId="0" applyFont="1" applyFill="1" applyBorder="1" applyAlignment="1">
      <alignment horizontal="center" vertical="center" wrapText="1"/>
    </xf>
    <xf numFmtId="9" fontId="66" fillId="49" borderId="16" xfId="0" applyNumberFormat="1" applyFont="1" applyFill="1" applyBorder="1" applyAlignment="1">
      <alignment horizontal="center" vertical="center"/>
    </xf>
    <xf numFmtId="0" fontId="11" fillId="50" borderId="16" xfId="0" applyFont="1" applyFill="1" applyBorder="1" applyAlignment="1">
      <alignment horizontal="center" vertical="center" wrapText="1"/>
    </xf>
    <xf numFmtId="9" fontId="66" fillId="49" borderId="55" xfId="0" applyNumberFormat="1" applyFont="1" applyFill="1" applyBorder="1" applyAlignment="1">
      <alignment horizontal="center" vertical="center"/>
    </xf>
    <xf numFmtId="0" fontId="11" fillId="50" borderId="49" xfId="0" applyFont="1" applyFill="1" applyBorder="1" applyAlignment="1">
      <alignment horizontal="center" vertical="center" wrapText="1"/>
    </xf>
    <xf numFmtId="9" fontId="66" fillId="51" borderId="16" xfId="0" applyNumberFormat="1" applyFont="1" applyFill="1" applyBorder="1" applyAlignment="1">
      <alignment horizontal="center" vertical="center"/>
    </xf>
    <xf numFmtId="9" fontId="8" fillId="45" borderId="87" xfId="0" applyNumberFormat="1" applyFont="1" applyFill="1" applyBorder="1" applyAlignment="1">
      <alignment horizontal="center" vertical="center" wrapText="1"/>
    </xf>
    <xf numFmtId="9" fontId="8" fillId="46" borderId="59" xfId="0" applyNumberFormat="1" applyFont="1" applyFill="1" applyBorder="1" applyAlignment="1">
      <alignment horizontal="center" vertical="center" wrapText="1"/>
    </xf>
    <xf numFmtId="9" fontId="64" fillId="0" borderId="128" xfId="0" applyNumberFormat="1" applyFont="1" applyBorder="1" applyAlignment="1">
      <alignment horizontal="center" vertical="center" wrapText="1"/>
    </xf>
    <xf numFmtId="9" fontId="8" fillId="45" borderId="129" xfId="0" applyNumberFormat="1" applyFont="1" applyFill="1" applyBorder="1" applyAlignment="1">
      <alignment horizontal="center" vertical="center" wrapText="1"/>
    </xf>
    <xf numFmtId="0" fontId="74" fillId="11" borderId="32" xfId="0" applyFont="1" applyFill="1" applyBorder="1" applyAlignment="1">
      <alignment horizontal="center" vertical="center" wrapText="1"/>
    </xf>
    <xf numFmtId="9" fontId="65" fillId="45" borderId="132" xfId="0" applyNumberFormat="1" applyFont="1" applyFill="1" applyBorder="1" applyAlignment="1">
      <alignment horizontal="center" vertical="center" wrapText="1"/>
    </xf>
    <xf numFmtId="9" fontId="65" fillId="46" borderId="61" xfId="0" applyNumberFormat="1" applyFont="1" applyFill="1" applyBorder="1" applyAlignment="1">
      <alignment horizontal="center" vertical="center" wrapText="1"/>
    </xf>
    <xf numFmtId="0" fontId="74" fillId="0" borderId="0" xfId="0" applyFont="1" applyAlignment="1">
      <alignment horizontal="center" vertical="center" wrapText="1"/>
    </xf>
    <xf numFmtId="0" fontId="74" fillId="0" borderId="29" xfId="0" applyFont="1" applyBorder="1" applyAlignment="1">
      <alignment horizontal="center" vertical="center" wrapText="1"/>
    </xf>
    <xf numFmtId="0" fontId="66" fillId="0" borderId="29" xfId="0" applyFont="1" applyBorder="1" applyAlignment="1">
      <alignment horizontal="center" vertical="center" wrapText="1"/>
    </xf>
    <xf numFmtId="9" fontId="66" fillId="45" borderId="29" xfId="0" applyNumberFormat="1" applyFont="1" applyFill="1" applyBorder="1" applyAlignment="1">
      <alignment horizontal="center" vertical="center" wrapText="1"/>
    </xf>
    <xf numFmtId="0" fontId="64" fillId="0" borderId="29" xfId="0" applyFont="1" applyBorder="1" applyAlignment="1">
      <alignment horizontal="center" vertical="center" wrapText="1"/>
    </xf>
    <xf numFmtId="9" fontId="8" fillId="45" borderId="29" xfId="0" applyNumberFormat="1" applyFont="1" applyFill="1" applyBorder="1" applyAlignment="1">
      <alignment horizontal="center" vertical="center" wrapText="1"/>
    </xf>
    <xf numFmtId="0" fontId="74" fillId="0" borderId="128" xfId="0" applyFont="1" applyBorder="1" applyAlignment="1">
      <alignment horizontal="center" vertical="center" wrapText="1"/>
    </xf>
    <xf numFmtId="0" fontId="66" fillId="0" borderId="128" xfId="0" applyFont="1" applyBorder="1" applyAlignment="1">
      <alignment horizontal="center" vertical="center" wrapText="1"/>
    </xf>
    <xf numFmtId="9" fontId="73" fillId="0" borderId="128" xfId="0" applyNumberFormat="1" applyFont="1" applyBorder="1" applyAlignment="1">
      <alignment horizontal="center" vertical="center" wrapText="1"/>
    </xf>
    <xf numFmtId="9" fontId="66" fillId="45" borderId="128" xfId="0" applyNumberFormat="1" applyFont="1" applyFill="1" applyBorder="1" applyAlignment="1">
      <alignment horizontal="center" vertical="center" wrapText="1"/>
    </xf>
    <xf numFmtId="9" fontId="66" fillId="46" borderId="128" xfId="0" applyNumberFormat="1" applyFont="1" applyFill="1" applyBorder="1" applyAlignment="1">
      <alignment horizontal="center" vertical="center" wrapText="1"/>
    </xf>
    <xf numFmtId="0" fontId="5" fillId="22" borderId="0" xfId="0" applyFont="1" applyFill="1" applyAlignment="1">
      <alignment horizontal="center" vertical="center" wrapText="1"/>
    </xf>
    <xf numFmtId="0" fontId="74" fillId="22" borderId="0" xfId="0" applyFont="1" applyFill="1" applyAlignment="1">
      <alignment horizontal="center" vertical="center" wrapText="1"/>
    </xf>
    <xf numFmtId="0" fontId="66" fillId="22" borderId="0" xfId="0" applyFont="1" applyFill="1" applyAlignment="1">
      <alignment horizontal="center" vertical="center" wrapText="1"/>
    </xf>
    <xf numFmtId="9" fontId="78" fillId="22" borderId="0" xfId="0" applyNumberFormat="1" applyFont="1" applyFill="1" applyAlignment="1">
      <alignment horizontal="center" vertical="center" wrapText="1"/>
    </xf>
    <xf numFmtId="9" fontId="66" fillId="22" borderId="0" xfId="0" applyNumberFormat="1" applyFont="1" applyFill="1" applyAlignment="1">
      <alignment horizontal="center" vertical="center" wrapText="1"/>
    </xf>
    <xf numFmtId="9" fontId="78" fillId="0" borderId="1" xfId="0" applyNumberFormat="1" applyFont="1" applyBorder="1" applyAlignment="1">
      <alignment horizontal="center" vertical="center" wrapText="1"/>
    </xf>
    <xf numFmtId="0" fontId="64" fillId="0" borderId="11" xfId="0" applyFont="1" applyBorder="1" applyAlignment="1">
      <alignment horizontal="center" vertical="center" wrapText="1"/>
    </xf>
    <xf numFmtId="0" fontId="66" fillId="0" borderId="11" xfId="0" applyFont="1" applyBorder="1" applyAlignment="1">
      <alignment horizontal="center" vertical="center" wrapText="1"/>
    </xf>
    <xf numFmtId="9" fontId="73" fillId="0" borderId="11" xfId="0" applyNumberFormat="1" applyFont="1" applyBorder="1" applyAlignment="1">
      <alignment horizontal="center" vertical="center" wrapText="1"/>
    </xf>
    <xf numFmtId="9" fontId="8" fillId="45" borderId="11" xfId="0" applyNumberFormat="1" applyFont="1" applyFill="1" applyBorder="1" applyAlignment="1">
      <alignment horizontal="center" vertical="center" wrapText="1"/>
    </xf>
    <xf numFmtId="9" fontId="8" fillId="46" borderId="11" xfId="0" applyNumberFormat="1" applyFont="1" applyFill="1" applyBorder="1" applyAlignment="1">
      <alignment horizontal="center" vertical="center" wrapText="1"/>
    </xf>
    <xf numFmtId="0" fontId="79" fillId="0" borderId="0" xfId="0" applyFont="1" applyAlignment="1">
      <alignment horizontal="center" vertical="center" wrapText="1"/>
    </xf>
    <xf numFmtId="0" fontId="80" fillId="0" borderId="0" xfId="0" applyFont="1" applyAlignment="1">
      <alignment horizontal="center" vertical="center" wrapText="1"/>
    </xf>
    <xf numFmtId="9" fontId="81" fillId="45" borderId="1" xfId="0" applyNumberFormat="1" applyFont="1" applyFill="1" applyBorder="1" applyAlignment="1">
      <alignment horizontal="center" vertical="center" wrapText="1"/>
    </xf>
    <xf numFmtId="177" fontId="73" fillId="0" borderId="1" xfId="0" applyNumberFormat="1" applyFont="1" applyBorder="1" applyAlignment="1">
      <alignment horizontal="center" vertical="center" wrapText="1"/>
    </xf>
    <xf numFmtId="177" fontId="66" fillId="45" borderId="1" xfId="0" applyNumberFormat="1" applyFont="1" applyFill="1" applyBorder="1" applyAlignment="1">
      <alignment horizontal="center" vertical="center" wrapText="1"/>
    </xf>
    <xf numFmtId="177" fontId="81" fillId="45" borderId="1" xfId="0" applyNumberFormat="1" applyFont="1" applyFill="1" applyBorder="1" applyAlignment="1">
      <alignment horizontal="center" vertical="center" wrapText="1"/>
    </xf>
    <xf numFmtId="177" fontId="74" fillId="0" borderId="11" xfId="0" applyNumberFormat="1" applyFont="1" applyBorder="1" applyAlignment="1">
      <alignment horizontal="center" vertical="center" wrapText="1"/>
    </xf>
    <xf numFmtId="177" fontId="73" fillId="0" borderId="11" xfId="0" applyNumberFormat="1" applyFont="1" applyBorder="1" applyAlignment="1">
      <alignment horizontal="center" vertical="center" wrapText="1"/>
    </xf>
    <xf numFmtId="177" fontId="66" fillId="45" borderId="11" xfId="0" applyNumberFormat="1" applyFont="1" applyFill="1" applyBorder="1" applyAlignment="1">
      <alignment horizontal="center" vertical="center" wrapText="1"/>
    </xf>
    <xf numFmtId="177" fontId="81" fillId="45" borderId="11" xfId="0" applyNumberFormat="1" applyFont="1" applyFill="1" applyBorder="1" applyAlignment="1">
      <alignment horizontal="center" vertical="center" wrapText="1"/>
    </xf>
    <xf numFmtId="9" fontId="8" fillId="48" borderId="59" xfId="0" applyNumberFormat="1" applyFont="1" applyFill="1" applyBorder="1" applyAlignment="1">
      <alignment horizontal="center" vertical="center" wrapText="1"/>
    </xf>
    <xf numFmtId="9" fontId="77" fillId="45" borderId="32" xfId="0" applyNumberFormat="1" applyFont="1" applyFill="1" applyBorder="1" applyAlignment="1">
      <alignment horizontal="center" vertical="center" wrapText="1"/>
    </xf>
    <xf numFmtId="9" fontId="77" fillId="46" borderId="32" xfId="0" applyNumberFormat="1" applyFont="1" applyFill="1" applyBorder="1" applyAlignment="1">
      <alignment horizontal="center" vertical="center" wrapText="1"/>
    </xf>
    <xf numFmtId="9" fontId="77" fillId="48" borderId="87" xfId="0" applyNumberFormat="1" applyFont="1" applyFill="1" applyBorder="1" applyAlignment="1">
      <alignment horizontal="center" vertical="center" wrapText="1"/>
    </xf>
    <xf numFmtId="0" fontId="11" fillId="50" borderId="39" xfId="0" applyFont="1" applyFill="1" applyBorder="1" applyAlignment="1">
      <alignment horizontal="center" vertical="center" wrapText="1"/>
    </xf>
    <xf numFmtId="9" fontId="66" fillId="51" borderId="29" xfId="0" applyNumberFormat="1" applyFont="1" applyFill="1" applyBorder="1" applyAlignment="1">
      <alignment horizontal="center" vertical="center"/>
    </xf>
    <xf numFmtId="9" fontId="77" fillId="45" borderId="39" xfId="0" applyNumberFormat="1" applyFont="1" applyFill="1" applyBorder="1" applyAlignment="1">
      <alignment horizontal="center" vertical="center" wrapText="1"/>
    </xf>
    <xf numFmtId="9" fontId="77" fillId="46" borderId="39" xfId="0" applyNumberFormat="1" applyFont="1" applyFill="1" applyBorder="1" applyAlignment="1">
      <alignment horizontal="center" vertical="center" wrapText="1"/>
    </xf>
    <xf numFmtId="9" fontId="77" fillId="48" borderId="129" xfId="0" applyNumberFormat="1" applyFont="1" applyFill="1" applyBorder="1" applyAlignment="1">
      <alignment horizontal="center" vertical="center" wrapText="1"/>
    </xf>
    <xf numFmtId="9" fontId="66" fillId="51" borderId="128" xfId="0" applyNumberFormat="1" applyFont="1" applyFill="1" applyBorder="1" applyAlignment="1">
      <alignment horizontal="center" vertical="center"/>
    </xf>
    <xf numFmtId="9" fontId="65" fillId="46" borderId="39" xfId="0" applyNumberFormat="1" applyFont="1" applyFill="1" applyBorder="1" applyAlignment="1">
      <alignment horizontal="center" vertical="center" wrapText="1"/>
    </xf>
    <xf numFmtId="9" fontId="65" fillId="48" borderId="129" xfId="0" applyNumberFormat="1" applyFont="1" applyFill="1" applyBorder="1" applyAlignment="1">
      <alignment horizontal="center" vertical="center" wrapText="1"/>
    </xf>
    <xf numFmtId="9" fontId="65" fillId="48" borderId="61" xfId="0" applyNumberFormat="1" applyFont="1" applyFill="1" applyBorder="1" applyAlignment="1">
      <alignment horizontal="center" vertical="center" wrapText="1"/>
    </xf>
    <xf numFmtId="9" fontId="65" fillId="45" borderId="131" xfId="0" applyNumberFormat="1" applyFont="1" applyFill="1" applyBorder="1" applyAlignment="1">
      <alignment horizontal="center" vertical="center" wrapText="1"/>
    </xf>
    <xf numFmtId="9" fontId="65" fillId="46" borderId="131" xfId="0" applyNumberFormat="1" applyFont="1" applyFill="1" applyBorder="1" applyAlignment="1">
      <alignment horizontal="center" vertical="center" wrapText="1"/>
    </xf>
    <xf numFmtId="9" fontId="65" fillId="48" borderId="132" xfId="0" applyNumberFormat="1" applyFont="1" applyFill="1" applyBorder="1" applyAlignment="1">
      <alignment horizontal="center" vertical="center" wrapText="1"/>
    </xf>
    <xf numFmtId="9" fontId="66" fillId="48" borderId="39" xfId="0" applyNumberFormat="1" applyFont="1" applyFill="1" applyBorder="1" applyAlignment="1">
      <alignment horizontal="center" vertical="center" wrapText="1"/>
    </xf>
    <xf numFmtId="9" fontId="81" fillId="45" borderId="39" xfId="0" applyNumberFormat="1" applyFont="1" applyFill="1" applyBorder="1" applyAlignment="1">
      <alignment horizontal="center" vertical="center" wrapText="1"/>
    </xf>
    <xf numFmtId="9" fontId="81" fillId="46" borderId="39" xfId="0" applyNumberFormat="1" applyFont="1" applyFill="1" applyBorder="1" applyAlignment="1">
      <alignment horizontal="center" vertical="center" wrapText="1"/>
    </xf>
    <xf numFmtId="9" fontId="81" fillId="48" borderId="129" xfId="0" applyNumberFormat="1" applyFont="1" applyFill="1" applyBorder="1" applyAlignment="1">
      <alignment horizontal="center" vertical="center" wrapText="1"/>
    </xf>
    <xf numFmtId="9" fontId="81" fillId="45" borderId="29" xfId="0" applyNumberFormat="1" applyFont="1" applyFill="1" applyBorder="1" applyAlignment="1">
      <alignment horizontal="center" vertical="center" wrapText="1"/>
    </xf>
    <xf numFmtId="9" fontId="81" fillId="46" borderId="29" xfId="0" applyNumberFormat="1" applyFont="1" applyFill="1" applyBorder="1" applyAlignment="1">
      <alignment horizontal="center" vertical="center" wrapText="1"/>
    </xf>
    <xf numFmtId="9" fontId="81" fillId="48" borderId="50" xfId="0" applyNumberFormat="1" applyFont="1" applyFill="1" applyBorder="1" applyAlignment="1">
      <alignment horizontal="center" vertical="center" wrapText="1"/>
    </xf>
    <xf numFmtId="9" fontId="66" fillId="48" borderId="29" xfId="0" applyNumberFormat="1" applyFont="1" applyFill="1" applyBorder="1" applyAlignment="1">
      <alignment horizontal="center" vertical="center" wrapText="1"/>
    </xf>
    <xf numFmtId="9" fontId="66" fillId="48" borderId="128" xfId="0" applyNumberFormat="1" applyFont="1" applyFill="1" applyBorder="1" applyAlignment="1">
      <alignment horizontal="center" vertical="center" wrapText="1"/>
    </xf>
    <xf numFmtId="9" fontId="81" fillId="45" borderId="128" xfId="0" applyNumberFormat="1" applyFont="1" applyFill="1" applyBorder="1" applyAlignment="1">
      <alignment horizontal="center" vertical="center" wrapText="1"/>
    </xf>
    <xf numFmtId="9" fontId="81" fillId="46" borderId="128" xfId="0" applyNumberFormat="1" applyFont="1" applyFill="1" applyBorder="1" applyAlignment="1">
      <alignment horizontal="center" vertical="center" wrapText="1"/>
    </xf>
    <xf numFmtId="9" fontId="81" fillId="48" borderId="138" xfId="0" applyNumberFormat="1" applyFont="1" applyFill="1" applyBorder="1" applyAlignment="1">
      <alignment horizontal="center" vertical="center" wrapText="1"/>
    </xf>
    <xf numFmtId="9" fontId="81" fillId="22" borderId="0" xfId="0" applyNumberFormat="1" applyFont="1" applyFill="1" applyAlignment="1">
      <alignment horizontal="center" vertical="center" wrapText="1"/>
    </xf>
    <xf numFmtId="9" fontId="82" fillId="22" borderId="0" xfId="0" applyNumberFormat="1" applyFont="1" applyFill="1" applyAlignment="1">
      <alignment horizontal="center" vertical="center"/>
    </xf>
    <xf numFmtId="9" fontId="8" fillId="48" borderId="11" xfId="0" applyNumberFormat="1" applyFont="1" applyFill="1" applyBorder="1" applyAlignment="1">
      <alignment horizontal="center" vertical="center" wrapText="1"/>
    </xf>
    <xf numFmtId="9" fontId="77" fillId="45" borderId="11" xfId="0" applyNumberFormat="1" applyFont="1" applyFill="1" applyBorder="1" applyAlignment="1">
      <alignment horizontal="center" vertical="center" wrapText="1"/>
    </xf>
    <xf numFmtId="9" fontId="77" fillId="46" borderId="11" xfId="0" applyNumberFormat="1" applyFont="1" applyFill="1" applyBorder="1" applyAlignment="1">
      <alignment horizontal="center" vertical="center" wrapText="1"/>
    </xf>
    <xf numFmtId="9" fontId="77" fillId="48" borderId="11" xfId="0" applyNumberFormat="1" applyFont="1" applyFill="1" applyBorder="1" applyAlignment="1">
      <alignment horizontal="center" vertical="center" wrapText="1"/>
    </xf>
    <xf numFmtId="0" fontId="80" fillId="0" borderId="0" xfId="0" applyFont="1" applyAlignment="1">
      <alignment horizontal="center" vertical="center"/>
    </xf>
    <xf numFmtId="0" fontId="11" fillId="4" borderId="5" xfId="0" applyFont="1" applyFill="1" applyBorder="1" applyAlignment="1">
      <alignment horizontal="center" vertical="center" wrapText="1"/>
    </xf>
    <xf numFmtId="0" fontId="11" fillId="50" borderId="29" xfId="0" applyFont="1" applyFill="1" applyBorder="1" applyAlignment="1">
      <alignment horizontal="center" vertical="center" wrapText="1"/>
    </xf>
    <xf numFmtId="0" fontId="11" fillId="50" borderId="50" xfId="0" applyFont="1" applyFill="1" applyBorder="1" applyAlignment="1">
      <alignment horizontal="center" vertical="center" wrapText="1"/>
    </xf>
    <xf numFmtId="0" fontId="11" fillId="50" borderId="140" xfId="0" applyFont="1" applyFill="1" applyBorder="1" applyAlignment="1">
      <alignment horizontal="center" vertical="center" wrapText="1"/>
    </xf>
    <xf numFmtId="9" fontId="66" fillId="51" borderId="39" xfId="0" applyNumberFormat="1" applyFont="1" applyFill="1" applyBorder="1" applyAlignment="1">
      <alignment horizontal="center" vertical="center"/>
    </xf>
    <xf numFmtId="9" fontId="66" fillId="51" borderId="30" xfId="0" applyNumberFormat="1" applyFont="1" applyFill="1" applyBorder="1" applyAlignment="1">
      <alignment horizontal="center" vertical="center" wrapText="1"/>
    </xf>
    <xf numFmtId="9" fontId="66" fillId="51" borderId="141" xfId="0" applyNumberFormat="1" applyFont="1" applyFill="1" applyBorder="1" applyAlignment="1">
      <alignment horizontal="center" vertical="center" wrapText="1"/>
    </xf>
    <xf numFmtId="9" fontId="66" fillId="51" borderId="141" xfId="0" applyNumberFormat="1" applyFont="1" applyFill="1" applyBorder="1" applyAlignment="1">
      <alignment horizontal="center" vertical="center"/>
    </xf>
    <xf numFmtId="0" fontId="66" fillId="0" borderId="0" xfId="0" applyFont="1">
      <alignment vertical="center"/>
    </xf>
    <xf numFmtId="0" fontId="11" fillId="4" borderId="49" xfId="0" applyFont="1" applyFill="1" applyBorder="1" applyAlignment="1">
      <alignment horizontal="center" vertical="center" wrapText="1"/>
    </xf>
    <xf numFmtId="9" fontId="82" fillId="51" borderId="16" xfId="0" applyNumberFormat="1" applyFont="1" applyFill="1" applyBorder="1" applyAlignment="1">
      <alignment horizontal="center" vertical="center"/>
    </xf>
    <xf numFmtId="9" fontId="66" fillId="51" borderId="11" xfId="0" applyNumberFormat="1" applyFont="1" applyFill="1" applyBorder="1" applyAlignment="1">
      <alignment horizontal="center" vertical="center"/>
    </xf>
    <xf numFmtId="9" fontId="82" fillId="51" borderId="17" xfId="0" applyNumberFormat="1" applyFont="1" applyFill="1" applyBorder="1" applyAlignment="1">
      <alignment horizontal="center" vertical="center"/>
    </xf>
    <xf numFmtId="0" fontId="9" fillId="0" borderId="0" xfId="0" applyFont="1">
      <alignment vertical="center"/>
    </xf>
    <xf numFmtId="178" fontId="2" fillId="0" borderId="0" xfId="0" applyNumberFormat="1" applyFont="1">
      <alignment vertical="center"/>
    </xf>
    <xf numFmtId="9" fontId="11" fillId="4" borderId="18" xfId="0" applyNumberFormat="1" applyFont="1" applyFill="1" applyBorder="1" applyAlignment="1">
      <alignment horizontal="center" vertical="center" wrapText="1"/>
    </xf>
    <xf numFmtId="9" fontId="11" fillId="4" borderId="19" xfId="0" applyNumberFormat="1" applyFont="1" applyFill="1" applyBorder="1" applyAlignment="1">
      <alignment horizontal="center" vertical="center" wrapText="1"/>
    </xf>
    <xf numFmtId="9" fontId="2" fillId="0" borderId="1" xfId="0" applyNumberFormat="1" applyFont="1" applyBorder="1" applyAlignment="1">
      <alignment horizontal="center" vertical="center" wrapText="1"/>
    </xf>
    <xf numFmtId="9" fontId="9" fillId="0" borderId="1" xfId="0" applyNumberFormat="1" applyFont="1" applyBorder="1" applyAlignment="1">
      <alignment horizontal="center" vertical="center" wrapText="1"/>
    </xf>
    <xf numFmtId="9" fontId="9" fillId="0" borderId="8" xfId="0" applyNumberFormat="1" applyFont="1" applyBorder="1" applyAlignment="1">
      <alignment horizontal="center" vertical="center" wrapText="1"/>
    </xf>
    <xf numFmtId="9" fontId="2" fillId="0" borderId="21" xfId="0" applyNumberFormat="1" applyFont="1" applyBorder="1" applyAlignment="1">
      <alignment horizontal="center" vertical="center" wrapText="1"/>
    </xf>
    <xf numFmtId="9" fontId="9" fillId="0" borderId="11" xfId="0" applyNumberFormat="1" applyFont="1" applyBorder="1" applyAlignment="1">
      <alignment horizontal="center" vertical="center" wrapText="1"/>
    </xf>
    <xf numFmtId="9" fontId="2" fillId="0" borderId="22" xfId="0" applyNumberFormat="1" applyFont="1" applyBorder="1" applyAlignment="1">
      <alignment horizontal="center" vertical="center" wrapText="1"/>
    </xf>
    <xf numFmtId="9" fontId="2" fillId="0" borderId="8" xfId="0" applyNumberFormat="1" applyFont="1" applyBorder="1" applyAlignment="1">
      <alignment horizontal="center" vertical="center" wrapText="1"/>
    </xf>
    <xf numFmtId="9" fontId="11" fillId="3" borderId="2" xfId="0" applyNumberFormat="1" applyFont="1" applyFill="1" applyBorder="1" applyAlignment="1">
      <alignment horizontal="center" vertical="center" wrapText="1"/>
    </xf>
    <xf numFmtId="9" fontId="8" fillId="0" borderId="18" xfId="0" applyNumberFormat="1" applyFont="1" applyBorder="1" applyAlignment="1">
      <alignment horizontal="center" vertical="center" wrapText="1"/>
    </xf>
    <xf numFmtId="9" fontId="9" fillId="0" borderId="9" xfId="0" applyNumberFormat="1" applyFont="1" applyBorder="1" applyAlignment="1">
      <alignment horizontal="center" vertical="center" wrapText="1"/>
    </xf>
    <xf numFmtId="9" fontId="8" fillId="0" borderId="19" xfId="0" applyNumberFormat="1" applyFont="1" applyBorder="1" applyAlignment="1">
      <alignment horizontal="center" vertical="center" wrapText="1"/>
    </xf>
    <xf numFmtId="9" fontId="8" fillId="0" borderId="4" xfId="0" applyNumberFormat="1" applyFont="1" applyBorder="1" applyAlignment="1">
      <alignment horizontal="center" vertical="center" wrapText="1"/>
    </xf>
    <xf numFmtId="9" fontId="8" fillId="0" borderId="59" xfId="0" applyNumberFormat="1" applyFont="1" applyBorder="1" applyAlignment="1">
      <alignment horizontal="center" vertical="center" wrapText="1"/>
    </xf>
    <xf numFmtId="9" fontId="8" fillId="0" borderId="20" xfId="0" applyNumberFormat="1" applyFont="1" applyBorder="1" applyAlignment="1">
      <alignment horizontal="center" vertical="center" wrapText="1"/>
    </xf>
    <xf numFmtId="9" fontId="8" fillId="0" borderId="139" xfId="0" applyNumberFormat="1" applyFont="1" applyBorder="1" applyAlignment="1">
      <alignment horizontal="center" vertical="center" wrapText="1"/>
    </xf>
    <xf numFmtId="9" fontId="8" fillId="0" borderId="7" xfId="0" applyNumberFormat="1" applyFont="1" applyBorder="1" applyAlignment="1">
      <alignment horizontal="center" vertical="center" wrapText="1"/>
    </xf>
    <xf numFmtId="9" fontId="8" fillId="0" borderId="14" xfId="0" applyNumberFormat="1" applyFont="1" applyBorder="1" applyAlignment="1">
      <alignment horizontal="center" vertical="center" wrapText="1"/>
    </xf>
    <xf numFmtId="9" fontId="8" fillId="0" borderId="11" xfId="0" applyNumberFormat="1" applyFont="1" applyBorder="1" applyAlignment="1">
      <alignment horizontal="center" vertical="center" wrapText="1"/>
    </xf>
    <xf numFmtId="9" fontId="8" fillId="0" borderId="9" xfId="0" applyNumberFormat="1" applyFont="1" applyBorder="1" applyAlignment="1">
      <alignment horizontal="center" vertical="center" wrapText="1"/>
    </xf>
    <xf numFmtId="9" fontId="2" fillId="0" borderId="9" xfId="0" applyNumberFormat="1" applyFont="1" applyBorder="1" applyAlignment="1">
      <alignment horizontal="center" vertical="center" wrapText="1"/>
    </xf>
    <xf numFmtId="0" fontId="2" fillId="0" borderId="9" xfId="0" applyFont="1" applyBorder="1" applyAlignment="1">
      <alignment horizontal="center" vertical="center" wrapText="1"/>
    </xf>
    <xf numFmtId="9" fontId="2" fillId="0" borderId="11" xfId="0" applyNumberFormat="1" applyFont="1" applyBorder="1" applyAlignment="1">
      <alignment horizontal="center" vertical="center" wrapText="1"/>
    </xf>
    <xf numFmtId="9" fontId="2" fillId="0" borderId="19" xfId="0" applyNumberFormat="1" applyFont="1" applyBorder="1" applyAlignment="1">
      <alignment horizontal="center" vertical="center" wrapText="1"/>
    </xf>
    <xf numFmtId="0" fontId="2" fillId="0" borderId="8" xfId="0" applyFont="1" applyBorder="1" applyAlignment="1">
      <alignment horizontal="center" vertical="center" wrapText="1"/>
    </xf>
    <xf numFmtId="0" fontId="8" fillId="0" borderId="19" xfId="0" applyFont="1" applyBorder="1" applyAlignment="1">
      <alignment horizontal="center" vertical="center" wrapText="1"/>
    </xf>
    <xf numFmtId="0" fontId="8" fillId="0" borderId="59" xfId="0" applyFont="1" applyBorder="1" applyAlignment="1">
      <alignment horizontal="center" vertical="center" wrapText="1"/>
    </xf>
    <xf numFmtId="179" fontId="2" fillId="0" borderId="9" xfId="0" applyNumberFormat="1" applyFont="1" applyBorder="1" applyAlignment="1">
      <alignment horizontal="center" vertical="center" wrapText="1"/>
    </xf>
    <xf numFmtId="179" fontId="2" fillId="0" borderId="1" xfId="0" applyNumberFormat="1" applyFont="1" applyBorder="1" applyAlignment="1">
      <alignment horizontal="center" vertical="center" wrapText="1"/>
    </xf>
    <xf numFmtId="179" fontId="2" fillId="0" borderId="11" xfId="0" applyNumberFormat="1" applyFont="1" applyBorder="1" applyAlignment="1">
      <alignment horizontal="center" vertical="center" wrapText="1"/>
    </xf>
    <xf numFmtId="178" fontId="11" fillId="4" borderId="19" xfId="0" applyNumberFormat="1" applyFont="1" applyFill="1" applyBorder="1" applyAlignment="1">
      <alignment horizontal="center" vertical="center" wrapText="1"/>
    </xf>
    <xf numFmtId="178" fontId="9" fillId="0" borderId="1" xfId="0" applyNumberFormat="1" applyFont="1" applyBorder="1" applyAlignment="1">
      <alignment horizontal="center" vertical="center" wrapText="1"/>
    </xf>
    <xf numFmtId="9" fontId="9" fillId="0" borderId="16" xfId="0" applyNumberFormat="1" applyFont="1" applyBorder="1" applyAlignment="1">
      <alignment horizontal="center" vertical="center" wrapText="1"/>
    </xf>
    <xf numFmtId="178" fontId="9" fillId="0" borderId="11" xfId="0" applyNumberFormat="1" applyFont="1" applyBorder="1" applyAlignment="1">
      <alignment horizontal="center" vertical="center" wrapText="1"/>
    </xf>
    <xf numFmtId="9" fontId="9" fillId="0" borderId="17" xfId="0" applyNumberFormat="1" applyFont="1" applyBorder="1" applyAlignment="1">
      <alignment horizontal="center" vertical="center" wrapText="1"/>
    </xf>
    <xf numFmtId="0" fontId="2" fillId="0" borderId="19" xfId="0" applyFont="1" applyBorder="1" applyAlignment="1">
      <alignment horizontal="center" vertical="center" wrapText="1"/>
    </xf>
    <xf numFmtId="9" fontId="9" fillId="0" borderId="55" xfId="0" applyNumberFormat="1" applyFont="1" applyBorder="1" applyAlignment="1">
      <alignment horizontal="center" vertical="center" wrapText="1"/>
    </xf>
    <xf numFmtId="178" fontId="9" fillId="0" borderId="9" xfId="0" applyNumberFormat="1" applyFont="1" applyBorder="1" applyAlignment="1">
      <alignment horizontal="center" vertical="center" wrapText="1"/>
    </xf>
    <xf numFmtId="9" fontId="9" fillId="0" borderId="49" xfId="0" applyNumberFormat="1" applyFont="1" applyBorder="1" applyAlignment="1">
      <alignment horizontal="center" vertical="center" wrapText="1"/>
    </xf>
    <xf numFmtId="178" fontId="9" fillId="0" borderId="7" xfId="0" applyNumberFormat="1" applyFont="1" applyBorder="1" applyAlignment="1">
      <alignment horizontal="center" vertical="center" wrapText="1"/>
    </xf>
    <xf numFmtId="9" fontId="9" fillId="0" borderId="7" xfId="0" applyNumberFormat="1" applyFont="1" applyBorder="1" applyAlignment="1">
      <alignment horizontal="center" vertical="center" wrapText="1"/>
    </xf>
    <xf numFmtId="178" fontId="9" fillId="0" borderId="22" xfId="0" applyNumberFormat="1" applyFont="1" applyBorder="1" applyAlignment="1">
      <alignment horizontal="center" vertical="center" wrapText="1"/>
    </xf>
    <xf numFmtId="9" fontId="9" fillId="0" borderId="22" xfId="0" applyNumberFormat="1" applyFont="1" applyBorder="1" applyAlignment="1">
      <alignment horizontal="center" vertical="center" wrapText="1"/>
    </xf>
    <xf numFmtId="178" fontId="9" fillId="0" borderId="19" xfId="0" applyNumberFormat="1" applyFont="1" applyBorder="1" applyAlignment="1">
      <alignment horizontal="center" vertical="center" wrapText="1"/>
    </xf>
    <xf numFmtId="9" fontId="9" fillId="0" borderId="19" xfId="0" applyNumberFormat="1" applyFont="1" applyBorder="1" applyAlignment="1">
      <alignment horizontal="center" vertical="center" wrapText="1"/>
    </xf>
    <xf numFmtId="9" fontId="9" fillId="0" borderId="69" xfId="0" applyNumberFormat="1" applyFont="1" applyBorder="1" applyAlignment="1">
      <alignment horizontal="center" vertical="center" wrapText="1"/>
    </xf>
    <xf numFmtId="178" fontId="9" fillId="0" borderId="8" xfId="0" applyNumberFormat="1" applyFont="1" applyBorder="1" applyAlignment="1">
      <alignment horizontal="center" vertical="center" wrapText="1"/>
    </xf>
    <xf numFmtId="9" fontId="83" fillId="0" borderId="0" xfId="0" applyNumberFormat="1" applyFont="1" applyAlignment="1">
      <alignment horizontal="center" vertical="center" wrapText="1"/>
    </xf>
    <xf numFmtId="0" fontId="83" fillId="0" borderId="0" xfId="0" applyFont="1" applyAlignment="1">
      <alignment horizontal="center" vertical="center" wrapText="1"/>
    </xf>
    <xf numFmtId="178" fontId="83" fillId="0" borderId="0" xfId="0" applyNumberFormat="1" applyFont="1" applyAlignment="1">
      <alignment horizontal="center" vertical="center" wrapText="1"/>
    </xf>
    <xf numFmtId="0" fontId="84" fillId="0" borderId="0" xfId="0" applyFont="1">
      <alignment vertical="center"/>
    </xf>
    <xf numFmtId="0" fontId="36" fillId="0" borderId="0" xfId="0" applyFont="1">
      <alignment vertical="center"/>
    </xf>
    <xf numFmtId="0" fontId="9" fillId="0" borderId="8" xfId="0" applyFont="1" applyBorder="1" applyAlignment="1">
      <alignment horizontal="center" vertical="center" wrapText="1"/>
    </xf>
    <xf numFmtId="0" fontId="8" fillId="0" borderId="0" xfId="0" applyFont="1">
      <alignment vertical="center"/>
    </xf>
    <xf numFmtId="178" fontId="63" fillId="4" borderId="1" xfId="0" applyNumberFormat="1" applyFont="1" applyFill="1" applyBorder="1" applyAlignment="1">
      <alignment horizontal="center" vertical="center" wrapText="1"/>
    </xf>
    <xf numFmtId="0" fontId="9" fillId="0" borderId="16" xfId="0" applyFont="1" applyBorder="1" applyAlignment="1">
      <alignment horizontal="center" vertical="center" wrapText="1"/>
    </xf>
    <xf numFmtId="0" fontId="85" fillId="0" borderId="1" xfId="0" applyFont="1" applyBorder="1" applyAlignment="1">
      <alignment horizontal="center" vertical="center" wrapText="1"/>
    </xf>
    <xf numFmtId="0" fontId="2" fillId="0" borderId="1" xfId="0" applyFont="1" applyBorder="1" applyAlignment="1" applyProtection="1">
      <alignment horizontal="center" vertical="center" wrapText="1"/>
      <protection locked="0"/>
    </xf>
    <xf numFmtId="0" fontId="9" fillId="0" borderId="1" xfId="0" applyFont="1" applyBorder="1" applyAlignment="1" applyProtection="1">
      <alignment horizontal="center" vertical="center" wrapText="1"/>
      <protection locked="0"/>
    </xf>
    <xf numFmtId="0" fontId="9" fillId="0" borderId="55" xfId="0" applyFont="1" applyBorder="1" applyAlignment="1">
      <alignment horizontal="center" vertical="center" wrapText="1"/>
    </xf>
    <xf numFmtId="0" fontId="66" fillId="11" borderId="1" xfId="0" applyFont="1" applyFill="1" applyBorder="1" applyAlignment="1">
      <alignment horizontal="center" vertical="center"/>
    </xf>
    <xf numFmtId="0" fontId="66" fillId="11" borderId="9" xfId="0" applyFont="1" applyFill="1" applyBorder="1" applyAlignment="1">
      <alignment horizontal="center" vertical="center" wrapText="1"/>
    </xf>
    <xf numFmtId="0" fontId="8" fillId="11" borderId="1" xfId="0" applyFont="1" applyFill="1" applyBorder="1" applyAlignment="1">
      <alignment horizontal="center" vertical="center"/>
    </xf>
    <xf numFmtId="0" fontId="8" fillId="11" borderId="8" xfId="0" applyFont="1" applyFill="1" applyBorder="1" applyAlignment="1">
      <alignment horizontal="center" vertical="center"/>
    </xf>
    <xf numFmtId="0" fontId="66" fillId="11" borderId="8" xfId="0" applyFont="1" applyFill="1" applyBorder="1" applyAlignment="1">
      <alignment horizontal="center" vertical="center" wrapText="1"/>
    </xf>
    <xf numFmtId="0" fontId="2" fillId="11" borderId="1" xfId="0" applyFont="1" applyFill="1" applyBorder="1" applyAlignment="1">
      <alignment horizontal="center" vertical="center"/>
    </xf>
    <xf numFmtId="0" fontId="11" fillId="4" borderId="20" xfId="0" applyFont="1" applyFill="1" applyBorder="1" applyAlignment="1">
      <alignment horizontal="center" vertical="center"/>
    </xf>
    <xf numFmtId="0" fontId="87" fillId="0" borderId="16" xfId="0" applyFont="1" applyBorder="1" applyAlignment="1">
      <alignment horizontal="left" vertical="center"/>
    </xf>
    <xf numFmtId="0" fontId="39" fillId="4" borderId="113" xfId="0" applyFont="1" applyFill="1" applyBorder="1" applyAlignment="1">
      <alignment horizontal="center" vertical="center"/>
    </xf>
    <xf numFmtId="0" fontId="11" fillId="4" borderId="58" xfId="0" applyFont="1" applyFill="1" applyBorder="1" applyAlignment="1">
      <alignment horizontal="center" vertical="center"/>
    </xf>
    <xf numFmtId="0" fontId="90" fillId="0" borderId="16" xfId="0" applyFont="1" applyBorder="1" applyAlignment="1">
      <alignment horizontal="left" vertical="center"/>
    </xf>
    <xf numFmtId="0" fontId="39" fillId="4" borderId="109" xfId="0" applyFont="1" applyFill="1" applyBorder="1" applyAlignment="1">
      <alignment horizontal="center" vertical="center"/>
    </xf>
    <xf numFmtId="0" fontId="11" fillId="4" borderId="62" xfId="0" applyFont="1" applyFill="1" applyBorder="1" applyAlignment="1">
      <alignment horizontal="center" vertical="center"/>
    </xf>
    <xf numFmtId="0" fontId="39" fillId="2" borderId="109" xfId="0" applyFont="1" applyFill="1" applyBorder="1" applyAlignment="1">
      <alignment horizontal="left" vertical="center" wrapText="1"/>
    </xf>
    <xf numFmtId="0" fontId="7" fillId="2" borderId="111" xfId="0" applyFont="1" applyFill="1" applyBorder="1" applyAlignment="1">
      <alignment horizontal="left" vertical="center" wrapText="1"/>
    </xf>
    <xf numFmtId="0" fontId="88" fillId="0" borderId="5" xfId="0" applyFont="1" applyBorder="1" applyAlignment="1">
      <alignment horizontal="left" vertical="center"/>
    </xf>
    <xf numFmtId="0" fontId="89" fillId="0" borderId="6" xfId="0" applyFont="1" applyBorder="1" applyAlignment="1">
      <alignment horizontal="left" vertical="center"/>
    </xf>
    <xf numFmtId="0" fontId="89" fillId="0" borderId="71" xfId="0" applyFont="1" applyBorder="1" applyAlignment="1">
      <alignment horizontal="left" vertical="center"/>
    </xf>
    <xf numFmtId="0" fontId="88" fillId="0" borderId="12" xfId="0" applyFont="1" applyBorder="1" applyAlignment="1">
      <alignment horizontal="left" vertical="center"/>
    </xf>
    <xf numFmtId="0" fontId="89" fillId="0" borderId="13" xfId="0" applyFont="1" applyBorder="1" applyAlignment="1">
      <alignment horizontal="left" vertical="center"/>
    </xf>
    <xf numFmtId="0" fontId="89" fillId="0" borderId="75" xfId="0" applyFont="1" applyBorder="1" applyAlignment="1">
      <alignment horizontal="left" vertical="center"/>
    </xf>
    <xf numFmtId="0" fontId="35" fillId="2" borderId="18" xfId="0" applyFont="1" applyFill="1" applyBorder="1" applyAlignment="1">
      <alignment horizontal="center" vertical="center"/>
    </xf>
    <xf numFmtId="0" fontId="35" fillId="2" borderId="49" xfId="0" applyFont="1" applyFill="1" applyBorder="1" applyAlignment="1">
      <alignment horizontal="center" vertical="center"/>
    </xf>
    <xf numFmtId="0" fontId="35" fillId="2" borderId="2" xfId="0" applyFont="1" applyFill="1" applyBorder="1" applyAlignment="1">
      <alignment horizontal="center" vertical="center"/>
    </xf>
    <xf numFmtId="0" fontId="35" fillId="2" borderId="3" xfId="0" applyFont="1" applyFill="1" applyBorder="1" applyAlignment="1">
      <alignment horizontal="center" vertical="center"/>
    </xf>
    <xf numFmtId="0" fontId="35" fillId="2" borderId="15" xfId="0" applyFont="1" applyFill="1" applyBorder="1" applyAlignment="1">
      <alignment horizontal="center" vertical="center"/>
    </xf>
    <xf numFmtId="0" fontId="66" fillId="11" borderId="1" xfId="0" applyFont="1" applyFill="1" applyBorder="1" applyAlignment="1">
      <alignment horizontal="center" vertical="center"/>
    </xf>
    <xf numFmtId="0" fontId="66" fillId="11" borderId="21" xfId="0" applyFont="1" applyFill="1" applyBorder="1" applyAlignment="1">
      <alignment horizontal="center" vertical="center"/>
    </xf>
    <xf numFmtId="0" fontId="66" fillId="11" borderId="22" xfId="0" applyFont="1" applyFill="1" applyBorder="1" applyAlignment="1">
      <alignment horizontal="center" vertical="center"/>
    </xf>
    <xf numFmtId="0" fontId="66" fillId="11" borderId="73" xfId="0" applyFont="1" applyFill="1" applyBorder="1" applyAlignment="1">
      <alignment horizontal="center" vertical="center"/>
    </xf>
    <xf numFmtId="0" fontId="66" fillId="11" borderId="155" xfId="0" applyFont="1" applyFill="1" applyBorder="1" applyAlignment="1">
      <alignment horizontal="center" vertical="center"/>
    </xf>
    <xf numFmtId="0" fontId="66" fillId="11" borderId="68" xfId="0" applyFont="1" applyFill="1" applyBorder="1" applyAlignment="1">
      <alignment horizontal="center" vertical="center"/>
    </xf>
    <xf numFmtId="0" fontId="66" fillId="11" borderId="74" xfId="0" applyFont="1" applyFill="1" applyBorder="1" applyAlignment="1">
      <alignment horizontal="center" vertical="center"/>
    </xf>
    <xf numFmtId="0" fontId="15" fillId="11" borderId="0" xfId="0" applyFont="1" applyFill="1" applyAlignment="1">
      <alignment horizontal="left" vertical="center" wrapText="1"/>
    </xf>
    <xf numFmtId="0" fontId="15" fillId="11" borderId="66" xfId="0" applyFont="1" applyFill="1" applyBorder="1" applyAlignment="1">
      <alignment horizontal="left" vertical="center" wrapText="1"/>
    </xf>
    <xf numFmtId="0" fontId="15" fillId="11" borderId="110" xfId="0" applyFont="1" applyFill="1" applyBorder="1" applyAlignment="1">
      <alignment horizontal="left" vertical="center" wrapText="1"/>
    </xf>
    <xf numFmtId="0" fontId="15" fillId="11" borderId="111" xfId="0" applyFont="1" applyFill="1" applyBorder="1" applyAlignment="1">
      <alignment horizontal="left" vertical="center" wrapText="1"/>
    </xf>
    <xf numFmtId="0" fontId="2" fillId="11" borderId="21" xfId="0" applyFont="1" applyFill="1" applyBorder="1" applyAlignment="1">
      <alignment horizontal="center" vertical="center"/>
    </xf>
    <xf numFmtId="0" fontId="2" fillId="11" borderId="22" xfId="0" applyFont="1" applyFill="1" applyBorder="1" applyAlignment="1">
      <alignment horizontal="center" vertical="center"/>
    </xf>
    <xf numFmtId="0" fontId="2" fillId="11" borderId="73" xfId="0" applyFont="1" applyFill="1" applyBorder="1" applyAlignment="1">
      <alignment horizontal="center" vertical="center"/>
    </xf>
    <xf numFmtId="0" fontId="2" fillId="11" borderId="155" xfId="0" applyFont="1" applyFill="1" applyBorder="1" applyAlignment="1">
      <alignment horizontal="center" vertical="center"/>
    </xf>
    <xf numFmtId="0" fontId="2" fillId="11" borderId="68" xfId="0" applyFont="1" applyFill="1" applyBorder="1" applyAlignment="1">
      <alignment horizontal="center" vertical="center"/>
    </xf>
    <xf numFmtId="0" fontId="2" fillId="11" borderId="74" xfId="0" applyFont="1" applyFill="1" applyBorder="1" applyAlignment="1">
      <alignment horizontal="center" vertical="center"/>
    </xf>
    <xf numFmtId="0" fontId="66" fillId="11" borderId="1" xfId="0" applyFont="1" applyFill="1" applyBorder="1" applyAlignment="1">
      <alignment horizontal="center" vertical="center" wrapText="1"/>
    </xf>
    <xf numFmtId="0" fontId="8" fillId="11" borderId="1" xfId="0" applyFont="1" applyFill="1" applyBorder="1" applyAlignment="1">
      <alignment horizontal="center" vertical="center" wrapText="1"/>
    </xf>
    <xf numFmtId="0" fontId="8" fillId="11" borderId="16" xfId="0" applyFont="1" applyFill="1" applyBorder="1" applyAlignment="1">
      <alignment horizontal="center" vertical="center" wrapText="1"/>
    </xf>
    <xf numFmtId="0" fontId="66" fillId="11" borderId="16" xfId="0" applyFont="1" applyFill="1" applyBorder="1" applyAlignment="1">
      <alignment horizontal="center" vertical="center" wrapText="1"/>
    </xf>
    <xf numFmtId="0" fontId="8" fillId="11" borderId="69" xfId="0" applyFont="1" applyFill="1" applyBorder="1" applyAlignment="1">
      <alignment horizontal="center" vertical="center" wrapText="1"/>
    </xf>
    <xf numFmtId="0" fontId="66" fillId="11" borderId="55" xfId="0" applyFont="1" applyFill="1" applyBorder="1" applyAlignment="1">
      <alignment horizontal="center" vertical="center" wrapText="1"/>
    </xf>
    <xf numFmtId="0" fontId="8" fillId="11" borderId="55" xfId="0" applyFont="1" applyFill="1" applyBorder="1" applyAlignment="1">
      <alignment horizontal="center" vertical="center" wrapText="1"/>
    </xf>
    <xf numFmtId="0" fontId="8" fillId="11" borderId="64" xfId="0" applyFont="1" applyFill="1" applyBorder="1" applyAlignment="1">
      <alignment horizontal="center" vertical="center" wrapText="1"/>
    </xf>
    <xf numFmtId="0" fontId="66" fillId="11" borderId="8" xfId="0" applyFont="1" applyFill="1" applyBorder="1" applyAlignment="1">
      <alignment horizontal="center" vertical="center" wrapText="1"/>
    </xf>
    <xf numFmtId="0" fontId="66" fillId="11" borderId="59" xfId="0" applyFont="1" applyFill="1" applyBorder="1" applyAlignment="1">
      <alignment horizontal="center" vertical="center" wrapText="1"/>
    </xf>
    <xf numFmtId="0" fontId="66" fillId="11" borderId="9" xfId="0" applyFont="1" applyFill="1" applyBorder="1" applyAlignment="1">
      <alignment horizontal="center" vertical="center" wrapText="1"/>
    </xf>
    <xf numFmtId="0" fontId="2" fillId="11" borderId="8" xfId="0" applyFont="1" applyFill="1" applyBorder="1" applyAlignment="1">
      <alignment horizontal="center" vertical="center" wrapText="1"/>
    </xf>
    <xf numFmtId="0" fontId="2" fillId="11" borderId="59" xfId="0" applyFont="1" applyFill="1" applyBorder="1" applyAlignment="1">
      <alignment horizontal="center" vertical="center" wrapText="1"/>
    </xf>
    <xf numFmtId="0" fontId="2" fillId="11" borderId="9" xfId="0" applyFont="1" applyFill="1" applyBorder="1" applyAlignment="1">
      <alignment horizontal="center" vertical="center" wrapText="1"/>
    </xf>
    <xf numFmtId="0" fontId="5" fillId="7" borderId="20" xfId="0" applyFont="1" applyFill="1" applyBorder="1" applyAlignment="1">
      <alignment horizontal="center" vertical="center"/>
    </xf>
    <xf numFmtId="0" fontId="5" fillId="7" borderId="58" xfId="0" applyFont="1" applyFill="1" applyBorder="1" applyAlignment="1">
      <alignment horizontal="center" vertical="center"/>
    </xf>
    <xf numFmtId="0" fontId="5" fillId="7" borderId="62" xfId="0" applyFont="1" applyFill="1" applyBorder="1" applyAlignment="1">
      <alignment horizontal="center" vertical="center"/>
    </xf>
    <xf numFmtId="0" fontId="5" fillId="8" borderId="4" xfId="0" applyFont="1" applyFill="1" applyBorder="1" applyAlignment="1">
      <alignment horizontal="center" vertical="center"/>
    </xf>
    <xf numFmtId="0" fontId="55" fillId="8" borderId="4" xfId="0" applyFont="1" applyFill="1" applyBorder="1">
      <alignment vertical="center"/>
    </xf>
    <xf numFmtId="0" fontId="5" fillId="14" borderId="20" xfId="0" applyFont="1" applyFill="1" applyBorder="1" applyAlignment="1">
      <alignment horizontal="center" vertical="center"/>
    </xf>
    <xf numFmtId="0" fontId="5" fillId="14" borderId="58" xfId="0" applyFont="1" applyFill="1" applyBorder="1" applyAlignment="1">
      <alignment horizontal="center" vertical="center"/>
    </xf>
    <xf numFmtId="0" fontId="5" fillId="14" borderId="62" xfId="0" applyFont="1" applyFill="1" applyBorder="1" applyAlignment="1">
      <alignment horizontal="center" vertical="center"/>
    </xf>
    <xf numFmtId="0" fontId="5" fillId="44" borderId="4" xfId="0" applyFont="1" applyFill="1" applyBorder="1" applyAlignment="1">
      <alignment horizontal="center" vertical="center"/>
    </xf>
    <xf numFmtId="0" fontId="5" fillId="44" borderId="4" xfId="0" applyFont="1" applyFill="1" applyBorder="1">
      <alignment vertical="center"/>
    </xf>
    <xf numFmtId="0" fontId="25" fillId="11" borderId="113" xfId="0" applyFont="1" applyFill="1" applyBorder="1" applyAlignment="1">
      <alignment horizontal="center" vertical="center"/>
    </xf>
    <xf numFmtId="0" fontId="25" fillId="11" borderId="109" xfId="0" applyFont="1" applyFill="1" applyBorder="1" applyAlignment="1">
      <alignment horizontal="center" vertical="center"/>
    </xf>
    <xf numFmtId="0" fontId="3" fillId="0" borderId="0" xfId="0" applyFont="1" applyAlignment="1">
      <alignment horizontal="center" vertical="center"/>
    </xf>
    <xf numFmtId="0" fontId="34" fillId="2" borderId="18" xfId="0" applyFont="1" applyFill="1" applyBorder="1" applyAlignment="1">
      <alignment horizontal="center" vertical="center" wrapText="1"/>
    </xf>
    <xf numFmtId="0" fontId="35" fillId="2" borderId="19" xfId="0" applyFont="1" applyFill="1" applyBorder="1" applyAlignment="1">
      <alignment horizontal="center" vertical="center" wrapText="1"/>
    </xf>
    <xf numFmtId="0" fontId="35" fillId="2" borderId="49" xfId="0" applyFont="1" applyFill="1" applyBorder="1" applyAlignment="1">
      <alignment horizontal="center" vertical="center" wrapText="1"/>
    </xf>
    <xf numFmtId="0" fontId="63" fillId="4" borderId="1" xfId="0" applyFont="1" applyFill="1" applyBorder="1" applyAlignment="1">
      <alignment horizontal="center" vertical="center"/>
    </xf>
    <xf numFmtId="0" fontId="63" fillId="4" borderId="16" xfId="0" applyFont="1" applyFill="1" applyBorder="1" applyAlignment="1">
      <alignment horizontal="center" vertical="center"/>
    </xf>
    <xf numFmtId="0" fontId="66" fillId="11" borderId="9" xfId="0" applyFont="1" applyFill="1" applyBorder="1" applyAlignment="1">
      <alignment horizontal="center" vertical="center"/>
    </xf>
    <xf numFmtId="0" fontId="66" fillId="11" borderId="8" xfId="0" applyFont="1" applyFill="1" applyBorder="1" applyAlignment="1">
      <alignment horizontal="center" vertical="center"/>
    </xf>
    <xf numFmtId="0" fontId="63" fillId="4" borderId="4" xfId="0" applyFont="1" applyFill="1" applyBorder="1" applyAlignment="1">
      <alignment horizontal="center" vertical="center"/>
    </xf>
    <xf numFmtId="0" fontId="16" fillId="4" borderId="4" xfId="0" applyFont="1" applyFill="1" applyBorder="1" applyAlignment="1">
      <alignment horizontal="center" vertical="center"/>
    </xf>
    <xf numFmtId="0" fontId="5" fillId="4" borderId="4" xfId="0" applyFont="1" applyFill="1" applyBorder="1" applyAlignment="1">
      <alignment horizontal="center" vertical="center"/>
    </xf>
    <xf numFmtId="0" fontId="5" fillId="3" borderId="4" xfId="0" applyFont="1" applyFill="1" applyBorder="1" applyAlignment="1">
      <alignment horizontal="center" vertical="center"/>
    </xf>
    <xf numFmtId="0" fontId="5" fillId="3" borderId="20" xfId="0" applyFont="1" applyFill="1" applyBorder="1" applyAlignment="1">
      <alignment horizontal="center" vertical="center"/>
    </xf>
    <xf numFmtId="0" fontId="63" fillId="4" borderId="1" xfId="0" applyFont="1" applyFill="1" applyBorder="1" applyAlignment="1">
      <alignment horizontal="center" vertical="center" wrapText="1"/>
    </xf>
    <xf numFmtId="0" fontId="66" fillId="11" borderId="1" xfId="0" applyFont="1" applyFill="1" applyBorder="1" applyAlignment="1">
      <alignment vertical="center" wrapText="1"/>
    </xf>
    <xf numFmtId="0" fontId="26" fillId="0" borderId="0" xfId="0" applyFont="1" applyAlignment="1">
      <alignment horizontal="center" vertical="center"/>
    </xf>
    <xf numFmtId="0" fontId="34" fillId="2" borderId="106" xfId="0" applyFont="1" applyFill="1" applyBorder="1" applyAlignment="1">
      <alignment horizontal="center" vertical="center"/>
    </xf>
    <xf numFmtId="0" fontId="34" fillId="2" borderId="107" xfId="0" applyFont="1" applyFill="1" applyBorder="1" applyAlignment="1">
      <alignment horizontal="center" vertical="center"/>
    </xf>
    <xf numFmtId="178" fontId="34" fillId="2" borderId="107" xfId="0" applyNumberFormat="1" applyFont="1" applyFill="1" applyBorder="1" applyAlignment="1">
      <alignment horizontal="center" vertical="center"/>
    </xf>
    <xf numFmtId="0" fontId="34" fillId="2" borderId="108" xfId="0" applyFont="1" applyFill="1" applyBorder="1" applyAlignment="1">
      <alignment horizontal="center" vertical="center"/>
    </xf>
    <xf numFmtId="0" fontId="64" fillId="0" borderId="154" xfId="0" applyFont="1" applyBorder="1" applyAlignment="1">
      <alignment horizontal="center" vertical="center" wrapText="1"/>
    </xf>
    <xf numFmtId="0" fontId="64" fillId="0" borderId="13" xfId="0" applyFont="1" applyBorder="1" applyAlignment="1">
      <alignment horizontal="center" vertical="center" wrapText="1"/>
    </xf>
    <xf numFmtId="0" fontId="64" fillId="0" borderId="75" xfId="0" applyFont="1" applyBorder="1" applyAlignment="1">
      <alignment horizontal="center" vertical="center" wrapText="1"/>
    </xf>
    <xf numFmtId="0" fontId="5" fillId="44" borderId="4" xfId="0" applyFont="1" applyFill="1" applyBorder="1" applyAlignment="1">
      <alignment horizontal="center" vertical="center" wrapText="1"/>
    </xf>
    <xf numFmtId="0" fontId="5" fillId="3" borderId="4" xfId="0" applyFont="1" applyFill="1" applyBorder="1" applyAlignment="1">
      <alignment horizontal="center" vertical="center" wrapText="1"/>
    </xf>
    <xf numFmtId="0" fontId="16" fillId="4" borderId="4" xfId="0" applyFont="1" applyFill="1" applyBorder="1" applyAlignment="1">
      <alignment horizontal="center" vertical="center" wrapText="1"/>
    </xf>
    <xf numFmtId="0" fontId="5" fillId="4" borderId="4" xfId="0" applyFont="1" applyFill="1" applyBorder="1" applyAlignment="1">
      <alignment horizontal="center" vertical="center" wrapText="1"/>
    </xf>
    <xf numFmtId="0" fontId="5" fillId="12" borderId="20" xfId="0" applyFont="1" applyFill="1" applyBorder="1" applyAlignment="1">
      <alignment horizontal="center" vertical="center" wrapText="1"/>
    </xf>
    <xf numFmtId="0" fontId="5" fillId="12" borderId="58" xfId="0" applyFont="1" applyFill="1" applyBorder="1" applyAlignment="1">
      <alignment horizontal="center" vertical="center" wrapText="1"/>
    </xf>
    <xf numFmtId="0" fontId="5" fillId="8" borderId="20" xfId="0" applyFont="1" applyFill="1" applyBorder="1" applyAlignment="1">
      <alignment horizontal="center" vertical="center" wrapText="1"/>
    </xf>
    <xf numFmtId="0" fontId="5" fillId="8" borderId="58" xfId="0" applyFont="1" applyFill="1" applyBorder="1" applyAlignment="1">
      <alignment horizontal="center" vertical="center" wrapText="1"/>
    </xf>
    <xf numFmtId="0" fontId="86" fillId="8" borderId="62" xfId="0" applyFont="1" applyFill="1" applyBorder="1" applyAlignment="1">
      <alignment horizontal="center" vertical="center" wrapText="1"/>
    </xf>
    <xf numFmtId="0" fontId="5" fillId="14" borderId="20" xfId="0" applyFont="1" applyFill="1" applyBorder="1" applyAlignment="1">
      <alignment horizontal="center" vertical="center" wrapText="1"/>
    </xf>
    <xf numFmtId="0" fontId="5" fillId="14" borderId="58" xfId="0" applyFont="1" applyFill="1" applyBorder="1" applyAlignment="1">
      <alignment horizontal="center" vertical="center" wrapText="1"/>
    </xf>
    <xf numFmtId="9" fontId="2" fillId="0" borderId="133" xfId="0" applyNumberFormat="1" applyFont="1" applyBorder="1" applyAlignment="1">
      <alignment horizontal="center" vertical="center" wrapText="1"/>
    </xf>
    <xf numFmtId="9" fontId="2" fillId="0" borderId="73" xfId="0" applyNumberFormat="1" applyFont="1" applyBorder="1" applyAlignment="1">
      <alignment horizontal="center" vertical="center" wrapText="1"/>
    </xf>
    <xf numFmtId="9" fontId="2" fillId="0" borderId="59" xfId="0" applyNumberFormat="1" applyFont="1" applyBorder="1" applyAlignment="1">
      <alignment horizontal="center" vertical="center" wrapText="1"/>
    </xf>
    <xf numFmtId="9" fontId="2" fillId="0" borderId="61" xfId="0" applyNumberFormat="1" applyFont="1" applyBorder="1" applyAlignment="1">
      <alignment horizontal="center" vertical="center" wrapText="1"/>
    </xf>
    <xf numFmtId="0" fontId="2" fillId="0" borderId="59" xfId="0" applyFont="1" applyBorder="1" applyAlignment="1">
      <alignment horizontal="center" vertical="center" wrapText="1"/>
    </xf>
    <xf numFmtId="0" fontId="2" fillId="0" borderId="73" xfId="0" applyFont="1" applyBorder="1" applyAlignment="1">
      <alignment horizontal="center" vertical="center" wrapText="1"/>
    </xf>
    <xf numFmtId="0" fontId="9" fillId="0" borderId="73" xfId="0" applyFont="1" applyBorder="1" applyAlignment="1">
      <alignment horizontal="center" vertical="center" wrapText="1"/>
    </xf>
    <xf numFmtId="0" fontId="2" fillId="0" borderId="19" xfId="0" applyFont="1" applyBorder="1" applyAlignment="1">
      <alignment horizontal="center" vertical="center" wrapText="1"/>
    </xf>
    <xf numFmtId="0" fontId="2" fillId="0" borderId="11" xfId="0" applyFont="1" applyBorder="1" applyAlignment="1">
      <alignment horizontal="center" vertical="center" wrapText="1"/>
    </xf>
    <xf numFmtId="0" fontId="2" fillId="0" borderId="9" xfId="0" applyFont="1" applyBorder="1" applyAlignment="1">
      <alignment horizontal="center" vertical="center" wrapText="1"/>
    </xf>
    <xf numFmtId="0" fontId="2" fillId="0" borderId="1" xfId="0" applyFont="1" applyBorder="1" applyAlignment="1">
      <alignment horizontal="center" vertical="center" wrapText="1"/>
    </xf>
    <xf numFmtId="0" fontId="2" fillId="0" borderId="5" xfId="0" applyFont="1" applyBorder="1" applyAlignment="1">
      <alignment horizontal="center" vertical="center" wrapText="1"/>
    </xf>
    <xf numFmtId="0" fontId="2" fillId="0" borderId="12" xfId="0" applyFont="1" applyBorder="1" applyAlignment="1">
      <alignment horizontal="center" vertical="center" wrapText="1"/>
    </xf>
    <xf numFmtId="0" fontId="2" fillId="0" borderId="68" xfId="0" applyFont="1" applyBorder="1" applyAlignment="1">
      <alignment horizontal="center" vertical="center" wrapText="1"/>
    </xf>
    <xf numFmtId="9" fontId="9" fillId="0" borderId="59" xfId="0" applyNumberFormat="1" applyFont="1" applyBorder="1" applyAlignment="1">
      <alignment horizontal="center" vertical="center" wrapText="1"/>
    </xf>
    <xf numFmtId="9" fontId="2" fillId="0" borderId="19" xfId="0" applyNumberFormat="1" applyFont="1" applyBorder="1" applyAlignment="1">
      <alignment horizontal="center" vertical="center" wrapText="1"/>
    </xf>
    <xf numFmtId="9" fontId="2" fillId="0" borderId="11" xfId="0" applyNumberFormat="1" applyFont="1" applyBorder="1" applyAlignment="1">
      <alignment horizontal="center" vertical="center" wrapText="1"/>
    </xf>
    <xf numFmtId="9" fontId="2" fillId="0" borderId="9" xfId="0" applyNumberFormat="1" applyFont="1" applyBorder="1" applyAlignment="1">
      <alignment horizontal="center" vertical="center" wrapText="1"/>
    </xf>
    <xf numFmtId="9" fontId="2" fillId="0" borderId="1" xfId="0" applyNumberFormat="1" applyFont="1" applyBorder="1" applyAlignment="1">
      <alignment horizontal="center" vertical="center" wrapText="1"/>
    </xf>
    <xf numFmtId="0" fontId="2" fillId="0" borderId="8" xfId="0" applyFont="1" applyBorder="1" applyAlignment="1">
      <alignment horizontal="center" vertical="center" wrapText="1"/>
    </xf>
    <xf numFmtId="9" fontId="2" fillId="0" borderId="57" xfId="0" applyNumberFormat="1" applyFont="1" applyBorder="1" applyAlignment="1">
      <alignment horizontal="center" vertical="center" wrapText="1"/>
    </xf>
    <xf numFmtId="0" fontId="9" fillId="0" borderId="59" xfId="0" applyFont="1" applyBorder="1" applyAlignment="1">
      <alignment horizontal="center" vertical="center" wrapText="1"/>
    </xf>
    <xf numFmtId="9" fontId="8" fillId="0" borderId="59" xfId="0" applyNumberFormat="1" applyFont="1" applyBorder="1" applyAlignment="1">
      <alignment horizontal="center" vertical="center" wrapText="1"/>
    </xf>
    <xf numFmtId="9" fontId="8" fillId="0" borderId="19" xfId="0" applyNumberFormat="1" applyFont="1" applyBorder="1" applyAlignment="1">
      <alignment horizontal="center" vertical="center" wrapText="1"/>
    </xf>
    <xf numFmtId="9" fontId="8" fillId="0" borderId="11" xfId="0" applyNumberFormat="1" applyFont="1" applyBorder="1" applyAlignment="1">
      <alignment horizontal="center" vertical="center" wrapText="1"/>
    </xf>
    <xf numFmtId="9" fontId="2" fillId="0" borderId="8" xfId="0" applyNumberFormat="1" applyFont="1" applyBorder="1" applyAlignment="1">
      <alignment horizontal="center" vertical="center" wrapText="1"/>
    </xf>
    <xf numFmtId="9" fontId="2" fillId="0" borderId="1" xfId="0" applyNumberFormat="1" applyFont="1" applyBorder="1" applyAlignment="1">
      <alignment horizontal="left" vertical="center" wrapText="1"/>
    </xf>
    <xf numFmtId="9" fontId="2" fillId="0" borderId="8" xfId="0" applyNumberFormat="1" applyFont="1" applyBorder="1" applyAlignment="1">
      <alignment horizontal="left" vertical="center" wrapText="1"/>
    </xf>
    <xf numFmtId="9" fontId="8" fillId="0" borderId="57" xfId="0" applyNumberFormat="1" applyFont="1" applyBorder="1" applyAlignment="1">
      <alignment horizontal="center" vertical="center" wrapText="1"/>
    </xf>
    <xf numFmtId="9" fontId="8" fillId="0" borderId="61" xfId="0" applyNumberFormat="1" applyFont="1" applyBorder="1" applyAlignment="1">
      <alignment horizontal="center" vertical="center" wrapText="1"/>
    </xf>
    <xf numFmtId="9" fontId="8" fillId="0" borderId="19" xfId="0" applyNumberFormat="1" applyFont="1" applyBorder="1" applyAlignment="1">
      <alignment horizontal="left" vertical="center" wrapText="1"/>
    </xf>
    <xf numFmtId="9" fontId="8" fillId="0" borderId="59" xfId="0" applyNumberFormat="1" applyFont="1" applyBorder="1" applyAlignment="1">
      <alignment horizontal="left" vertical="center" wrapText="1"/>
    </xf>
    <xf numFmtId="9" fontId="8" fillId="0" borderId="11" xfId="0" applyNumberFormat="1" applyFont="1" applyBorder="1" applyAlignment="1">
      <alignment horizontal="left" vertical="center" wrapText="1"/>
    </xf>
    <xf numFmtId="9" fontId="11" fillId="8" borderId="58" xfId="0" applyNumberFormat="1" applyFont="1" applyFill="1" applyBorder="1" applyAlignment="1">
      <alignment horizontal="center" vertical="center" textRotation="255" wrapText="1"/>
    </xf>
    <xf numFmtId="9" fontId="65" fillId="8" borderId="58" xfId="0" applyNumberFormat="1" applyFont="1" applyFill="1" applyBorder="1" applyAlignment="1">
      <alignment horizontal="center" vertical="center" textRotation="255" wrapText="1"/>
    </xf>
    <xf numFmtId="9" fontId="11" fillId="14" borderId="18" xfId="0" applyNumberFormat="1" applyFont="1" applyFill="1" applyBorder="1" applyAlignment="1">
      <alignment horizontal="center" vertical="center" wrapText="1"/>
    </xf>
    <xf numFmtId="9" fontId="11" fillId="14" borderId="58" xfId="0" applyNumberFormat="1" applyFont="1" applyFill="1" applyBorder="1" applyAlignment="1">
      <alignment horizontal="center" vertical="center" wrapText="1"/>
    </xf>
    <xf numFmtId="9" fontId="11" fillId="14" borderId="10" xfId="0" applyNumberFormat="1" applyFont="1" applyFill="1" applyBorder="1" applyAlignment="1">
      <alignment horizontal="center" vertical="center" wrapText="1"/>
    </xf>
    <xf numFmtId="9" fontId="11" fillId="2" borderId="62" xfId="0" applyNumberFormat="1" applyFont="1" applyFill="1" applyBorder="1" applyAlignment="1">
      <alignment horizontal="center" vertical="center" textRotation="255" wrapText="1"/>
    </xf>
    <xf numFmtId="9" fontId="11" fillId="2" borderId="4" xfId="0" applyNumberFormat="1" applyFont="1" applyFill="1" applyBorder="1" applyAlignment="1">
      <alignment horizontal="center" vertical="center" textRotation="255" wrapText="1"/>
    </xf>
    <xf numFmtId="9" fontId="11" fillId="2" borderId="10" xfId="0" applyNumberFormat="1" applyFont="1" applyFill="1" applyBorder="1" applyAlignment="1">
      <alignment horizontal="center" vertical="center" textRotation="255" wrapText="1"/>
    </xf>
    <xf numFmtId="9" fontId="11" fillId="4" borderId="62" xfId="0" applyNumberFormat="1" applyFont="1" applyFill="1" applyBorder="1" applyAlignment="1">
      <alignment horizontal="center" vertical="center" textRotation="255" wrapText="1"/>
    </xf>
    <xf numFmtId="9" fontId="11" fillId="4" borderId="4" xfId="0" applyNumberFormat="1" applyFont="1" applyFill="1" applyBorder="1" applyAlignment="1">
      <alignment horizontal="center" vertical="center" textRotation="255" wrapText="1"/>
    </xf>
    <xf numFmtId="9" fontId="11" fillId="4" borderId="10" xfId="0" applyNumberFormat="1" applyFont="1" applyFill="1" applyBorder="1" applyAlignment="1">
      <alignment horizontal="center" vertical="center" textRotation="255" wrapText="1"/>
    </xf>
    <xf numFmtId="0" fontId="34" fillId="2" borderId="113" xfId="0" applyFont="1" applyFill="1" applyBorder="1" applyAlignment="1">
      <alignment horizontal="center" vertical="center"/>
    </xf>
    <xf numFmtId="0" fontId="34" fillId="2" borderId="0" xfId="0" applyFont="1" applyFill="1" applyAlignment="1">
      <alignment horizontal="center" vertical="center"/>
    </xf>
    <xf numFmtId="178" fontId="34" fillId="2" borderId="0" xfId="0" applyNumberFormat="1" applyFont="1" applyFill="1" applyAlignment="1">
      <alignment horizontal="center" vertical="center"/>
    </xf>
    <xf numFmtId="9" fontId="11" fillId="9" borderId="4" xfId="0" applyNumberFormat="1" applyFont="1" applyFill="1" applyBorder="1" applyAlignment="1">
      <alignment horizontal="center" vertical="center" wrapText="1"/>
    </xf>
    <xf numFmtId="9" fontId="11" fillId="9" borderId="20" xfId="0" applyNumberFormat="1" applyFont="1" applyFill="1" applyBorder="1" applyAlignment="1">
      <alignment horizontal="center" vertical="center" wrapText="1"/>
    </xf>
    <xf numFmtId="9" fontId="11" fillId="4" borderId="150" xfId="0" applyNumberFormat="1" applyFont="1" applyFill="1" applyBorder="1" applyAlignment="1">
      <alignment horizontal="center" vertical="center" textRotation="255" wrapText="1"/>
    </xf>
    <xf numFmtId="9" fontId="11" fillId="4" borderId="113" xfId="0" applyNumberFormat="1" applyFont="1" applyFill="1" applyBorder="1" applyAlignment="1">
      <alignment horizontal="center" vertical="center" textRotation="255" wrapText="1"/>
    </xf>
    <xf numFmtId="9" fontId="11" fillId="21" borderId="151" xfId="0" applyNumberFormat="1" applyFont="1" applyFill="1" applyBorder="1" applyAlignment="1">
      <alignment horizontal="center" vertical="center" textRotation="255" wrapText="1"/>
    </xf>
    <xf numFmtId="9" fontId="11" fillId="21" borderId="152" xfId="0" applyNumberFormat="1" applyFont="1" applyFill="1" applyBorder="1" applyAlignment="1">
      <alignment horizontal="center" vertical="center" textRotation="255" wrapText="1"/>
    </xf>
    <xf numFmtId="9" fontId="11" fillId="21" borderId="153" xfId="0" applyNumberFormat="1" applyFont="1" applyFill="1" applyBorder="1" applyAlignment="1">
      <alignment horizontal="center" vertical="center" textRotation="255" wrapText="1"/>
    </xf>
    <xf numFmtId="0" fontId="2" fillId="0" borderId="21" xfId="0" applyFont="1" applyBorder="1" applyAlignment="1">
      <alignment horizontal="center" vertical="center" wrapText="1"/>
    </xf>
    <xf numFmtId="0" fontId="11" fillId="4" borderId="133" xfId="0" applyFont="1" applyFill="1" applyBorder="1" applyAlignment="1">
      <alignment horizontal="center" vertical="center" wrapText="1"/>
    </xf>
    <xf numFmtId="0" fontId="11" fillId="4" borderId="134" xfId="0" applyFont="1" applyFill="1" applyBorder="1" applyAlignment="1">
      <alignment horizontal="center" vertical="center" wrapText="1"/>
    </xf>
    <xf numFmtId="0" fontId="11" fillId="4" borderId="68" xfId="0" applyFont="1" applyFill="1" applyBorder="1" applyAlignment="1">
      <alignment horizontal="center" vertical="center" wrapText="1"/>
    </xf>
    <xf numFmtId="0" fontId="11" fillId="4" borderId="74" xfId="0" applyFont="1" applyFill="1" applyBorder="1" applyAlignment="1">
      <alignment horizontal="center" vertical="center" wrapText="1"/>
    </xf>
    <xf numFmtId="0" fontId="11" fillId="4" borderId="21" xfId="0" applyFont="1" applyFill="1" applyBorder="1" applyAlignment="1">
      <alignment horizontal="center" vertical="center" wrapText="1"/>
    </xf>
    <xf numFmtId="0" fontId="11" fillId="4" borderId="54" xfId="0" applyFont="1" applyFill="1" applyBorder="1" applyAlignment="1">
      <alignment horizontal="center" vertical="center" wrapText="1"/>
    </xf>
    <xf numFmtId="0" fontId="11" fillId="4" borderId="148" xfId="0" applyFont="1" applyFill="1" applyBorder="1" applyAlignment="1">
      <alignment horizontal="center" vertical="center" wrapText="1"/>
    </xf>
    <xf numFmtId="0" fontId="11" fillId="4" borderId="72" xfId="0" applyFont="1" applyFill="1" applyBorder="1" applyAlignment="1">
      <alignment horizontal="center" vertical="center" wrapText="1"/>
    </xf>
    <xf numFmtId="0" fontId="11" fillId="4" borderId="149" xfId="0" applyFont="1" applyFill="1" applyBorder="1" applyAlignment="1">
      <alignment horizontal="center" vertical="center" wrapText="1"/>
    </xf>
    <xf numFmtId="9" fontId="66" fillId="0" borderId="1" xfId="0" applyNumberFormat="1" applyFont="1" applyBorder="1" applyAlignment="1">
      <alignment horizontal="left" vertical="center" wrapText="1"/>
    </xf>
    <xf numFmtId="9" fontId="66" fillId="0" borderId="11" xfId="0" applyNumberFormat="1" applyFont="1" applyBorder="1" applyAlignment="1">
      <alignment horizontal="left" vertical="center" wrapText="1"/>
    </xf>
    <xf numFmtId="0" fontId="11" fillId="4" borderId="19" xfId="0" applyFont="1" applyFill="1" applyBorder="1" applyAlignment="1">
      <alignment horizontal="center" vertical="center" wrapText="1"/>
    </xf>
    <xf numFmtId="0" fontId="11" fillId="4" borderId="1" xfId="0" applyFont="1" applyFill="1" applyBorder="1" applyAlignment="1">
      <alignment horizontal="center" vertical="center" wrapText="1"/>
    </xf>
    <xf numFmtId="9" fontId="77" fillId="48" borderId="135" xfId="0" applyNumberFormat="1" applyFont="1" applyFill="1" applyBorder="1" applyAlignment="1">
      <alignment horizontal="center" vertical="center" wrapText="1"/>
    </xf>
    <xf numFmtId="9" fontId="81" fillId="48" borderId="50" xfId="0" applyNumberFormat="1" applyFont="1" applyFill="1" applyBorder="1" applyAlignment="1">
      <alignment horizontal="center" vertical="center" wrapText="1"/>
    </xf>
    <xf numFmtId="0" fontId="8" fillId="0" borderId="50" xfId="0" applyFont="1" applyBorder="1" applyAlignment="1"/>
    <xf numFmtId="9" fontId="77" fillId="48" borderId="1" xfId="0" applyNumberFormat="1" applyFont="1" applyFill="1" applyBorder="1" applyAlignment="1">
      <alignment horizontal="center" vertical="center" wrapText="1"/>
    </xf>
    <xf numFmtId="9" fontId="66" fillId="51" borderId="8" xfId="0" applyNumberFormat="1" applyFont="1" applyFill="1" applyBorder="1" applyAlignment="1">
      <alignment horizontal="center" vertical="center"/>
    </xf>
    <xf numFmtId="9" fontId="66" fillId="51" borderId="9" xfId="0" applyNumberFormat="1" applyFont="1" applyFill="1" applyBorder="1" applyAlignment="1">
      <alignment horizontal="center" vertical="center"/>
    </xf>
    <xf numFmtId="9" fontId="8" fillId="46" borderId="1" xfId="0" applyNumberFormat="1" applyFont="1" applyFill="1" applyBorder="1" applyAlignment="1">
      <alignment horizontal="center" vertical="center" wrapText="1"/>
    </xf>
    <xf numFmtId="9" fontId="66" fillId="46" borderId="29" xfId="0" applyNumberFormat="1" applyFont="1" applyFill="1" applyBorder="1" applyAlignment="1">
      <alignment horizontal="center" vertical="center" wrapText="1"/>
    </xf>
    <xf numFmtId="0" fontId="8" fillId="0" borderId="29" xfId="0" applyFont="1" applyBorder="1" applyAlignment="1"/>
    <xf numFmtId="9" fontId="8" fillId="45" borderId="1" xfId="0" applyNumberFormat="1" applyFont="1" applyFill="1" applyBorder="1" applyAlignment="1">
      <alignment horizontal="center" vertical="center" wrapText="1"/>
    </xf>
    <xf numFmtId="9" fontId="66" fillId="45" borderId="29" xfId="0" applyNumberFormat="1" applyFont="1" applyFill="1" applyBorder="1" applyAlignment="1">
      <alignment horizontal="center" vertical="center" wrapText="1"/>
    </xf>
    <xf numFmtId="0" fontId="2" fillId="0" borderId="1" xfId="0" applyFont="1" applyBorder="1" applyAlignment="1">
      <alignment horizontal="center" vertical="center"/>
    </xf>
    <xf numFmtId="0" fontId="2" fillId="0" borderId="5" xfId="0" applyFont="1" applyBorder="1" applyAlignment="1">
      <alignment horizontal="center" vertical="center"/>
    </xf>
    <xf numFmtId="0" fontId="2" fillId="0" borderId="16" xfId="0" applyFont="1" applyBorder="1" applyAlignment="1">
      <alignment horizontal="center" vertical="center"/>
    </xf>
    <xf numFmtId="9" fontId="2" fillId="0" borderId="1" xfId="0" applyNumberFormat="1" applyFont="1" applyBorder="1" applyAlignment="1">
      <alignment horizontal="center" vertical="center"/>
    </xf>
    <xf numFmtId="9" fontId="2" fillId="0" borderId="11" xfId="0" applyNumberFormat="1" applyFont="1" applyBorder="1" applyAlignment="1">
      <alignment horizontal="center" vertical="center"/>
    </xf>
    <xf numFmtId="0" fontId="2" fillId="0" borderId="11" xfId="0" applyFont="1" applyBorder="1" applyAlignment="1">
      <alignment horizontal="center" vertical="center"/>
    </xf>
    <xf numFmtId="0" fontId="2" fillId="0" borderId="12" xfId="0" applyFont="1" applyBorder="1" applyAlignment="1">
      <alignment horizontal="center" vertical="center"/>
    </xf>
    <xf numFmtId="0" fontId="2" fillId="0" borderId="17" xfId="0" applyFont="1" applyBorder="1" applyAlignment="1">
      <alignment horizontal="center" vertical="center"/>
    </xf>
    <xf numFmtId="9" fontId="2" fillId="51" borderId="11" xfId="0" applyNumberFormat="1" applyFont="1" applyFill="1" applyBorder="1" applyAlignment="1">
      <alignment horizontal="center" vertical="center"/>
    </xf>
    <xf numFmtId="0" fontId="11" fillId="4" borderId="67" xfId="0" applyFont="1" applyFill="1" applyBorder="1" applyAlignment="1">
      <alignment horizontal="center" vertical="center"/>
    </xf>
    <xf numFmtId="0" fontId="11" fillId="4" borderId="3" xfId="0" applyFont="1" applyFill="1" applyBorder="1" applyAlignment="1">
      <alignment horizontal="center" vertical="center"/>
    </xf>
    <xf numFmtId="0" fontId="11" fillId="4" borderId="139" xfId="0" applyFont="1" applyFill="1" applyBorder="1" applyAlignment="1">
      <alignment horizontal="center" vertical="center"/>
    </xf>
    <xf numFmtId="0" fontId="11" fillId="4" borderId="67" xfId="0" applyFont="1" applyFill="1" applyBorder="1" applyAlignment="1">
      <alignment horizontal="center" vertical="center" wrapText="1"/>
    </xf>
    <xf numFmtId="0" fontId="11" fillId="4" borderId="3" xfId="0" applyFont="1" applyFill="1" applyBorder="1" applyAlignment="1">
      <alignment horizontal="center" vertical="center" wrapText="1"/>
    </xf>
    <xf numFmtId="0" fontId="11" fillId="4" borderId="15" xfId="0" applyFont="1" applyFill="1" applyBorder="1" applyAlignment="1">
      <alignment horizontal="center" vertical="center" wrapText="1"/>
    </xf>
    <xf numFmtId="9" fontId="66" fillId="51" borderId="55" xfId="0" applyNumberFormat="1" applyFont="1" applyFill="1" applyBorder="1" applyAlignment="1">
      <alignment horizontal="center" vertical="center"/>
    </xf>
    <xf numFmtId="9" fontId="66" fillId="51" borderId="69" xfId="0" applyNumberFormat="1" applyFont="1" applyFill="1" applyBorder="1" applyAlignment="1">
      <alignment horizontal="center" vertical="center"/>
    </xf>
    <xf numFmtId="0" fontId="11" fillId="4" borderId="9" xfId="0" applyFont="1" applyFill="1" applyBorder="1" applyAlignment="1">
      <alignment horizontal="center" vertical="center" wrapText="1"/>
    </xf>
    <xf numFmtId="9" fontId="66" fillId="51" borderId="21" xfId="0" applyNumberFormat="1" applyFont="1" applyFill="1" applyBorder="1" applyAlignment="1">
      <alignment horizontal="center" vertical="center"/>
    </xf>
    <xf numFmtId="9" fontId="66" fillId="51" borderId="22" xfId="0" applyNumberFormat="1" applyFont="1" applyFill="1" applyBorder="1" applyAlignment="1">
      <alignment horizontal="center" vertical="center"/>
    </xf>
    <xf numFmtId="9" fontId="66" fillId="51" borderId="68" xfId="0" applyNumberFormat="1" applyFont="1" applyFill="1" applyBorder="1" applyAlignment="1">
      <alignment horizontal="center" vertical="center"/>
    </xf>
    <xf numFmtId="9" fontId="66" fillId="51" borderId="74" xfId="0" applyNumberFormat="1" applyFont="1" applyFill="1" applyBorder="1" applyAlignment="1">
      <alignment horizontal="center" vertical="center"/>
    </xf>
    <xf numFmtId="9" fontId="77" fillId="45" borderId="1" xfId="0" applyNumberFormat="1" applyFont="1" applyFill="1" applyBorder="1" applyAlignment="1">
      <alignment horizontal="center" vertical="center" wrapText="1"/>
    </xf>
    <xf numFmtId="9" fontId="81" fillId="45" borderId="29" xfId="0" applyNumberFormat="1" applyFont="1" applyFill="1" applyBorder="1" applyAlignment="1">
      <alignment horizontal="center" vertical="center" wrapText="1"/>
    </xf>
    <xf numFmtId="9" fontId="77" fillId="46" borderId="1" xfId="0" applyNumberFormat="1" applyFont="1" applyFill="1" applyBorder="1" applyAlignment="1">
      <alignment horizontal="center" vertical="center" wrapText="1"/>
    </xf>
    <xf numFmtId="9" fontId="77" fillId="46" borderId="8" xfId="0" applyNumberFormat="1" applyFont="1" applyFill="1" applyBorder="1" applyAlignment="1">
      <alignment horizontal="center" vertical="center" wrapText="1"/>
    </xf>
    <xf numFmtId="9" fontId="65" fillId="46" borderId="19" xfId="0" applyNumberFormat="1" applyFont="1" applyFill="1" applyBorder="1" applyAlignment="1">
      <alignment horizontal="center" vertical="center" wrapText="1"/>
    </xf>
    <xf numFmtId="9" fontId="65" fillId="46" borderId="1" xfId="0" applyNumberFormat="1" applyFont="1" applyFill="1" applyBorder="1" applyAlignment="1">
      <alignment horizontal="center" vertical="center" wrapText="1"/>
    </xf>
    <xf numFmtId="9" fontId="77" fillId="46" borderId="61" xfId="0" applyNumberFormat="1" applyFont="1" applyFill="1" applyBorder="1" applyAlignment="1">
      <alignment horizontal="center" vertical="center" wrapText="1"/>
    </xf>
    <xf numFmtId="9" fontId="81" fillId="46" borderId="29" xfId="0" applyNumberFormat="1" applyFont="1" applyFill="1" applyBorder="1" applyAlignment="1">
      <alignment horizontal="center" vertical="center" wrapText="1"/>
    </xf>
    <xf numFmtId="9" fontId="66" fillId="51" borderId="50" xfId="0" applyNumberFormat="1" applyFont="1" applyFill="1" applyBorder="1" applyAlignment="1">
      <alignment horizontal="center" vertical="center"/>
    </xf>
    <xf numFmtId="9" fontId="66" fillId="51" borderId="28" xfId="0" applyNumberFormat="1" applyFont="1" applyFill="1" applyBorder="1" applyAlignment="1">
      <alignment horizontal="center" vertical="center"/>
    </xf>
    <xf numFmtId="9" fontId="66" fillId="51" borderId="129" xfId="0" applyNumberFormat="1" applyFont="1" applyFill="1" applyBorder="1" applyAlignment="1">
      <alignment horizontal="center" vertical="center"/>
    </xf>
    <xf numFmtId="9" fontId="66" fillId="51" borderId="47" xfId="0" applyNumberFormat="1" applyFont="1" applyFill="1" applyBorder="1" applyAlignment="1">
      <alignment horizontal="center" vertical="center"/>
    </xf>
    <xf numFmtId="9" fontId="66" fillId="51" borderId="138" xfId="0" applyNumberFormat="1" applyFont="1" applyFill="1" applyBorder="1" applyAlignment="1">
      <alignment horizontal="center" vertical="center"/>
    </xf>
    <xf numFmtId="9" fontId="66" fillId="51" borderId="146" xfId="0" applyNumberFormat="1" applyFont="1" applyFill="1" applyBorder="1" applyAlignment="1">
      <alignment horizontal="center" vertical="center"/>
    </xf>
    <xf numFmtId="9" fontId="66" fillId="51" borderId="132" xfId="0" applyNumberFormat="1" applyFont="1" applyFill="1" applyBorder="1" applyAlignment="1">
      <alignment horizontal="center" vertical="center"/>
    </xf>
    <xf numFmtId="9" fontId="66" fillId="51" borderId="147" xfId="0" applyNumberFormat="1" applyFont="1" applyFill="1" applyBorder="1" applyAlignment="1">
      <alignment horizontal="center" vertical="center"/>
    </xf>
    <xf numFmtId="0" fontId="11" fillId="4" borderId="49" xfId="0" applyFont="1" applyFill="1" applyBorder="1" applyAlignment="1">
      <alignment horizontal="center" vertical="center" wrapText="1"/>
    </xf>
    <xf numFmtId="0" fontId="11" fillId="4" borderId="16" xfId="0" applyFont="1" applyFill="1" applyBorder="1" applyAlignment="1">
      <alignment horizontal="center" vertical="center" wrapText="1"/>
    </xf>
    <xf numFmtId="9" fontId="66" fillId="51" borderId="1" xfId="0" applyNumberFormat="1" applyFont="1" applyFill="1" applyBorder="1" applyAlignment="1">
      <alignment horizontal="center" vertical="center"/>
    </xf>
    <xf numFmtId="9" fontId="8" fillId="48" borderId="1" xfId="0" applyNumberFormat="1" applyFont="1" applyFill="1" applyBorder="1" applyAlignment="1">
      <alignment horizontal="center" vertical="center" wrapText="1"/>
    </xf>
    <xf numFmtId="9" fontId="66" fillId="48" borderId="29" xfId="0" applyNumberFormat="1" applyFont="1" applyFill="1" applyBorder="1" applyAlignment="1">
      <alignment horizontal="center" vertical="center" wrapText="1"/>
    </xf>
    <xf numFmtId="9" fontId="8" fillId="45" borderId="8" xfId="0" applyNumberFormat="1" applyFont="1" applyFill="1" applyBorder="1" applyAlignment="1">
      <alignment horizontal="center" vertical="center" wrapText="1"/>
    </xf>
    <xf numFmtId="9" fontId="8" fillId="45" borderId="9" xfId="0" applyNumberFormat="1" applyFont="1" applyFill="1" applyBorder="1" applyAlignment="1">
      <alignment horizontal="center" vertical="center" wrapText="1"/>
    </xf>
    <xf numFmtId="9" fontId="65" fillId="45" borderId="19" xfId="0" applyNumberFormat="1" applyFont="1" applyFill="1" applyBorder="1" applyAlignment="1">
      <alignment horizontal="center" vertical="center" wrapText="1"/>
    </xf>
    <xf numFmtId="9" fontId="65" fillId="45" borderId="1" xfId="0" applyNumberFormat="1" applyFont="1" applyFill="1" applyBorder="1" applyAlignment="1">
      <alignment horizontal="center" vertical="center" wrapText="1"/>
    </xf>
    <xf numFmtId="9" fontId="8" fillId="45" borderId="61" xfId="0" applyNumberFormat="1" applyFont="1" applyFill="1" applyBorder="1" applyAlignment="1">
      <alignment horizontal="center" vertical="center" wrapText="1"/>
    </xf>
    <xf numFmtId="9" fontId="8" fillId="48" borderId="8" xfId="0" applyNumberFormat="1" applyFont="1" applyFill="1" applyBorder="1" applyAlignment="1">
      <alignment horizontal="center" vertical="center" wrapText="1"/>
    </xf>
    <xf numFmtId="9" fontId="8" fillId="48" borderId="61" xfId="0" applyNumberFormat="1" applyFont="1" applyFill="1" applyBorder="1" applyAlignment="1">
      <alignment horizontal="center" vertical="center" wrapText="1"/>
    </xf>
    <xf numFmtId="9" fontId="8" fillId="46" borderId="8" xfId="0" applyNumberFormat="1" applyFont="1" applyFill="1" applyBorder="1" applyAlignment="1">
      <alignment horizontal="center" vertical="center" wrapText="1"/>
    </xf>
    <xf numFmtId="9" fontId="8" fillId="46" borderId="61" xfId="0" applyNumberFormat="1" applyFont="1" applyFill="1" applyBorder="1" applyAlignment="1">
      <alignment horizontal="center" vertical="center" wrapText="1"/>
    </xf>
    <xf numFmtId="0" fontId="66" fillId="0" borderId="29" xfId="0" applyFont="1" applyBorder="1" applyAlignment="1">
      <alignment horizontal="center" vertical="center" wrapText="1"/>
    </xf>
    <xf numFmtId="0" fontId="66" fillId="0" borderId="1" xfId="0" applyFont="1" applyBorder="1" applyAlignment="1">
      <alignment horizontal="center" vertical="center" wrapText="1"/>
    </xf>
    <xf numFmtId="9" fontId="8" fillId="0" borderId="32" xfId="0" applyNumberFormat="1" applyFont="1" applyBorder="1" applyAlignment="1">
      <alignment horizontal="center" vertical="center" wrapText="1"/>
    </xf>
    <xf numFmtId="9" fontId="8" fillId="0" borderId="35" xfId="0" applyNumberFormat="1" applyFont="1" applyBorder="1" applyAlignment="1">
      <alignment horizontal="center" vertical="center" wrapText="1"/>
    </xf>
    <xf numFmtId="9" fontId="8" fillId="11" borderId="32" xfId="0" applyNumberFormat="1" applyFont="1" applyFill="1" applyBorder="1" applyAlignment="1">
      <alignment horizontal="center" vertical="center" wrapText="1"/>
    </xf>
    <xf numFmtId="9" fontId="8" fillId="11" borderId="35" xfId="0" applyNumberFormat="1" applyFont="1" applyFill="1" applyBorder="1" applyAlignment="1">
      <alignment horizontal="center" vertical="center" wrapText="1"/>
    </xf>
    <xf numFmtId="0" fontId="66" fillId="11" borderId="126" xfId="0" applyFont="1" applyFill="1" applyBorder="1" applyAlignment="1">
      <alignment horizontal="center" vertical="center" wrapText="1"/>
    </xf>
    <xf numFmtId="0" fontId="66" fillId="11" borderId="127" xfId="0" applyFont="1" applyFill="1" applyBorder="1" applyAlignment="1">
      <alignment horizontal="center" vertical="center" wrapText="1"/>
    </xf>
    <xf numFmtId="9" fontId="8" fillId="0" borderId="131" xfId="0" applyNumberFormat="1" applyFont="1" applyBorder="1" applyAlignment="1">
      <alignment horizontal="center" vertical="center" wrapText="1"/>
    </xf>
    <xf numFmtId="0" fontId="11" fillId="4" borderId="19" xfId="0" applyFont="1" applyFill="1" applyBorder="1" applyAlignment="1">
      <alignment horizontal="center" vertical="center"/>
    </xf>
    <xf numFmtId="0" fontId="72" fillId="4" borderId="1" xfId="0" applyFont="1" applyFill="1" applyBorder="1" applyAlignment="1">
      <alignment horizontal="center" vertical="center" wrapText="1"/>
    </xf>
    <xf numFmtId="0" fontId="11" fillId="4" borderId="57" xfId="0" applyFont="1" applyFill="1" applyBorder="1" applyAlignment="1">
      <alignment horizontal="center" vertical="center" wrapText="1"/>
    </xf>
    <xf numFmtId="0" fontId="11" fillId="4" borderId="59" xfId="0" applyFont="1" applyFill="1" applyBorder="1" applyAlignment="1">
      <alignment horizontal="center" vertical="center" wrapText="1"/>
    </xf>
    <xf numFmtId="9" fontId="73" fillId="11" borderId="8" xfId="0" applyNumberFormat="1" applyFont="1" applyFill="1" applyBorder="1" applyAlignment="1">
      <alignment horizontal="center" vertical="center" wrapText="1"/>
    </xf>
    <xf numFmtId="9" fontId="73" fillId="11" borderId="61" xfId="0" applyNumberFormat="1" applyFont="1" applyFill="1" applyBorder="1" applyAlignment="1">
      <alignment horizontal="center" vertical="center" wrapText="1"/>
    </xf>
    <xf numFmtId="9" fontId="73" fillId="0" borderId="19" xfId="0" applyNumberFormat="1" applyFont="1" applyBorder="1" applyAlignment="1">
      <alignment horizontal="center" vertical="center" wrapText="1"/>
    </xf>
    <xf numFmtId="9" fontId="73" fillId="0" borderId="1" xfId="0" applyNumberFormat="1" applyFont="1" applyBorder="1" applyAlignment="1">
      <alignment horizontal="center" vertical="center" wrapText="1"/>
    </xf>
    <xf numFmtId="9" fontId="73" fillId="0" borderId="8" xfId="0" applyNumberFormat="1" applyFont="1" applyBorder="1" applyAlignment="1">
      <alignment horizontal="center" vertical="center" wrapText="1"/>
    </xf>
    <xf numFmtId="9" fontId="73" fillId="0" borderId="9" xfId="0" applyNumberFormat="1" applyFont="1" applyBorder="1" applyAlignment="1">
      <alignment horizontal="center" vertical="center" wrapText="1"/>
    </xf>
    <xf numFmtId="9" fontId="76" fillId="0" borderId="32" xfId="0" applyNumberFormat="1" applyFont="1" applyBorder="1" applyAlignment="1">
      <alignment horizontal="center" vertical="center" wrapText="1"/>
    </xf>
    <xf numFmtId="9" fontId="76" fillId="0" borderId="39" xfId="0" applyNumberFormat="1" applyFont="1" applyBorder="1" applyAlignment="1">
      <alignment horizontal="center" vertical="center" wrapText="1"/>
    </xf>
    <xf numFmtId="9" fontId="73" fillId="11" borderId="32" xfId="0" applyNumberFormat="1" applyFont="1" applyFill="1" applyBorder="1" applyAlignment="1">
      <alignment horizontal="center" vertical="center" wrapText="1"/>
    </xf>
    <xf numFmtId="9" fontId="73" fillId="11" borderId="35" xfId="0" applyNumberFormat="1" applyFont="1" applyFill="1" applyBorder="1" applyAlignment="1">
      <alignment horizontal="center" vertical="center" wrapText="1"/>
    </xf>
    <xf numFmtId="9" fontId="73" fillId="11" borderId="36" xfId="0" applyNumberFormat="1" applyFont="1" applyFill="1" applyBorder="1" applyAlignment="1">
      <alignment horizontal="center" vertical="center" wrapText="1"/>
    </xf>
    <xf numFmtId="9" fontId="73" fillId="11" borderId="131" xfId="0" applyNumberFormat="1" applyFont="1" applyFill="1" applyBorder="1" applyAlignment="1">
      <alignment horizontal="center" vertical="center" wrapText="1"/>
    </xf>
    <xf numFmtId="9" fontId="73" fillId="0" borderId="29" xfId="0" applyNumberFormat="1" applyFont="1" applyBorder="1" applyAlignment="1">
      <alignment horizontal="center" vertical="center" wrapText="1"/>
    </xf>
    <xf numFmtId="0" fontId="8" fillId="11" borderId="8" xfId="0" applyFont="1" applyFill="1" applyBorder="1" applyAlignment="1">
      <alignment horizontal="center" vertical="center" wrapText="1"/>
    </xf>
    <xf numFmtId="0" fontId="8" fillId="11" borderId="61" xfId="0" applyFont="1" applyFill="1" applyBorder="1" applyAlignment="1">
      <alignment horizontal="center" vertical="center" wrapText="1"/>
    </xf>
    <xf numFmtId="9" fontId="8" fillId="0" borderId="39" xfId="0" applyNumberFormat="1" applyFont="1" applyBorder="1" applyAlignment="1">
      <alignment horizontal="center" vertical="center" wrapText="1"/>
    </xf>
    <xf numFmtId="9" fontId="8" fillId="11" borderId="39" xfId="0" applyNumberFormat="1" applyFont="1" applyFill="1" applyBorder="1" applyAlignment="1">
      <alignment horizontal="center" vertical="center" wrapText="1"/>
    </xf>
    <xf numFmtId="0" fontId="64" fillId="0" borderId="32" xfId="0" applyFont="1" applyBorder="1" applyAlignment="1">
      <alignment horizontal="center" vertical="center"/>
    </xf>
    <xf numFmtId="0" fontId="64" fillId="0" borderId="35" xfId="0" applyFont="1" applyBorder="1" applyAlignment="1">
      <alignment horizontal="center" vertical="center"/>
    </xf>
    <xf numFmtId="0" fontId="64" fillId="11" borderId="32" xfId="0" applyFont="1" applyFill="1" applyBorder="1" applyAlignment="1">
      <alignment horizontal="center" vertical="center"/>
    </xf>
    <xf numFmtId="0" fontId="64" fillId="11" borderId="35" xfId="0" applyFont="1" applyFill="1" applyBorder="1" applyAlignment="1">
      <alignment horizontal="center" vertical="center"/>
    </xf>
    <xf numFmtId="0" fontId="74" fillId="11" borderId="29" xfId="0" applyFont="1" applyFill="1" applyBorder="1" applyAlignment="1">
      <alignment horizontal="center" vertical="center" wrapText="1"/>
    </xf>
    <xf numFmtId="0" fontId="64" fillId="0" borderId="35" xfId="0" applyFont="1" applyFill="1" applyBorder="1" applyAlignment="1">
      <alignment horizontal="center" vertical="center"/>
    </xf>
    <xf numFmtId="0" fontId="64" fillId="0" borderId="131" xfId="0" applyFont="1" applyBorder="1" applyAlignment="1">
      <alignment horizontal="center" vertical="center"/>
    </xf>
    <xf numFmtId="0" fontId="74" fillId="0" borderId="29" xfId="0" applyFont="1" applyBorder="1" applyAlignment="1">
      <alignment horizontal="center" vertical="center" wrapText="1"/>
    </xf>
    <xf numFmtId="0" fontId="74" fillId="0" borderId="1" xfId="0" applyFont="1" applyBorder="1" applyAlignment="1">
      <alignment horizontal="center" vertical="center" wrapText="1"/>
    </xf>
    <xf numFmtId="9" fontId="64" fillId="0" borderId="1" xfId="0" applyNumberFormat="1" applyFont="1" applyBorder="1" applyAlignment="1">
      <alignment horizontal="center" vertical="center" wrapText="1"/>
    </xf>
    <xf numFmtId="9" fontId="64" fillId="0" borderId="8" xfId="0" applyNumberFormat="1" applyFont="1" applyBorder="1" applyAlignment="1">
      <alignment horizontal="center" vertical="center" wrapText="1"/>
    </xf>
    <xf numFmtId="0" fontId="74" fillId="0" borderId="19" xfId="0" applyFont="1" applyBorder="1" applyAlignment="1">
      <alignment horizontal="center" vertical="center" wrapText="1"/>
    </xf>
    <xf numFmtId="0" fontId="64" fillId="11" borderId="8" xfId="0" applyFont="1" applyFill="1" applyBorder="1" applyAlignment="1">
      <alignment horizontal="center" vertical="center" wrapText="1"/>
    </xf>
    <xf numFmtId="0" fontId="64" fillId="11" borderId="61" xfId="0" applyFont="1" applyFill="1" applyBorder="1" applyAlignment="1">
      <alignment horizontal="center" vertical="center" wrapText="1"/>
    </xf>
    <xf numFmtId="0" fontId="64" fillId="0" borderId="39" xfId="0" applyFont="1" applyBorder="1" applyAlignment="1">
      <alignment horizontal="center" vertical="center"/>
    </xf>
    <xf numFmtId="0" fontId="11" fillId="4" borderId="56" xfId="0" applyFont="1" applyFill="1" applyBorder="1" applyAlignment="1">
      <alignment horizontal="center" vertical="center" wrapText="1"/>
    </xf>
    <xf numFmtId="0" fontId="11" fillId="4" borderId="58" xfId="0" applyFont="1" applyFill="1" applyBorder="1" applyAlignment="1">
      <alignment horizontal="center" vertical="center" wrapText="1"/>
    </xf>
    <xf numFmtId="0" fontId="11" fillId="4" borderId="62" xfId="0" applyFont="1" applyFill="1" applyBorder="1" applyAlignment="1">
      <alignment horizontal="center" vertical="center" wrapText="1"/>
    </xf>
    <xf numFmtId="0" fontId="5" fillId="44" borderId="10" xfId="0" applyFont="1" applyFill="1" applyBorder="1" applyAlignment="1">
      <alignment horizontal="center" vertical="center" wrapText="1"/>
    </xf>
    <xf numFmtId="0" fontId="64" fillId="0" borderId="1" xfId="0" applyFont="1" applyBorder="1" applyAlignment="1">
      <alignment horizontal="center" vertical="center" wrapText="1"/>
    </xf>
    <xf numFmtId="0" fontId="64" fillId="0" borderId="8" xfId="0" applyFont="1" applyBorder="1" applyAlignment="1">
      <alignment horizontal="center" vertical="center" wrapText="1"/>
    </xf>
    <xf numFmtId="0" fontId="74" fillId="0" borderId="18" xfId="0" applyFont="1" applyBorder="1" applyAlignment="1">
      <alignment horizontal="center" vertical="center" wrapText="1"/>
    </xf>
    <xf numFmtId="0" fontId="74" fillId="0" borderId="4" xfId="0" applyFont="1" applyBorder="1" applyAlignment="1">
      <alignment horizontal="center" vertical="center" wrapText="1"/>
    </xf>
    <xf numFmtId="0" fontId="64" fillId="11" borderId="20" xfId="0" applyFont="1" applyFill="1" applyBorder="1" applyAlignment="1">
      <alignment horizontal="center" vertical="center" wrapText="1"/>
    </xf>
    <xf numFmtId="0" fontId="64" fillId="11" borderId="60" xfId="0" applyFont="1" applyFill="1" applyBorder="1" applyAlignment="1">
      <alignment horizontal="center" vertical="center" wrapText="1"/>
    </xf>
    <xf numFmtId="0" fontId="11" fillId="4" borderId="4" xfId="0" applyFont="1" applyFill="1" applyBorder="1" applyAlignment="1">
      <alignment horizontal="center" vertical="center" wrapText="1"/>
    </xf>
    <xf numFmtId="0" fontId="5" fillId="4" borderId="20" xfId="0" applyFont="1" applyFill="1" applyBorder="1" applyAlignment="1">
      <alignment horizontal="center" vertical="center" wrapText="1"/>
    </xf>
    <xf numFmtId="0" fontId="5" fillId="3" borderId="106" xfId="0" applyFont="1" applyFill="1" applyBorder="1" applyAlignment="1">
      <alignment horizontal="center" vertical="center" wrapText="1"/>
    </xf>
    <xf numFmtId="0" fontId="5" fillId="3" borderId="113" xfId="0" applyFont="1" applyFill="1" applyBorder="1" applyAlignment="1">
      <alignment horizontal="center" vertical="center" wrapText="1"/>
    </xf>
    <xf numFmtId="0" fontId="11" fillId="4" borderId="114" xfId="0" applyFont="1" applyFill="1" applyBorder="1" applyAlignment="1">
      <alignment horizontal="center" vertical="center" wrapText="1"/>
    </xf>
    <xf numFmtId="0" fontId="11" fillId="4" borderId="33" xfId="0" applyFont="1" applyFill="1" applyBorder="1" applyAlignment="1">
      <alignment horizontal="center" vertical="center" wrapText="1"/>
    </xf>
    <xf numFmtId="0" fontId="11" fillId="4" borderId="37" xfId="0" applyFont="1" applyFill="1" applyBorder="1" applyAlignment="1">
      <alignment horizontal="center" vertical="center" wrapText="1"/>
    </xf>
    <xf numFmtId="0" fontId="5" fillId="8" borderId="115" xfId="0" applyFont="1" applyFill="1" applyBorder="1" applyAlignment="1">
      <alignment horizontal="center" vertical="center" wrapText="1"/>
    </xf>
    <xf numFmtId="0" fontId="5" fillId="8" borderId="37" xfId="0" applyFont="1" applyFill="1" applyBorder="1" applyAlignment="1">
      <alignment horizontal="center" vertical="center" wrapText="1"/>
    </xf>
    <xf numFmtId="0" fontId="8" fillId="0" borderId="26" xfId="0" applyFont="1" applyBorder="1" applyAlignment="1"/>
    <xf numFmtId="0" fontId="8" fillId="0" borderId="31" xfId="0" applyFont="1" applyBorder="1" applyAlignment="1"/>
    <xf numFmtId="0" fontId="8" fillId="0" borderId="130" xfId="0" applyFont="1" applyBorder="1" applyAlignment="1"/>
    <xf numFmtId="0" fontId="5" fillId="12" borderId="26" xfId="0" applyFont="1" applyFill="1" applyBorder="1" applyAlignment="1">
      <alignment horizontal="center" vertical="center" wrapText="1"/>
    </xf>
    <xf numFmtId="0" fontId="11" fillId="4" borderId="18" xfId="0" applyFont="1" applyFill="1" applyBorder="1" applyAlignment="1">
      <alignment horizontal="center" vertical="center" wrapText="1"/>
    </xf>
    <xf numFmtId="0" fontId="5" fillId="14" borderId="60" xfId="0" applyFont="1" applyFill="1" applyBorder="1" applyAlignment="1">
      <alignment horizontal="center" vertical="center" wrapText="1"/>
    </xf>
    <xf numFmtId="9" fontId="64" fillId="0" borderId="29" xfId="0" applyNumberFormat="1" applyFont="1" applyBorder="1" applyAlignment="1">
      <alignment horizontal="center" vertical="center" wrapText="1"/>
    </xf>
    <xf numFmtId="0" fontId="11" fillId="4" borderId="5" xfId="0" applyFont="1" applyFill="1" applyBorder="1" applyAlignment="1">
      <alignment horizontal="center" vertical="center" wrapText="1"/>
    </xf>
    <xf numFmtId="0" fontId="11" fillId="4" borderId="7" xfId="0" applyFont="1" applyFill="1" applyBorder="1" applyAlignment="1">
      <alignment horizontal="center" vertical="center" wrapText="1"/>
    </xf>
    <xf numFmtId="0" fontId="11" fillId="50" borderId="5" xfId="0" applyFont="1" applyFill="1" applyBorder="1" applyAlignment="1">
      <alignment horizontal="center" vertical="center" wrapText="1"/>
    </xf>
    <xf numFmtId="0" fontId="11" fillId="50" borderId="7" xfId="0" applyFont="1" applyFill="1" applyBorder="1" applyAlignment="1">
      <alignment horizontal="center" vertical="center" wrapText="1"/>
    </xf>
    <xf numFmtId="9" fontId="66" fillId="51" borderId="137" xfId="0" applyNumberFormat="1" applyFont="1" applyFill="1" applyBorder="1" applyAlignment="1">
      <alignment horizontal="center" vertical="center"/>
    </xf>
    <xf numFmtId="9" fontId="66" fillId="51" borderId="145" xfId="0" applyNumberFormat="1" applyFont="1" applyFill="1" applyBorder="1" applyAlignment="1">
      <alignment horizontal="center" vertical="center"/>
    </xf>
    <xf numFmtId="0" fontId="11" fillId="4" borderId="121" xfId="0" applyFont="1" applyFill="1" applyBorder="1" applyAlignment="1">
      <alignment horizontal="center" vertical="center" wrapText="1"/>
    </xf>
    <xf numFmtId="0" fontId="11" fillId="4" borderId="122" xfId="0" applyFont="1" applyFill="1" applyBorder="1" applyAlignment="1">
      <alignment horizontal="center" vertical="center" wrapText="1"/>
    </xf>
    <xf numFmtId="0" fontId="11" fillId="4" borderId="27" xfId="0" applyFont="1" applyFill="1" applyBorder="1" applyAlignment="1">
      <alignment horizontal="center" vertical="center" wrapText="1"/>
    </xf>
    <xf numFmtId="0" fontId="11" fillId="4" borderId="142" xfId="0" applyFont="1" applyFill="1" applyBorder="1" applyAlignment="1">
      <alignment horizontal="center" vertical="center" wrapText="1"/>
    </xf>
    <xf numFmtId="0" fontId="11" fillId="4" borderId="143" xfId="0" applyFont="1" applyFill="1" applyBorder="1" applyAlignment="1">
      <alignment horizontal="center" vertical="center" wrapText="1"/>
    </xf>
    <xf numFmtId="0" fontId="11" fillId="4" borderId="144" xfId="0" applyFont="1" applyFill="1" applyBorder="1" applyAlignment="1">
      <alignment horizontal="center" vertical="center" wrapText="1"/>
    </xf>
    <xf numFmtId="0" fontId="72" fillId="4" borderId="136" xfId="0" applyFont="1" applyFill="1" applyBorder="1" applyAlignment="1">
      <alignment horizontal="center" vertical="center" wrapText="1"/>
    </xf>
    <xf numFmtId="0" fontId="72" fillId="4" borderId="125" xfId="0" applyFont="1" applyFill="1" applyBorder="1" applyAlignment="1">
      <alignment horizontal="center" vertical="center" wrapText="1"/>
    </xf>
    <xf numFmtId="9" fontId="8" fillId="51" borderId="1" xfId="0" applyNumberFormat="1" applyFont="1" applyFill="1" applyBorder="1" applyAlignment="1">
      <alignment horizontal="center" vertical="center"/>
    </xf>
    <xf numFmtId="9" fontId="66" fillId="49" borderId="1" xfId="0" applyNumberFormat="1" applyFont="1" applyFill="1" applyBorder="1" applyAlignment="1">
      <alignment horizontal="center" vertical="center"/>
    </xf>
    <xf numFmtId="9" fontId="66" fillId="49" borderId="16" xfId="0" applyNumberFormat="1" applyFont="1" applyFill="1" applyBorder="1" applyAlignment="1">
      <alignment horizontal="center" vertical="center"/>
    </xf>
    <xf numFmtId="0" fontId="11" fillId="50" borderId="1" xfId="0" applyFont="1" applyFill="1" applyBorder="1" applyAlignment="1">
      <alignment horizontal="center" vertical="center" wrapText="1"/>
    </xf>
    <xf numFmtId="0" fontId="11" fillId="50" borderId="16" xfId="0" applyFont="1" applyFill="1" applyBorder="1" applyAlignment="1">
      <alignment horizontal="center" vertical="center" wrapText="1"/>
    </xf>
    <xf numFmtId="9" fontId="8" fillId="49" borderId="11" xfId="0" applyNumberFormat="1" applyFont="1" applyFill="1" applyBorder="1" applyAlignment="1">
      <alignment horizontal="center" vertical="center"/>
    </xf>
    <xf numFmtId="9" fontId="8" fillId="49" borderId="17" xfId="0" applyNumberFormat="1" applyFont="1" applyFill="1" applyBorder="1" applyAlignment="1">
      <alignment horizontal="center" vertical="center"/>
    </xf>
    <xf numFmtId="0" fontId="72" fillId="4" borderId="119" xfId="0" applyFont="1" applyFill="1" applyBorder="1" applyAlignment="1">
      <alignment horizontal="center" vertical="center" wrapText="1"/>
    </xf>
    <xf numFmtId="0" fontId="72" fillId="4" borderId="121" xfId="0" applyFont="1" applyFill="1" applyBorder="1" applyAlignment="1">
      <alignment horizontal="center" vertical="center" wrapText="1"/>
    </xf>
    <xf numFmtId="0" fontId="72" fillId="4" borderId="122" xfId="0" applyFont="1" applyFill="1" applyBorder="1" applyAlignment="1">
      <alignment horizontal="center" vertical="center" wrapText="1"/>
    </xf>
    <xf numFmtId="9" fontId="65" fillId="48" borderId="19" xfId="0" applyNumberFormat="1" applyFont="1" applyFill="1" applyBorder="1" applyAlignment="1">
      <alignment horizontal="center" vertical="center" wrapText="1"/>
    </xf>
    <xf numFmtId="9" fontId="65" fillId="48" borderId="1" xfId="0" applyNumberFormat="1" applyFont="1" applyFill="1" applyBorder="1" applyAlignment="1">
      <alignment horizontal="center" vertical="center" wrapText="1"/>
    </xf>
    <xf numFmtId="0" fontId="72" fillId="4" borderId="50" xfId="0" applyFont="1" applyFill="1" applyBorder="1" applyAlignment="1">
      <alignment horizontal="center" vertical="center" wrapText="1"/>
    </xf>
    <xf numFmtId="0" fontId="72" fillId="4" borderId="27" xfId="0" applyFont="1" applyFill="1" applyBorder="1" applyAlignment="1">
      <alignment horizontal="center" vertical="center" wrapText="1"/>
    </xf>
    <xf numFmtId="0" fontId="72" fillId="4" borderId="28" xfId="0" applyFont="1" applyFill="1" applyBorder="1" applyAlignment="1">
      <alignment horizontal="center" vertical="center" wrapText="1"/>
    </xf>
    <xf numFmtId="0" fontId="72" fillId="4" borderId="120" xfId="0" applyFont="1" applyFill="1" applyBorder="1" applyAlignment="1">
      <alignment horizontal="center" vertical="center" wrapText="1"/>
    </xf>
    <xf numFmtId="0" fontId="72" fillId="4" borderId="123" xfId="0" applyFont="1" applyFill="1" applyBorder="1" applyAlignment="1">
      <alignment horizontal="center" vertical="center" wrapText="1"/>
    </xf>
    <xf numFmtId="0" fontId="72" fillId="4" borderId="124" xfId="0" applyFont="1" applyFill="1" applyBorder="1" applyAlignment="1">
      <alignment horizontal="center" vertical="center" wrapText="1"/>
    </xf>
    <xf numFmtId="9" fontId="77" fillId="45" borderId="8" xfId="0" applyNumberFormat="1" applyFont="1" applyFill="1" applyBorder="1" applyAlignment="1">
      <alignment horizontal="center" vertical="center" wrapText="1"/>
    </xf>
    <xf numFmtId="9" fontId="77" fillId="45" borderId="9" xfId="0" applyNumberFormat="1" applyFont="1" applyFill="1" applyBorder="1" applyAlignment="1">
      <alignment horizontal="center" vertical="center" wrapText="1"/>
    </xf>
    <xf numFmtId="9" fontId="77" fillId="48" borderId="8" xfId="0" applyNumberFormat="1" applyFont="1" applyFill="1" applyBorder="1" applyAlignment="1">
      <alignment horizontal="center" vertical="center" wrapText="1"/>
    </xf>
    <xf numFmtId="9" fontId="77" fillId="45" borderId="61" xfId="0" applyNumberFormat="1" applyFont="1" applyFill="1" applyBorder="1" applyAlignment="1">
      <alignment horizontal="center" vertical="center" wrapText="1"/>
    </xf>
    <xf numFmtId="9" fontId="77" fillId="48" borderId="21" xfId="0" applyNumberFormat="1" applyFont="1" applyFill="1" applyBorder="1" applyAlignment="1">
      <alignment horizontal="center" vertical="center" wrapText="1"/>
    </xf>
    <xf numFmtId="9" fontId="77" fillId="48" borderId="118" xfId="0" applyNumberFormat="1" applyFont="1" applyFill="1" applyBorder="1" applyAlignment="1">
      <alignment horizontal="center" vertical="center" wrapText="1"/>
    </xf>
    <xf numFmtId="0" fontId="34" fillId="2" borderId="77" xfId="0" applyFont="1" applyFill="1" applyBorder="1" applyAlignment="1">
      <alignment horizontal="center" vertical="center" wrapText="1"/>
    </xf>
    <xf numFmtId="0" fontId="35" fillId="2" borderId="104" xfId="0" applyFont="1" applyFill="1" applyBorder="1" applyAlignment="1">
      <alignment horizontal="center" vertical="center" wrapText="1"/>
    </xf>
    <xf numFmtId="0" fontId="35" fillId="2" borderId="105" xfId="0" applyFont="1" applyFill="1" applyBorder="1" applyAlignment="1">
      <alignment horizontal="center" vertical="center" wrapText="1"/>
    </xf>
    <xf numFmtId="0" fontId="11" fillId="4" borderId="9" xfId="0" applyFont="1" applyFill="1" applyBorder="1" applyAlignment="1">
      <alignment horizontal="center" vertical="center"/>
    </xf>
    <xf numFmtId="0" fontId="11" fillId="4" borderId="69" xfId="0" applyFont="1" applyFill="1" applyBorder="1" applyAlignment="1">
      <alignment horizontal="center" vertical="center" wrapText="1"/>
    </xf>
    <xf numFmtId="0" fontId="8" fillId="0" borderId="1" xfId="0" applyFont="1" applyBorder="1" applyAlignment="1">
      <alignment horizontal="center" vertical="center" wrapText="1"/>
    </xf>
    <xf numFmtId="0" fontId="8" fillId="0" borderId="8" xfId="0" applyFont="1" applyBorder="1" applyAlignment="1">
      <alignment horizontal="center" vertical="center" wrapText="1"/>
    </xf>
    <xf numFmtId="0" fontId="66" fillId="0" borderId="19" xfId="0" applyFont="1" applyBorder="1" applyAlignment="1">
      <alignment horizontal="center" vertical="center" wrapText="1"/>
    </xf>
    <xf numFmtId="0" fontId="70" fillId="0" borderId="1" xfId="0" applyFont="1" applyBorder="1" applyAlignment="1">
      <alignment horizontal="center" vertical="center" wrapText="1"/>
    </xf>
    <xf numFmtId="0" fontId="70" fillId="0" borderId="11" xfId="0" applyFont="1" applyBorder="1" applyAlignment="1">
      <alignment horizontal="center" vertical="center" wrapText="1"/>
    </xf>
    <xf numFmtId="0" fontId="70" fillId="0" borderId="1" xfId="0" applyFont="1" applyBorder="1" applyAlignment="1">
      <alignment horizontal="left" vertical="center" wrapText="1"/>
    </xf>
    <xf numFmtId="0" fontId="70" fillId="0" borderId="16" xfId="0" applyFont="1" applyBorder="1" applyAlignment="1">
      <alignment horizontal="left" vertical="center" wrapText="1"/>
    </xf>
    <xf numFmtId="0" fontId="70" fillId="0" borderId="11" xfId="0" applyFont="1" applyBorder="1" applyAlignment="1">
      <alignment horizontal="left" vertical="center" wrapText="1"/>
    </xf>
    <xf numFmtId="0" fontId="70" fillId="0" borderId="17" xfId="0" applyFont="1" applyBorder="1" applyAlignment="1">
      <alignment horizontal="left" vertical="center" wrapText="1"/>
    </xf>
    <xf numFmtId="0" fontId="63" fillId="4" borderId="9" xfId="0" applyFont="1" applyFill="1" applyBorder="1" applyAlignment="1">
      <alignment horizontal="center" vertical="center" wrapText="1"/>
    </xf>
    <xf numFmtId="0" fontId="63" fillId="4" borderId="69" xfId="0" applyFont="1" applyFill="1" applyBorder="1" applyAlignment="1">
      <alignment horizontal="center" vertical="center" wrapText="1"/>
    </xf>
    <xf numFmtId="0" fontId="63" fillId="4" borderId="16" xfId="0" applyFont="1" applyFill="1" applyBorder="1" applyAlignment="1">
      <alignment horizontal="center" vertical="center" wrapText="1"/>
    </xf>
    <xf numFmtId="0" fontId="8" fillId="0" borderId="21" xfId="0" applyFont="1" applyBorder="1" applyAlignment="1">
      <alignment horizontal="center" vertical="center" wrapText="1"/>
    </xf>
    <xf numFmtId="0" fontId="8" fillId="0" borderId="22" xfId="0" applyFont="1" applyBorder="1" applyAlignment="1">
      <alignment horizontal="center" vertical="center" wrapText="1"/>
    </xf>
    <xf numFmtId="0" fontId="8" fillId="0" borderId="68" xfId="0" applyFont="1" applyBorder="1" applyAlignment="1">
      <alignment horizontal="center" vertical="center" wrapText="1"/>
    </xf>
    <xf numFmtId="0" fontId="8" fillId="0" borderId="74" xfId="0" applyFont="1" applyBorder="1" applyAlignment="1">
      <alignment horizontal="center" vertical="center" wrapText="1"/>
    </xf>
    <xf numFmtId="0" fontId="34" fillId="2" borderId="109" xfId="0" applyFont="1" applyFill="1" applyBorder="1" applyAlignment="1">
      <alignment horizontal="center" vertical="center"/>
    </xf>
    <xf numFmtId="0" fontId="34" fillId="2" borderId="110" xfId="0" applyFont="1" applyFill="1" applyBorder="1" applyAlignment="1">
      <alignment horizontal="center" vertical="center"/>
    </xf>
    <xf numFmtId="0" fontId="34" fillId="2" borderId="111" xfId="0" applyFont="1" applyFill="1" applyBorder="1" applyAlignment="1">
      <alignment horizontal="center" vertical="center"/>
    </xf>
    <xf numFmtId="176" fontId="8" fillId="0" borderId="1" xfId="0" applyNumberFormat="1" applyFont="1" applyBorder="1" applyAlignment="1">
      <alignment horizontal="center" vertical="center" wrapText="1"/>
    </xf>
    <xf numFmtId="0" fontId="8" fillId="0" borderId="1" xfId="0" applyFont="1" applyBorder="1" applyAlignment="1">
      <alignment horizontal="center"/>
    </xf>
    <xf numFmtId="0" fontId="2" fillId="0" borderId="1" xfId="0" applyFont="1" applyBorder="1" applyAlignment="1">
      <alignment horizontal="center"/>
    </xf>
    <xf numFmtId="0" fontId="8" fillId="0" borderId="1" xfId="0" applyFont="1" applyBorder="1" applyAlignment="1">
      <alignment horizontal="center" vertical="center"/>
    </xf>
    <xf numFmtId="0" fontId="8" fillId="0" borderId="11" xfId="0" applyFont="1" applyBorder="1" applyAlignment="1">
      <alignment horizontal="center" vertical="center" wrapText="1"/>
    </xf>
    <xf numFmtId="0" fontId="63" fillId="4" borderId="19" xfId="0" applyFont="1" applyFill="1" applyBorder="1" applyAlignment="1">
      <alignment horizontal="center" vertical="center" wrapText="1"/>
    </xf>
    <xf numFmtId="0" fontId="8" fillId="0" borderId="69" xfId="0" applyFont="1" applyBorder="1" applyAlignment="1">
      <alignment horizontal="left" vertical="center" wrapText="1"/>
    </xf>
    <xf numFmtId="0" fontId="8" fillId="0" borderId="16" xfId="0" applyFont="1" applyBorder="1" applyAlignment="1">
      <alignment horizontal="left" vertical="center" wrapText="1"/>
    </xf>
    <xf numFmtId="0" fontId="8" fillId="0" borderId="17" xfId="0" applyFont="1" applyBorder="1" applyAlignment="1">
      <alignment horizontal="left" vertical="center" wrapText="1"/>
    </xf>
    <xf numFmtId="0" fontId="63" fillId="4" borderId="49" xfId="0" applyFont="1" applyFill="1" applyBorder="1" applyAlignment="1">
      <alignment horizontal="center" vertical="center" wrapText="1"/>
    </xf>
    <xf numFmtId="0" fontId="69" fillId="0" borderId="16" xfId="0" applyFont="1" applyBorder="1" applyAlignment="1">
      <alignment horizontal="left" vertical="center" wrapText="1"/>
    </xf>
    <xf numFmtId="0" fontId="69" fillId="0" borderId="17" xfId="0" applyFont="1" applyBorder="1" applyAlignment="1">
      <alignment horizontal="left" vertical="center" wrapText="1"/>
    </xf>
    <xf numFmtId="0" fontId="8" fillId="0" borderId="9" xfId="0" applyFont="1" applyBorder="1" applyAlignment="1">
      <alignment horizontal="center" vertical="center" wrapText="1"/>
    </xf>
    <xf numFmtId="0" fontId="2" fillId="0" borderId="55" xfId="0" applyFont="1" applyBorder="1" applyAlignment="1">
      <alignment horizontal="center" vertical="center" wrapText="1"/>
    </xf>
    <xf numFmtId="0" fontId="2" fillId="0" borderId="64" xfId="0" applyFont="1" applyBorder="1" applyAlignment="1">
      <alignment horizontal="center" vertical="center" wrapText="1"/>
    </xf>
    <xf numFmtId="0" fontId="2" fillId="0" borderId="69" xfId="0" applyFont="1" applyBorder="1" applyAlignment="1">
      <alignment horizontal="center" vertical="center" wrapText="1"/>
    </xf>
    <xf numFmtId="0" fontId="11" fillId="4" borderId="16" xfId="0" applyFont="1" applyFill="1" applyBorder="1" applyAlignment="1">
      <alignment horizontal="center" vertical="center"/>
    </xf>
    <xf numFmtId="0" fontId="11" fillId="4" borderId="16" xfId="0" applyFont="1" applyFill="1" applyBorder="1" applyAlignment="1">
      <alignment horizontal="center"/>
    </xf>
    <xf numFmtId="0" fontId="2" fillId="0" borderId="16" xfId="0" applyFont="1" applyBorder="1" applyAlignment="1">
      <alignment horizontal="left" vertical="center" wrapText="1"/>
    </xf>
    <xf numFmtId="0" fontId="2" fillId="0" borderId="16" xfId="0" applyFont="1" applyBorder="1" applyAlignment="1">
      <alignment horizontal="left"/>
    </xf>
    <xf numFmtId="0" fontId="2" fillId="0" borderId="55" xfId="0" applyFont="1" applyBorder="1" applyAlignment="1">
      <alignment horizontal="left" vertical="center" wrapText="1"/>
    </xf>
    <xf numFmtId="0" fontId="2" fillId="0" borderId="17" xfId="0" applyFont="1" applyBorder="1" applyAlignment="1">
      <alignment horizontal="left" vertical="center" wrapText="1"/>
    </xf>
    <xf numFmtId="0" fontId="8" fillId="0" borderId="62" xfId="0" applyFont="1" applyBorder="1" applyAlignment="1">
      <alignment horizontal="center" vertical="center" wrapText="1"/>
    </xf>
    <xf numFmtId="0" fontId="8" fillId="0" borderId="4" xfId="0" applyFont="1" applyBorder="1" applyAlignment="1">
      <alignment horizontal="center" vertical="center" wrapText="1"/>
    </xf>
    <xf numFmtId="0" fontId="8" fillId="0" borderId="4" xfId="0" applyFont="1" applyBorder="1" applyAlignment="1">
      <alignment horizontal="left" vertical="center" wrapText="1"/>
    </xf>
    <xf numFmtId="0" fontId="8" fillId="0" borderId="10" xfId="0" applyFont="1" applyBorder="1" applyAlignment="1">
      <alignment horizontal="left" vertical="center" wrapText="1"/>
    </xf>
    <xf numFmtId="0" fontId="63" fillId="4" borderId="18" xfId="0" applyFont="1" applyFill="1" applyBorder="1" applyAlignment="1">
      <alignment horizontal="center" vertical="center" wrapText="1"/>
    </xf>
    <xf numFmtId="0" fontId="63" fillId="4" borderId="4" xfId="0" applyFont="1" applyFill="1" applyBorder="1" applyAlignment="1">
      <alignment horizontal="center" vertical="center" wrapText="1"/>
    </xf>
    <xf numFmtId="0" fontId="63" fillId="4" borderId="62" xfId="0" applyFont="1" applyFill="1" applyBorder="1" applyAlignment="1">
      <alignment horizontal="center" vertical="center" wrapText="1"/>
    </xf>
    <xf numFmtId="0" fontId="70" fillId="0" borderId="4" xfId="0" applyFont="1" applyBorder="1" applyAlignment="1">
      <alignment horizontal="center" vertical="center" wrapText="1"/>
    </xf>
    <xf numFmtId="0" fontId="70" fillId="0" borderId="10" xfId="0" applyFont="1" applyBorder="1" applyAlignment="1">
      <alignment horizontal="center" vertical="center" wrapText="1"/>
    </xf>
    <xf numFmtId="176" fontId="8" fillId="0" borderId="8" xfId="0" applyNumberFormat="1" applyFont="1" applyBorder="1" applyAlignment="1">
      <alignment horizontal="center" vertical="center" wrapText="1"/>
    </xf>
    <xf numFmtId="176" fontId="8" fillId="0" borderId="9" xfId="0" applyNumberFormat="1" applyFont="1" applyBorder="1" applyAlignment="1">
      <alignment horizontal="center" vertical="center" wrapText="1"/>
    </xf>
    <xf numFmtId="0" fontId="8" fillId="0" borderId="16" xfId="0" applyFont="1" applyBorder="1" applyAlignment="1">
      <alignment horizontal="center" vertical="center"/>
    </xf>
    <xf numFmtId="0" fontId="2" fillId="0" borderId="16" xfId="0" applyFont="1" applyBorder="1" applyAlignment="1">
      <alignment horizontal="center"/>
    </xf>
    <xf numFmtId="0" fontId="2" fillId="0" borderId="64" xfId="0" applyFont="1" applyBorder="1" applyAlignment="1">
      <alignment horizontal="center" vertical="center"/>
    </xf>
    <xf numFmtId="0" fontId="2" fillId="0" borderId="69" xfId="0" applyFont="1" applyBorder="1" applyAlignment="1">
      <alignment horizontal="center" vertical="center"/>
    </xf>
    <xf numFmtId="176" fontId="8" fillId="0" borderId="16" xfId="0" applyNumberFormat="1" applyFont="1" applyBorder="1" applyAlignment="1">
      <alignment horizontal="center" vertical="center" wrapText="1"/>
    </xf>
    <xf numFmtId="176" fontId="8" fillId="0" borderId="55" xfId="0" applyNumberFormat="1" applyFont="1" applyBorder="1" applyAlignment="1">
      <alignment horizontal="center" vertical="center" wrapText="1"/>
    </xf>
    <xf numFmtId="176" fontId="8" fillId="0" borderId="64" xfId="0" applyNumberFormat="1" applyFont="1" applyBorder="1" applyAlignment="1">
      <alignment horizontal="center" vertical="center" wrapText="1"/>
    </xf>
    <xf numFmtId="176" fontId="8" fillId="0" borderId="69" xfId="0" applyNumberFormat="1" applyFont="1" applyBorder="1" applyAlignment="1">
      <alignment horizontal="center" vertical="center" wrapText="1"/>
    </xf>
    <xf numFmtId="3" fontId="8" fillId="0" borderId="1" xfId="0" applyNumberFormat="1" applyFont="1" applyBorder="1" applyAlignment="1">
      <alignment horizontal="center" vertical="center" wrapText="1"/>
    </xf>
    <xf numFmtId="0" fontId="8" fillId="0" borderId="5" xfId="0" applyFont="1" applyBorder="1" applyAlignment="1">
      <alignment horizontal="center" vertical="center" wrapText="1"/>
    </xf>
    <xf numFmtId="0" fontId="8" fillId="0" borderId="6" xfId="0" applyFont="1" applyBorder="1" applyAlignment="1">
      <alignment horizontal="center" vertical="center" wrapText="1"/>
    </xf>
    <xf numFmtId="0" fontId="8" fillId="0" borderId="7" xfId="0" applyFont="1" applyBorder="1" applyAlignment="1">
      <alignment horizontal="center" vertical="center" wrapText="1"/>
    </xf>
    <xf numFmtId="0" fontId="11" fillId="4" borderId="1" xfId="0" applyFont="1" applyFill="1" applyBorder="1" applyAlignment="1">
      <alignment horizontal="center"/>
    </xf>
    <xf numFmtId="0" fontId="65" fillId="0" borderId="1" xfId="0" applyFont="1" applyBorder="1" applyAlignment="1">
      <alignment horizontal="center" vertical="center" wrapText="1"/>
    </xf>
    <xf numFmtId="0" fontId="9" fillId="0" borderId="1" xfId="0" applyFont="1" applyBorder="1" applyAlignment="1">
      <alignment horizontal="center"/>
    </xf>
    <xf numFmtId="0" fontId="65" fillId="0" borderId="8" xfId="0" applyFont="1" applyBorder="1" applyAlignment="1">
      <alignment horizontal="center" vertical="center" wrapText="1"/>
    </xf>
    <xf numFmtId="0" fontId="65" fillId="0" borderId="59" xfId="0" applyFont="1" applyBorder="1" applyAlignment="1">
      <alignment horizontal="center" vertical="center" wrapText="1"/>
    </xf>
    <xf numFmtId="0" fontId="65" fillId="0" borderId="9" xfId="0" applyFont="1" applyBorder="1" applyAlignment="1">
      <alignment horizontal="center" vertical="center" wrapText="1"/>
    </xf>
    <xf numFmtId="0" fontId="64" fillId="0" borderId="59" xfId="0" applyFont="1" applyBorder="1" applyAlignment="1">
      <alignment horizontal="center" vertical="center" wrapText="1"/>
    </xf>
    <xf numFmtId="0" fontId="64" fillId="0" borderId="9" xfId="0" applyFont="1" applyBorder="1" applyAlignment="1">
      <alignment horizontal="center" vertical="center" wrapText="1"/>
    </xf>
    <xf numFmtId="0" fontId="65" fillId="0" borderId="1" xfId="0" applyFont="1" applyBorder="1" applyAlignment="1">
      <alignment horizontal="center"/>
    </xf>
    <xf numFmtId="0" fontId="9" fillId="0" borderId="1" xfId="0" applyFont="1" applyBorder="1" applyAlignment="1">
      <alignment horizontal="center" wrapText="1"/>
    </xf>
    <xf numFmtId="0" fontId="2" fillId="0" borderId="1" xfId="0" applyFont="1" applyBorder="1" applyAlignment="1">
      <alignment horizontal="center" wrapText="1"/>
    </xf>
    <xf numFmtId="0" fontId="4" fillId="4" borderId="20" xfId="0" applyFont="1" applyFill="1" applyBorder="1" applyAlignment="1">
      <alignment horizontal="center" vertical="center" textRotation="255" wrapText="1"/>
    </xf>
    <xf numFmtId="0" fontId="4" fillId="4" borderId="58" xfId="0" applyFont="1" applyFill="1" applyBorder="1" applyAlignment="1">
      <alignment horizontal="center" vertical="center" textRotation="255" wrapText="1"/>
    </xf>
    <xf numFmtId="0" fontId="4" fillId="4" borderId="62" xfId="0" applyFont="1" applyFill="1" applyBorder="1" applyAlignment="1">
      <alignment horizontal="center" vertical="center" textRotation="255" wrapText="1"/>
    </xf>
    <xf numFmtId="0" fontId="4" fillId="3" borderId="4" xfId="0" applyFont="1" applyFill="1" applyBorder="1" applyAlignment="1">
      <alignment horizontal="center" vertical="center" textRotation="255"/>
    </xf>
    <xf numFmtId="0" fontId="4" fillId="12" borderId="20" xfId="0" applyFont="1" applyFill="1" applyBorder="1" applyAlignment="1">
      <alignment horizontal="center" vertical="center" textRotation="255"/>
    </xf>
    <xf numFmtId="0" fontId="4" fillId="12" borderId="58" xfId="0" applyFont="1" applyFill="1" applyBorder="1" applyAlignment="1">
      <alignment horizontal="center" vertical="center" textRotation="255"/>
    </xf>
    <xf numFmtId="0" fontId="4" fillId="8" borderId="20" xfId="0" applyFont="1" applyFill="1" applyBorder="1" applyAlignment="1">
      <alignment horizontal="center" vertical="center" textRotation="255"/>
    </xf>
    <xf numFmtId="0" fontId="4" fillId="8" borderId="58" xfId="0" applyFont="1" applyFill="1" applyBorder="1" applyAlignment="1">
      <alignment horizontal="center" vertical="center" textRotation="255"/>
    </xf>
    <xf numFmtId="0" fontId="4" fillId="8" borderId="62" xfId="0" applyFont="1" applyFill="1" applyBorder="1" applyAlignment="1">
      <alignment horizontal="center" vertical="center" textRotation="255"/>
    </xf>
    <xf numFmtId="0" fontId="4" fillId="14" borderId="20" xfId="0" applyFont="1" applyFill="1" applyBorder="1" applyAlignment="1">
      <alignment horizontal="center" vertical="center" textRotation="255"/>
    </xf>
    <xf numFmtId="0" fontId="4" fillId="14" borderId="58" xfId="0" applyFont="1" applyFill="1" applyBorder="1" applyAlignment="1">
      <alignment horizontal="center" vertical="center" textRotation="255"/>
    </xf>
    <xf numFmtId="0" fontId="4" fillId="14" borderId="62" xfId="0" applyFont="1" applyFill="1" applyBorder="1" applyAlignment="1">
      <alignment horizontal="center" vertical="center" textRotation="255"/>
    </xf>
    <xf numFmtId="0" fontId="4" fillId="44" borderId="4" xfId="0" applyFont="1" applyFill="1" applyBorder="1" applyAlignment="1">
      <alignment horizontal="center" vertical="center" textRotation="255"/>
    </xf>
    <xf numFmtId="0" fontId="4" fillId="44" borderId="20" xfId="0" applyFont="1" applyFill="1" applyBorder="1" applyAlignment="1">
      <alignment horizontal="center" vertical="center" textRotation="255"/>
    </xf>
    <xf numFmtId="0" fontId="4" fillId="44" borderId="10" xfId="0" applyFont="1" applyFill="1" applyBorder="1" applyAlignment="1">
      <alignment horizontal="center" vertical="center" textRotation="255"/>
    </xf>
    <xf numFmtId="0" fontId="36" fillId="0" borderId="1" xfId="0" applyFont="1" applyBorder="1" applyAlignment="1">
      <alignment horizontal="center"/>
    </xf>
    <xf numFmtId="0" fontId="71" fillId="4" borderId="1" xfId="0" applyFont="1" applyFill="1" applyBorder="1" applyAlignment="1">
      <alignment horizontal="center"/>
    </xf>
    <xf numFmtId="0" fontId="11" fillId="4" borderId="1" xfId="0" applyFont="1" applyFill="1" applyBorder="1" applyAlignment="1">
      <alignment horizontal="center" vertical="center"/>
    </xf>
    <xf numFmtId="3" fontId="11" fillId="4" borderId="1" xfId="0" applyNumberFormat="1" applyFont="1" applyFill="1" applyBorder="1" applyAlignment="1">
      <alignment horizontal="center" vertical="center" wrapText="1"/>
    </xf>
    <xf numFmtId="0" fontId="34" fillId="2" borderId="78" xfId="0" applyFont="1" applyFill="1" applyBorder="1" applyAlignment="1">
      <alignment horizontal="center" vertical="center"/>
    </xf>
    <xf numFmtId="0" fontId="34" fillId="2" borderId="79" xfId="0" applyFont="1" applyFill="1" applyBorder="1" applyAlignment="1">
      <alignment horizontal="center" vertical="center"/>
    </xf>
    <xf numFmtId="0" fontId="34" fillId="2" borderId="112" xfId="0" applyFont="1" applyFill="1" applyBorder="1" applyAlignment="1">
      <alignment horizontal="center" vertical="center"/>
    </xf>
    <xf numFmtId="0" fontId="34" fillId="2" borderId="18" xfId="0" applyFont="1" applyFill="1" applyBorder="1" applyAlignment="1">
      <alignment horizontal="center" vertical="center"/>
    </xf>
    <xf numFmtId="0" fontId="35" fillId="2" borderId="19" xfId="0" applyFont="1" applyFill="1" applyBorder="1" applyAlignment="1">
      <alignment horizontal="center" vertical="center"/>
    </xf>
    <xf numFmtId="0" fontId="67" fillId="2" borderId="77" xfId="0" applyFont="1" applyFill="1" applyBorder="1" applyAlignment="1">
      <alignment horizontal="center" vertical="center"/>
    </xf>
    <xf numFmtId="0" fontId="68" fillId="2" borderId="104" xfId="0" applyFont="1" applyFill="1" applyBorder="1" applyAlignment="1">
      <alignment horizontal="center" vertical="center"/>
    </xf>
    <xf numFmtId="0" fontId="68" fillId="2" borderId="105" xfId="0" applyFont="1" applyFill="1" applyBorder="1" applyAlignment="1">
      <alignment horizontal="center" vertical="center"/>
    </xf>
    <xf numFmtId="0" fontId="63" fillId="4" borderId="1" xfId="0" applyFont="1" applyFill="1" applyBorder="1" applyAlignment="1">
      <alignment horizontal="center"/>
    </xf>
    <xf numFmtId="0" fontId="15" fillId="0" borderId="1" xfId="0" applyFont="1" applyBorder="1" applyAlignment="1">
      <alignment horizontal="center" vertical="center" wrapText="1"/>
    </xf>
    <xf numFmtId="0" fontId="0" fillId="0" borderId="73" xfId="0" applyBorder="1" applyAlignment="1"/>
    <xf numFmtId="0" fontId="15" fillId="0" borderId="5" xfId="0" applyFont="1" applyBorder="1" applyAlignment="1">
      <alignment horizontal="center" vertical="center" wrapText="1"/>
    </xf>
    <xf numFmtId="0" fontId="15" fillId="0" borderId="21" xfId="0" applyFont="1" applyBorder="1" applyAlignment="1">
      <alignment horizontal="center" vertical="center" wrapText="1"/>
    </xf>
    <xf numFmtId="0" fontId="15" fillId="0" borderId="102" xfId="0" applyFont="1" applyBorder="1" applyAlignment="1">
      <alignment horizontal="center" vertical="center" wrapText="1"/>
    </xf>
    <xf numFmtId="0" fontId="2" fillId="0" borderId="93" xfId="0" applyFont="1" applyBorder="1" applyAlignment="1">
      <alignment horizontal="center" vertical="center"/>
    </xf>
    <xf numFmtId="0" fontId="0" fillId="0" borderId="92" xfId="0" applyBorder="1" applyAlignment="1"/>
    <xf numFmtId="0" fontId="0" fillId="0" borderId="96" xfId="0" applyBorder="1" applyAlignment="1"/>
    <xf numFmtId="0" fontId="2" fillId="0" borderId="97" xfId="0" applyFont="1" applyBorder="1" applyAlignment="1">
      <alignment horizontal="center" vertical="center"/>
    </xf>
    <xf numFmtId="0" fontId="2" fillId="0" borderId="98" xfId="0" applyFont="1" applyBorder="1" applyAlignment="1">
      <alignment horizontal="center" vertical="center"/>
    </xf>
    <xf numFmtId="0" fontId="2" fillId="0" borderId="96" xfId="0" applyFont="1" applyBorder="1" applyAlignment="1">
      <alignment horizontal="center" vertical="center"/>
    </xf>
    <xf numFmtId="0" fontId="0" fillId="0" borderId="100" xfId="0" applyBorder="1" applyAlignment="1">
      <alignment horizontal="center"/>
    </xf>
    <xf numFmtId="0" fontId="0" fillId="0" borderId="101" xfId="0" applyBorder="1" applyAlignment="1">
      <alignment horizontal="center"/>
    </xf>
    <xf numFmtId="0" fontId="0" fillId="0" borderId="103" xfId="0" applyBorder="1" applyAlignment="1"/>
    <xf numFmtId="0" fontId="5" fillId="8" borderId="85" xfId="0" applyFont="1" applyFill="1" applyBorder="1" applyAlignment="1">
      <alignment horizontal="center" vertical="center" wrapText="1"/>
    </xf>
    <xf numFmtId="0" fontId="5" fillId="8" borderId="86" xfId="0" applyFont="1" applyFill="1" applyBorder="1" applyAlignment="1">
      <alignment horizontal="center" vertical="center" wrapText="1"/>
    </xf>
    <xf numFmtId="0" fontId="5" fillId="3" borderId="86" xfId="0" applyFont="1" applyFill="1" applyBorder="1" applyAlignment="1">
      <alignment horizontal="center" vertical="center" wrapText="1"/>
    </xf>
    <xf numFmtId="0" fontId="5" fillId="4" borderId="85" xfId="0" applyFont="1" applyFill="1" applyBorder="1" applyAlignment="1">
      <alignment horizontal="center" vertical="center" wrapText="1"/>
    </xf>
    <xf numFmtId="0" fontId="5" fillId="4" borderId="86" xfId="0" applyFont="1" applyFill="1" applyBorder="1" applyAlignment="1">
      <alignment horizontal="center" vertical="center" wrapText="1"/>
    </xf>
    <xf numFmtId="0" fontId="5" fillId="4" borderId="88" xfId="0" applyFont="1" applyFill="1" applyBorder="1" applyAlignment="1">
      <alignment horizontal="center" vertical="center" wrapText="1"/>
    </xf>
    <xf numFmtId="14" fontId="15" fillId="0" borderId="8" xfId="0" applyNumberFormat="1" applyFont="1" applyBorder="1" applyAlignment="1">
      <alignment horizontal="center" vertical="center" wrapText="1"/>
    </xf>
    <xf numFmtId="14" fontId="15" fillId="0" borderId="59" xfId="0" applyNumberFormat="1" applyFont="1" applyBorder="1" applyAlignment="1">
      <alignment horizontal="center" vertical="center" wrapText="1"/>
    </xf>
    <xf numFmtId="14" fontId="15" fillId="0" borderId="9" xfId="0" applyNumberFormat="1" applyFont="1" applyBorder="1" applyAlignment="1">
      <alignment horizontal="center" vertical="center" wrapText="1"/>
    </xf>
    <xf numFmtId="14" fontId="15" fillId="0" borderId="90" xfId="0" applyNumberFormat="1" applyFont="1" applyBorder="1" applyAlignment="1">
      <alignment horizontal="center" vertical="center" wrapText="1"/>
    </xf>
    <xf numFmtId="0" fontId="34" fillId="2" borderId="81" xfId="0" applyFont="1" applyFill="1" applyBorder="1" applyAlignment="1">
      <alignment horizontal="center" vertical="center" wrapText="1"/>
    </xf>
    <xf numFmtId="0" fontId="0" fillId="0" borderId="82" xfId="0" applyBorder="1" applyAlignment="1"/>
    <xf numFmtId="0" fontId="0" fillId="0" borderId="91" xfId="0" applyBorder="1" applyAlignment="1"/>
    <xf numFmtId="0" fontId="5" fillId="9" borderId="84" xfId="0" applyFont="1" applyFill="1" applyBorder="1" applyAlignment="1">
      <alignment horizontal="center" vertical="center" wrapText="1"/>
    </xf>
    <xf numFmtId="0" fontId="5" fillId="12" borderId="85" xfId="0" applyFont="1" applyFill="1" applyBorder="1" applyAlignment="1">
      <alignment horizontal="center" vertical="center" wrapText="1"/>
    </xf>
    <xf numFmtId="0" fontId="5" fillId="12" borderId="86" xfId="0" applyFont="1" applyFill="1" applyBorder="1" applyAlignment="1">
      <alignment horizontal="center" vertical="center" wrapText="1"/>
    </xf>
    <xf numFmtId="0" fontId="5" fillId="14" borderId="84" xfId="0" applyFont="1" applyFill="1" applyBorder="1" applyAlignment="1">
      <alignment horizontal="center" vertical="center" wrapText="1"/>
    </xf>
    <xf numFmtId="0" fontId="7" fillId="0" borderId="5" xfId="0" applyFont="1" applyBorder="1" applyAlignment="1">
      <alignment horizontal="center" vertical="center" wrapText="1"/>
    </xf>
    <xf numFmtId="0" fontId="15" fillId="0" borderId="94" xfId="0" applyFont="1" applyBorder="1" applyAlignment="1">
      <alignment horizontal="center" vertical="center" wrapText="1"/>
    </xf>
    <xf numFmtId="0" fontId="15" fillId="0" borderId="95" xfId="0" applyFont="1" applyBorder="1" applyAlignment="1">
      <alignment horizontal="center" vertical="center" wrapText="1"/>
    </xf>
    <xf numFmtId="0" fontId="59" fillId="0" borderId="5" xfId="0" applyFont="1" applyBorder="1" applyAlignment="1">
      <alignment horizontal="center" vertical="center" wrapText="1"/>
    </xf>
    <xf numFmtId="0" fontId="59" fillId="0" borderId="7" xfId="0" applyFont="1" applyBorder="1" applyAlignment="1">
      <alignment horizontal="center" vertical="center" wrapText="1"/>
    </xf>
    <xf numFmtId="0" fontId="55" fillId="40" borderId="4" xfId="0" applyFont="1" applyFill="1" applyBorder="1" applyAlignment="1">
      <alignment horizontal="center" vertical="center" wrapText="1"/>
    </xf>
    <xf numFmtId="0" fontId="55" fillId="40" borderId="20" xfId="0" applyFont="1" applyFill="1" applyBorder="1" applyAlignment="1">
      <alignment horizontal="center" vertical="center" wrapText="1"/>
    </xf>
    <xf numFmtId="0" fontId="55" fillId="40" borderId="10" xfId="0" applyFont="1" applyFill="1" applyBorder="1" applyAlignment="1">
      <alignment horizontal="center" vertical="center" wrapText="1"/>
    </xf>
    <xf numFmtId="0" fontId="57" fillId="41" borderId="59" xfId="0" applyFont="1" applyFill="1" applyBorder="1" applyAlignment="1">
      <alignment horizontal="left" vertical="center" wrapText="1"/>
    </xf>
    <xf numFmtId="0" fontId="57" fillId="41" borderId="9" xfId="0" applyFont="1" applyFill="1" applyBorder="1" applyAlignment="1">
      <alignment horizontal="left" vertical="center" wrapText="1"/>
    </xf>
    <xf numFmtId="0" fontId="58" fillId="0" borderId="68" xfId="0" applyFont="1" applyBorder="1" applyAlignment="1">
      <alignment horizontal="left" vertical="center" wrapText="1"/>
    </xf>
    <xf numFmtId="0" fontId="58" fillId="0" borderId="74" xfId="0" applyFont="1" applyBorder="1" applyAlignment="1">
      <alignment horizontal="left" vertical="center" wrapText="1"/>
    </xf>
    <xf numFmtId="0" fontId="59" fillId="42" borderId="12" xfId="0" applyFont="1" applyFill="1" applyBorder="1" applyAlignment="1">
      <alignment horizontal="center" vertical="center" wrapText="1"/>
    </xf>
    <xf numFmtId="0" fontId="59" fillId="42" borderId="14" xfId="0" applyFont="1" applyFill="1" applyBorder="1" applyAlignment="1">
      <alignment horizontal="center" vertical="center" wrapText="1"/>
    </xf>
    <xf numFmtId="0" fontId="58" fillId="0" borderId="12" xfId="0" applyFont="1" applyBorder="1" applyAlignment="1">
      <alignment horizontal="center" vertical="center" wrapText="1"/>
    </xf>
    <xf numFmtId="0" fontId="58" fillId="0" borderId="13" xfId="0" applyFont="1" applyBorder="1" applyAlignment="1">
      <alignment horizontal="center" vertical="center" wrapText="1"/>
    </xf>
    <xf numFmtId="0" fontId="58" fillId="0" borderId="75" xfId="0" applyFont="1" applyBorder="1" applyAlignment="1">
      <alignment horizontal="center" vertical="center" wrapText="1"/>
    </xf>
    <xf numFmtId="0" fontId="58" fillId="42" borderId="12" xfId="0" applyFont="1" applyFill="1" applyBorder="1" applyAlignment="1">
      <alignment horizontal="center" vertical="center" wrapText="1"/>
    </xf>
    <xf numFmtId="0" fontId="58" fillId="42" borderId="14" xfId="0" applyFont="1" applyFill="1" applyBorder="1" applyAlignment="1">
      <alignment horizontal="center" vertical="center" wrapText="1"/>
    </xf>
    <xf numFmtId="0" fontId="59" fillId="0" borderId="78" xfId="0" applyFont="1" applyBorder="1" applyAlignment="1">
      <alignment horizontal="center" vertical="center" wrapText="1"/>
    </xf>
    <xf numFmtId="0" fontId="59" fillId="0" borderId="79" xfId="0" applyFont="1" applyBorder="1" applyAlignment="1">
      <alignment horizontal="center" vertical="center" wrapText="1"/>
    </xf>
    <xf numFmtId="0" fontId="58" fillId="41" borderId="68" xfId="0" applyFont="1" applyFill="1" applyBorder="1" applyAlignment="1">
      <alignment horizontal="left" vertical="center" wrapText="1"/>
    </xf>
    <xf numFmtId="0" fontId="58" fillId="41" borderId="72" xfId="0" applyFont="1" applyFill="1" applyBorder="1" applyAlignment="1">
      <alignment horizontal="left" vertical="center" wrapText="1"/>
    </xf>
    <xf numFmtId="0" fontId="58" fillId="41" borderId="73" xfId="0" applyFont="1" applyFill="1" applyBorder="1" applyAlignment="1">
      <alignment horizontal="center" vertical="center" wrapText="1"/>
    </xf>
    <xf numFmtId="0" fontId="58" fillId="41" borderId="0" xfId="0" applyFont="1" applyFill="1" applyAlignment="1">
      <alignment horizontal="center" vertical="center" wrapText="1"/>
    </xf>
    <xf numFmtId="0" fontId="58" fillId="41" borderId="66" xfId="0" applyFont="1" applyFill="1" applyBorder="1" applyAlignment="1">
      <alignment horizontal="center" vertical="center" wrapText="1"/>
    </xf>
    <xf numFmtId="0" fontId="58" fillId="41" borderId="11" xfId="0" applyFont="1" applyFill="1" applyBorder="1" applyAlignment="1">
      <alignment horizontal="center" vertical="center" wrapText="1"/>
    </xf>
    <xf numFmtId="0" fontId="58" fillId="41" borderId="12" xfId="0" applyFont="1" applyFill="1" applyBorder="1" applyAlignment="1">
      <alignment horizontal="center" vertical="center" wrapText="1"/>
    </xf>
    <xf numFmtId="0" fontId="58" fillId="41" borderId="17" xfId="0" applyFont="1" applyFill="1" applyBorder="1" applyAlignment="1">
      <alignment horizontal="center" vertical="center" wrapText="1"/>
    </xf>
    <xf numFmtId="0" fontId="59" fillId="0" borderId="67" xfId="0" applyFont="1" applyBorder="1" applyAlignment="1">
      <alignment horizontal="center" vertical="center" wrapText="1"/>
    </xf>
    <xf numFmtId="0" fontId="59" fillId="0" borderId="3" xfId="0" applyFont="1" applyBorder="1" applyAlignment="1">
      <alignment horizontal="center" vertical="center" wrapText="1"/>
    </xf>
    <xf numFmtId="0" fontId="59" fillId="42" borderId="13" xfId="0" applyFont="1" applyFill="1" applyBorder="1" applyAlignment="1">
      <alignment horizontal="center" vertical="center" wrapText="1"/>
    </xf>
    <xf numFmtId="0" fontId="35" fillId="2" borderId="67" xfId="0" applyFont="1" applyFill="1" applyBorder="1" applyAlignment="1">
      <alignment horizontal="center" vertical="center" wrapText="1"/>
    </xf>
    <xf numFmtId="0" fontId="35" fillId="2" borderId="3" xfId="0" applyFont="1" applyFill="1" applyBorder="1" applyAlignment="1">
      <alignment horizontal="center" vertical="center" wrapText="1"/>
    </xf>
    <xf numFmtId="0" fontId="56" fillId="0" borderId="67" xfId="0" applyFont="1" applyBorder="1" applyAlignment="1">
      <alignment horizontal="center" vertical="center" wrapText="1"/>
    </xf>
    <xf numFmtId="0" fontId="56" fillId="0" borderId="3" xfId="0" applyFont="1" applyBorder="1" applyAlignment="1">
      <alignment horizontal="center" vertical="center" wrapText="1"/>
    </xf>
    <xf numFmtId="0" fontId="59" fillId="0" borderId="6" xfId="0" applyFont="1" applyBorder="1" applyAlignment="1">
      <alignment horizontal="center" vertical="center" wrapText="1"/>
    </xf>
    <xf numFmtId="0" fontId="60" fillId="0" borderId="21" xfId="0" applyFont="1" applyBorder="1" applyAlignment="1">
      <alignment horizontal="center" vertical="center" wrapText="1"/>
    </xf>
    <xf numFmtId="0" fontId="60" fillId="0" borderId="54" xfId="0" applyFont="1" applyBorder="1" applyAlignment="1">
      <alignment horizontal="center" vertical="center" wrapText="1"/>
    </xf>
    <xf numFmtId="0" fontId="59" fillId="39" borderId="5" xfId="0" applyFont="1" applyFill="1" applyBorder="1" applyAlignment="1">
      <alignment horizontal="center" vertical="center" wrapText="1"/>
    </xf>
    <xf numFmtId="0" fontId="59" fillId="39" borderId="6" xfId="0" applyFont="1" applyFill="1" applyBorder="1" applyAlignment="1">
      <alignment horizontal="center" vertical="center" wrapText="1"/>
    </xf>
    <xf numFmtId="0" fontId="59" fillId="39" borderId="71" xfId="0" applyFont="1" applyFill="1" applyBorder="1" applyAlignment="1">
      <alignment horizontal="center" vertical="center" wrapText="1"/>
    </xf>
    <xf numFmtId="0" fontId="2" fillId="0" borderId="4" xfId="0" applyFont="1" applyBorder="1" applyAlignment="1">
      <alignment horizontal="left" vertical="center" wrapText="1"/>
    </xf>
    <xf numFmtId="0" fontId="2" fillId="0" borderId="1" xfId="0" applyFont="1" applyBorder="1" applyAlignment="1">
      <alignment horizontal="left" vertical="center" wrapText="1"/>
    </xf>
    <xf numFmtId="0" fontId="2" fillId="0" borderId="10" xfId="0" applyFont="1" applyBorder="1" applyAlignment="1">
      <alignment horizontal="left" vertical="center" wrapText="1"/>
    </xf>
    <xf numFmtId="0" fontId="2" fillId="0" borderId="11" xfId="0" applyFont="1" applyBorder="1" applyAlignment="1">
      <alignment horizontal="left" vertical="center" wrapText="1"/>
    </xf>
    <xf numFmtId="10" fontId="7" fillId="38" borderId="1" xfId="0" applyNumberFormat="1" applyFont="1" applyFill="1" applyBorder="1" applyAlignment="1">
      <alignment horizontal="center" vertical="center" wrapText="1"/>
    </xf>
    <xf numFmtId="0" fontId="7" fillId="29" borderId="1" xfId="0" applyFont="1" applyFill="1" applyBorder="1" applyAlignment="1">
      <alignment horizontal="center" vertical="center" wrapText="1"/>
    </xf>
    <xf numFmtId="0" fontId="7" fillId="29" borderId="16" xfId="0" applyFont="1" applyFill="1" applyBorder="1" applyAlignment="1">
      <alignment horizontal="center" vertical="center" wrapText="1"/>
    </xf>
    <xf numFmtId="0" fontId="7" fillId="38" borderId="1" xfId="0" applyFont="1" applyFill="1" applyBorder="1" applyAlignment="1">
      <alignment horizontal="center" vertical="center" wrapText="1"/>
    </xf>
    <xf numFmtId="0" fontId="2" fillId="0" borderId="10" xfId="0" applyFont="1" applyBorder="1" applyAlignment="1">
      <alignment horizontal="center" vertical="center"/>
    </xf>
    <xf numFmtId="0" fontId="11" fillId="4" borderId="4" xfId="0" applyFont="1" applyFill="1" applyBorder="1" applyAlignment="1">
      <alignment horizontal="center" vertical="center"/>
    </xf>
    <xf numFmtId="0" fontId="47" fillId="35" borderId="4" xfId="0" applyFont="1" applyFill="1" applyBorder="1" applyAlignment="1">
      <alignment horizontal="center" vertical="center" wrapText="1"/>
    </xf>
    <xf numFmtId="0" fontId="47" fillId="35" borderId="1" xfId="0" applyFont="1" applyFill="1" applyBorder="1" applyAlignment="1">
      <alignment horizontal="center" vertical="center" wrapText="1"/>
    </xf>
    <xf numFmtId="0" fontId="7" fillId="0" borderId="1" xfId="0" applyFont="1" applyBorder="1" applyAlignment="1">
      <alignment horizontal="center" vertical="center" wrapText="1"/>
    </xf>
    <xf numFmtId="0" fontId="2" fillId="0" borderId="1" xfId="0" applyFont="1" applyBorder="1" applyAlignment="1"/>
    <xf numFmtId="0" fontId="2" fillId="0" borderId="11" xfId="0" applyFont="1" applyBorder="1" applyAlignment="1"/>
    <xf numFmtId="0" fontId="7" fillId="0" borderId="1" xfId="0" applyFont="1" applyBorder="1" applyAlignment="1">
      <alignment horizontal="center" vertical="center"/>
    </xf>
    <xf numFmtId="0" fontId="7" fillId="0" borderId="1" xfId="0" applyFont="1" applyBorder="1" applyAlignment="1">
      <alignment horizontal="justify" vertical="center" wrapText="1"/>
    </xf>
    <xf numFmtId="0" fontId="48" fillId="36" borderId="1" xfId="0" applyFont="1" applyFill="1" applyBorder="1" applyAlignment="1">
      <alignment horizontal="center" vertical="center" wrapText="1"/>
    </xf>
    <xf numFmtId="0" fontId="49" fillId="0" borderId="1" xfId="0" applyFont="1" applyBorder="1" applyAlignment="1">
      <alignment horizontal="center" vertical="center" wrapText="1"/>
    </xf>
    <xf numFmtId="0" fontId="49" fillId="0" borderId="16" xfId="0" applyFont="1" applyBorder="1" applyAlignment="1">
      <alignment horizontal="center" vertical="center" wrapText="1"/>
    </xf>
    <xf numFmtId="0" fontId="49" fillId="36" borderId="1" xfId="0" applyFont="1" applyFill="1" applyBorder="1" applyAlignment="1">
      <alignment horizontal="center" vertical="center" wrapText="1"/>
    </xf>
    <xf numFmtId="0" fontId="49" fillId="36" borderId="16" xfId="0" applyFont="1" applyFill="1" applyBorder="1" applyAlignment="1">
      <alignment horizontal="center" vertical="center" wrapText="1"/>
    </xf>
    <xf numFmtId="0" fontId="50" fillId="37" borderId="10" xfId="0" applyFont="1" applyFill="1" applyBorder="1" applyAlignment="1">
      <alignment horizontal="center" vertical="center" wrapText="1"/>
    </xf>
    <xf numFmtId="0" fontId="50" fillId="37" borderId="11" xfId="0" applyFont="1" applyFill="1" applyBorder="1" applyAlignment="1">
      <alignment horizontal="center" vertical="center" wrapText="1"/>
    </xf>
    <xf numFmtId="0" fontId="50" fillId="37" borderId="17" xfId="0" applyFont="1" applyFill="1" applyBorder="1" applyAlignment="1">
      <alignment horizontal="center" vertical="center" wrapText="1"/>
    </xf>
    <xf numFmtId="0" fontId="34" fillId="2" borderId="19" xfId="0" applyFont="1" applyFill="1" applyBorder="1" applyAlignment="1">
      <alignment horizontal="center" vertical="center"/>
    </xf>
    <xf numFmtId="0" fontId="34" fillId="2" borderId="49" xfId="0" applyFont="1" applyFill="1" applyBorder="1" applyAlignment="1">
      <alignment horizontal="center" vertical="center"/>
    </xf>
    <xf numFmtId="0" fontId="39" fillId="4" borderId="1" xfId="0" applyFont="1" applyFill="1" applyBorder="1" applyAlignment="1">
      <alignment horizontal="center" vertical="center" wrapText="1"/>
    </xf>
    <xf numFmtId="9" fontId="7" fillId="29" borderId="1" xfId="0" applyNumberFormat="1" applyFont="1" applyFill="1" applyBorder="1" applyAlignment="1">
      <alignment horizontal="center" vertical="center" wrapText="1"/>
    </xf>
    <xf numFmtId="9" fontId="7" fillId="29" borderId="16" xfId="0" applyNumberFormat="1" applyFont="1" applyFill="1" applyBorder="1" applyAlignment="1">
      <alignment horizontal="center" vertical="center" wrapText="1"/>
    </xf>
    <xf numFmtId="0" fontId="35" fillId="2" borderId="49" xfId="0" applyFont="1" applyFill="1" applyBorder="1" applyAlignment="1">
      <alignment horizontal="left" vertical="center"/>
    </xf>
    <xf numFmtId="0" fontId="46" fillId="34" borderId="18" xfId="0" applyFont="1" applyFill="1" applyBorder="1" applyAlignment="1">
      <alignment horizontal="center" vertical="center" wrapText="1"/>
    </xf>
    <xf numFmtId="0" fontId="46" fillId="34" borderId="19" xfId="0" applyFont="1" applyFill="1" applyBorder="1" applyAlignment="1">
      <alignment horizontal="center" vertical="center" wrapText="1"/>
    </xf>
    <xf numFmtId="0" fontId="46" fillId="34" borderId="49" xfId="0" applyFont="1" applyFill="1" applyBorder="1" applyAlignment="1">
      <alignment horizontal="center" vertical="center" wrapText="1"/>
    </xf>
    <xf numFmtId="0" fontId="47" fillId="35" borderId="16" xfId="0" applyFont="1" applyFill="1" applyBorder="1" applyAlignment="1">
      <alignment horizontal="center" vertical="center" wrapText="1"/>
    </xf>
    <xf numFmtId="0" fontId="2" fillId="0" borderId="16" xfId="0" applyFont="1" applyBorder="1" applyAlignment="1"/>
    <xf numFmtId="0" fontId="2" fillId="0" borderId="17" xfId="0" applyFont="1" applyBorder="1" applyAlignment="1"/>
    <xf numFmtId="0" fontId="39" fillId="4" borderId="1" xfId="0" applyFont="1" applyFill="1" applyBorder="1" applyAlignment="1">
      <alignment horizontal="center" vertical="center"/>
    </xf>
    <xf numFmtId="0" fontId="36" fillId="0" borderId="10" xfId="0" applyFont="1" applyBorder="1" applyAlignment="1">
      <alignment horizontal="left" vertical="center" wrapText="1"/>
    </xf>
    <xf numFmtId="0" fontId="36" fillId="0" borderId="11" xfId="0" applyFont="1" applyBorder="1" applyAlignment="1">
      <alignment horizontal="left" vertical="center" wrapText="1"/>
    </xf>
    <xf numFmtId="0" fontId="36" fillId="0" borderId="11" xfId="0" applyFont="1" applyBorder="1" applyAlignment="1">
      <alignment horizontal="left" vertical="center"/>
    </xf>
    <xf numFmtId="0" fontId="36" fillId="0" borderId="17" xfId="0" applyFont="1" applyBorder="1" applyAlignment="1">
      <alignment horizontal="left" vertical="center"/>
    </xf>
    <xf numFmtId="0" fontId="35" fillId="2" borderId="19" xfId="0" applyFont="1" applyFill="1" applyBorder="1" applyAlignment="1">
      <alignment horizontal="left" vertical="center"/>
    </xf>
    <xf numFmtId="0" fontId="35" fillId="2" borderId="19" xfId="0" applyFont="1" applyFill="1" applyBorder="1" applyAlignment="1">
      <alignment horizontal="left" vertical="center" wrapText="1"/>
    </xf>
    <xf numFmtId="0" fontId="7" fillId="0" borderId="10" xfId="0" applyFont="1" applyBorder="1" applyAlignment="1">
      <alignment horizontal="left" vertical="center"/>
    </xf>
    <xf numFmtId="0" fontId="7" fillId="0" borderId="11" xfId="0" applyFont="1" applyBorder="1" applyAlignment="1">
      <alignment horizontal="left" vertical="center"/>
    </xf>
    <xf numFmtId="0" fontId="7" fillId="0" borderId="17" xfId="0" applyFont="1" applyBorder="1" applyAlignment="1">
      <alignment horizontal="left" vertical="center"/>
    </xf>
    <xf numFmtId="0" fontId="36" fillId="0" borderId="10" xfId="0" applyFont="1" applyBorder="1" applyAlignment="1">
      <alignment horizontal="left" vertical="center"/>
    </xf>
    <xf numFmtId="0" fontId="2" fillId="0" borderId="11" xfId="0" applyFont="1" applyBorder="1" applyAlignment="1">
      <alignment horizontal="left" vertical="center"/>
    </xf>
    <xf numFmtId="0" fontId="2" fillId="32" borderId="11" xfId="0" applyFont="1" applyFill="1" applyBorder="1" applyAlignment="1">
      <alignment horizontal="left" vertical="center"/>
    </xf>
    <xf numFmtId="0" fontId="2" fillId="0" borderId="17" xfId="0" applyFont="1" applyBorder="1" applyAlignment="1">
      <alignment horizontal="left" vertical="center"/>
    </xf>
    <xf numFmtId="0" fontId="7" fillId="0" borderId="63" xfId="0" applyFont="1" applyBorder="1" applyAlignment="1">
      <alignment horizontal="left" vertical="center" wrapText="1"/>
    </xf>
    <xf numFmtId="0" fontId="7" fillId="0" borderId="64" xfId="0" applyFont="1" applyBorder="1" applyAlignment="1">
      <alignment horizontal="left" vertical="center" wrapText="1"/>
    </xf>
    <xf numFmtId="0" fontId="7" fillId="0" borderId="65" xfId="0" applyFont="1" applyBorder="1" applyAlignment="1">
      <alignment horizontal="left" vertical="center" wrapText="1"/>
    </xf>
    <xf numFmtId="0" fontId="28" fillId="0" borderId="63" xfId="0" applyFont="1" applyBorder="1" applyAlignment="1">
      <alignment horizontal="left" vertical="center" wrapText="1"/>
    </xf>
    <xf numFmtId="0" fontId="28" fillId="0" borderId="64" xfId="0" applyFont="1" applyBorder="1" applyAlignment="1">
      <alignment horizontal="left" vertical="center" wrapText="1"/>
    </xf>
    <xf numFmtId="0" fontId="28" fillId="0" borderId="65" xfId="0" applyFont="1" applyBorder="1" applyAlignment="1">
      <alignment horizontal="left" vertical="center" wrapText="1"/>
    </xf>
    <xf numFmtId="0" fontId="15" fillId="0" borderId="49" xfId="0" applyFont="1" applyBorder="1" applyAlignment="1">
      <alignment horizontal="left" vertical="center" wrapText="1"/>
    </xf>
    <xf numFmtId="0" fontId="15" fillId="0" borderId="16" xfId="0" applyFont="1" applyBorder="1" applyAlignment="1">
      <alignment horizontal="left" vertical="center" wrapText="1"/>
    </xf>
    <xf numFmtId="0" fontId="15" fillId="0" borderId="17" xfId="0" applyFont="1" applyBorder="1" applyAlignment="1">
      <alignment horizontal="left" vertical="center" wrapText="1"/>
    </xf>
    <xf numFmtId="0" fontId="15" fillId="0" borderId="55" xfId="0" applyFont="1" applyBorder="1" applyAlignment="1">
      <alignment horizontal="left" vertical="center" wrapText="1"/>
    </xf>
    <xf numFmtId="0" fontId="7" fillId="0" borderId="49" xfId="0" applyFont="1" applyBorder="1" applyAlignment="1" applyProtection="1">
      <alignment horizontal="left" vertical="center" wrapText="1"/>
      <protection locked="0"/>
    </xf>
    <xf numFmtId="0" fontId="7" fillId="0" borderId="16" xfId="0" applyFont="1" applyBorder="1" applyAlignment="1" applyProtection="1">
      <alignment horizontal="left" vertical="center" wrapText="1"/>
      <protection locked="0"/>
    </xf>
    <xf numFmtId="0" fontId="7" fillId="0" borderId="17" xfId="0" applyFont="1" applyBorder="1" applyAlignment="1" applyProtection="1">
      <alignment horizontal="left" vertical="center" wrapText="1"/>
      <protection locked="0"/>
    </xf>
    <xf numFmtId="0" fontId="7" fillId="0" borderId="57" xfId="0" applyFont="1" applyBorder="1" applyAlignment="1">
      <alignment horizontal="left" vertical="center" wrapText="1"/>
    </xf>
    <xf numFmtId="0" fontId="7" fillId="0" borderId="59" xfId="0" applyFont="1" applyBorder="1" applyAlignment="1">
      <alignment horizontal="left" vertical="center" wrapText="1"/>
    </xf>
    <xf numFmtId="0" fontId="7" fillId="0" borderId="61" xfId="0" applyFont="1" applyBorder="1" applyAlignment="1">
      <alignment horizontal="left" vertical="center" wrapText="1"/>
    </xf>
    <xf numFmtId="0" fontId="28" fillId="0" borderId="57" xfId="0" applyFont="1" applyBorder="1" applyAlignment="1">
      <alignment horizontal="left" vertical="center" wrapText="1"/>
    </xf>
    <xf numFmtId="0" fontId="28" fillId="0" borderId="59" xfId="0" applyFont="1" applyBorder="1" applyAlignment="1">
      <alignment horizontal="left" vertical="center" wrapText="1"/>
    </xf>
    <xf numFmtId="0" fontId="28" fillId="0" borderId="61" xfId="0" applyFont="1" applyBorder="1" applyAlignment="1">
      <alignment horizontal="left" vertical="center" wrapText="1"/>
    </xf>
    <xf numFmtId="0" fontId="15" fillId="0" borderId="19" xfId="0" applyFont="1" applyBorder="1" applyAlignment="1">
      <alignment horizontal="center" vertical="center" wrapText="1"/>
    </xf>
    <xf numFmtId="0" fontId="15" fillId="0" borderId="11" xfId="0" applyFont="1" applyBorder="1" applyAlignment="1">
      <alignment horizontal="center" vertical="center" wrapText="1"/>
    </xf>
    <xf numFmtId="0" fontId="15" fillId="0" borderId="8" xfId="0" applyFont="1" applyBorder="1" applyAlignment="1">
      <alignment horizontal="center" vertical="center" wrapText="1"/>
    </xf>
    <xf numFmtId="0" fontId="7" fillId="0" borderId="19" xfId="0" applyFont="1" applyBorder="1" applyAlignment="1">
      <alignment vertical="center" wrapText="1"/>
    </xf>
    <xf numFmtId="0" fontId="7" fillId="0" borderId="1" xfId="0" applyFont="1" applyBorder="1" applyAlignment="1">
      <alignment vertical="center" wrapText="1"/>
    </xf>
    <xf numFmtId="0" fontId="7" fillId="0" borderId="11" xfId="0" applyFont="1" applyBorder="1" applyAlignment="1">
      <alignment vertical="center" wrapText="1"/>
    </xf>
    <xf numFmtId="0" fontId="15" fillId="0" borderId="1" xfId="0" applyFont="1" applyBorder="1" applyAlignment="1">
      <alignment horizontal="center" vertical="center"/>
    </xf>
    <xf numFmtId="0" fontId="15" fillId="0" borderId="19" xfId="0" applyFont="1" applyBorder="1" applyAlignment="1">
      <alignment horizontal="left" vertical="center" wrapText="1"/>
    </xf>
    <xf numFmtId="0" fontId="15" fillId="0" borderId="1" xfId="0" applyFont="1" applyBorder="1" applyAlignment="1">
      <alignment horizontal="left" vertical="center" wrapText="1"/>
    </xf>
    <xf numFmtId="0" fontId="15" fillId="0" borderId="11" xfId="0" applyFont="1" applyBorder="1" applyAlignment="1">
      <alignment horizontal="left" vertical="center" wrapText="1"/>
    </xf>
    <xf numFmtId="0" fontId="15" fillId="0" borderId="8" xfId="0" applyFont="1" applyBorder="1" applyAlignment="1">
      <alignment horizontal="left" vertical="center" wrapText="1"/>
    </xf>
    <xf numFmtId="9" fontId="15" fillId="0" borderId="1" xfId="0" applyNumberFormat="1" applyFont="1" applyBorder="1" applyAlignment="1">
      <alignment horizontal="center" vertical="center" wrapText="1"/>
    </xf>
    <xf numFmtId="9" fontId="15" fillId="0" borderId="11" xfId="0" applyNumberFormat="1" applyFont="1" applyBorder="1" applyAlignment="1">
      <alignment horizontal="center" vertical="center" wrapText="1"/>
    </xf>
    <xf numFmtId="0" fontId="28" fillId="0" borderId="19" xfId="0" applyFont="1" applyBorder="1" applyAlignment="1">
      <alignment horizontal="center" vertical="center" wrapText="1"/>
    </xf>
    <xf numFmtId="0" fontId="28" fillId="0" borderId="1" xfId="0" applyFont="1" applyBorder="1" applyAlignment="1">
      <alignment horizontal="center" vertical="center" wrapText="1"/>
    </xf>
    <xf numFmtId="0" fontId="28" fillId="0" borderId="11" xfId="0" applyFont="1" applyBorder="1" applyAlignment="1">
      <alignment horizontal="center" vertical="center" wrapText="1"/>
    </xf>
    <xf numFmtId="0" fontId="7" fillId="0" borderId="11" xfId="0" applyFont="1" applyBorder="1" applyAlignment="1">
      <alignment horizontal="center" vertical="center"/>
    </xf>
    <xf numFmtId="0" fontId="4" fillId="3" borderId="18" xfId="0" applyFont="1" applyFill="1" applyBorder="1" applyAlignment="1">
      <alignment horizontal="center" vertical="center" wrapText="1"/>
    </xf>
    <xf numFmtId="0" fontId="4" fillId="3" borderId="20" xfId="0" applyFont="1" applyFill="1" applyBorder="1" applyAlignment="1">
      <alignment horizontal="center" vertical="center" wrapText="1"/>
    </xf>
    <xf numFmtId="0" fontId="4" fillId="26" borderId="56" xfId="0" applyFont="1" applyFill="1" applyBorder="1" applyAlignment="1">
      <alignment horizontal="center" vertical="center" wrapText="1"/>
    </xf>
    <xf numFmtId="0" fontId="4" fillId="26" borderId="58" xfId="0" applyFont="1" applyFill="1" applyBorder="1" applyAlignment="1">
      <alignment horizontal="center" vertical="center" wrapText="1"/>
    </xf>
    <xf numFmtId="0" fontId="4" fillId="26" borderId="62" xfId="0" applyFont="1" applyFill="1" applyBorder="1" applyAlignment="1">
      <alignment horizontal="center" vertical="center" wrapText="1"/>
    </xf>
    <xf numFmtId="0" fontId="27" fillId="0" borderId="57" xfId="0" applyFont="1" applyBorder="1" applyAlignment="1">
      <alignment horizontal="center" vertical="center" wrapText="1"/>
    </xf>
    <xf numFmtId="0" fontId="27" fillId="0" borderId="59" xfId="0" applyFont="1" applyBorder="1" applyAlignment="1">
      <alignment horizontal="center" vertical="center" wrapText="1"/>
    </xf>
    <xf numFmtId="0" fontId="27" fillId="0" borderId="61" xfId="0" applyFont="1" applyBorder="1" applyAlignment="1">
      <alignment horizontal="center" vertical="center" wrapText="1"/>
    </xf>
    <xf numFmtId="0" fontId="15" fillId="0" borderId="59" xfId="0" applyFont="1" applyBorder="1" applyAlignment="1">
      <alignment horizontal="center" vertical="center" wrapText="1"/>
    </xf>
    <xf numFmtId="0" fontId="15" fillId="0" borderId="61" xfId="0" applyFont="1" applyBorder="1" applyAlignment="1">
      <alignment horizontal="center" vertical="center" wrapText="1"/>
    </xf>
    <xf numFmtId="0" fontId="27" fillId="0" borderId="19" xfId="0" applyFont="1" applyBorder="1" applyAlignment="1">
      <alignment horizontal="center" vertical="center" wrapText="1"/>
    </xf>
    <xf numFmtId="0" fontId="10" fillId="2" borderId="18" xfId="0" applyFont="1" applyFill="1" applyBorder="1" applyAlignment="1">
      <alignment horizontal="center" vertical="center"/>
    </xf>
    <xf numFmtId="0" fontId="14" fillId="2" borderId="19" xfId="0" applyFont="1" applyFill="1" applyBorder="1" applyAlignment="1">
      <alignment horizontal="center" vertical="center"/>
    </xf>
    <xf numFmtId="0" fontId="14" fillId="2" borderId="49" xfId="0" applyFont="1" applyFill="1" applyBorder="1" applyAlignment="1">
      <alignment horizontal="center" vertical="center"/>
    </xf>
    <xf numFmtId="0" fontId="4" fillId="12" borderId="56" xfId="0" applyFont="1" applyFill="1" applyBorder="1" applyAlignment="1">
      <alignment horizontal="center" vertical="center" wrapText="1"/>
    </xf>
    <xf numFmtId="0" fontId="4" fillId="12" borderId="58" xfId="0" applyFont="1" applyFill="1" applyBorder="1" applyAlignment="1">
      <alignment horizontal="center" vertical="center" wrapText="1"/>
    </xf>
    <xf numFmtId="0" fontId="4" fillId="12" borderId="60" xfId="0" applyFont="1" applyFill="1" applyBorder="1" applyAlignment="1">
      <alignment horizontal="center" vertical="center" wrapText="1"/>
    </xf>
    <xf numFmtId="0" fontId="4" fillId="8" borderId="56" xfId="0" applyFont="1" applyFill="1" applyBorder="1" applyAlignment="1">
      <alignment horizontal="center" vertical="center"/>
    </xf>
    <xf numFmtId="0" fontId="4" fillId="8" borderId="58" xfId="0" applyFont="1" applyFill="1" applyBorder="1" applyAlignment="1">
      <alignment horizontal="center" vertical="center"/>
    </xf>
    <xf numFmtId="0" fontId="4" fillId="8" borderId="60" xfId="0" applyFont="1" applyFill="1" applyBorder="1" applyAlignment="1">
      <alignment horizontal="center" vertical="center"/>
    </xf>
    <xf numFmtId="0" fontId="4" fillId="9" borderId="18" xfId="0" applyFont="1" applyFill="1" applyBorder="1" applyAlignment="1">
      <alignment horizontal="center" vertical="center" wrapText="1"/>
    </xf>
    <xf numFmtId="0" fontId="4" fillId="9" borderId="4" xfId="0" applyFont="1" applyFill="1" applyBorder="1" applyAlignment="1">
      <alignment horizontal="center" vertical="center" wrapText="1"/>
    </xf>
    <xf numFmtId="0" fontId="4" fillId="9" borderId="10" xfId="0" applyFont="1" applyFill="1" applyBorder="1" applyAlignment="1">
      <alignment horizontal="center" vertical="center" wrapText="1"/>
    </xf>
    <xf numFmtId="0" fontId="15" fillId="0" borderId="57" xfId="0" applyFont="1" applyBorder="1" applyAlignment="1">
      <alignment horizontal="center" vertical="center" wrapText="1"/>
    </xf>
    <xf numFmtId="0" fontId="21" fillId="0" borderId="32" xfId="0" applyFont="1" applyBorder="1" applyAlignment="1">
      <alignment horizontal="center" vertical="center" wrapText="1"/>
    </xf>
    <xf numFmtId="0" fontId="21" fillId="0" borderId="35" xfId="0" applyFont="1" applyBorder="1" applyAlignment="1">
      <alignment horizontal="center" vertical="center" wrapText="1"/>
    </xf>
    <xf numFmtId="0" fontId="21" fillId="0" borderId="41" xfId="0" applyFont="1" applyBorder="1" applyAlignment="1">
      <alignment horizontal="center" vertical="center" wrapText="1"/>
    </xf>
    <xf numFmtId="0" fontId="21" fillId="0" borderId="30" xfId="0" applyFont="1" applyBorder="1" applyAlignment="1">
      <alignment horizontal="left" vertical="center" wrapText="1"/>
    </xf>
    <xf numFmtId="0" fontId="1" fillId="0" borderId="30" xfId="0" applyFont="1" applyBorder="1" applyAlignment="1">
      <alignment horizontal="left"/>
    </xf>
    <xf numFmtId="0" fontId="1" fillId="0" borderId="30" xfId="0" applyFont="1" applyBorder="1" applyAlignment="1">
      <alignment horizontal="left" wrapText="1"/>
    </xf>
    <xf numFmtId="0" fontId="21" fillId="0" borderId="42" xfId="0" applyFont="1" applyBorder="1" applyAlignment="1">
      <alignment horizontal="left" vertical="center" wrapText="1"/>
    </xf>
    <xf numFmtId="0" fontId="21" fillId="0" borderId="45" xfId="0" applyFont="1" applyBorder="1" applyAlignment="1">
      <alignment horizontal="left" vertical="center" wrapText="1"/>
    </xf>
    <xf numFmtId="0" fontId="21" fillId="0" borderId="49" xfId="0" applyFont="1" applyBorder="1" applyAlignment="1">
      <alignment horizontal="left" vertical="center" wrapText="1"/>
    </xf>
    <xf numFmtId="0" fontId="21" fillId="0" borderId="16" xfId="0" applyFont="1" applyBorder="1" applyAlignment="1">
      <alignment horizontal="left" vertical="center" wrapText="1"/>
    </xf>
    <xf numFmtId="0" fontId="22" fillId="0" borderId="51" xfId="0" applyFont="1" applyBorder="1" applyAlignment="1">
      <alignment horizontal="center" vertical="center" wrapText="1"/>
    </xf>
    <xf numFmtId="0" fontId="22" fillId="0" borderId="53" xfId="0" applyFont="1" applyBorder="1" applyAlignment="1">
      <alignment horizontal="center" vertical="center" wrapText="1"/>
    </xf>
    <xf numFmtId="0" fontId="21" fillId="22" borderId="44" xfId="0" applyFont="1" applyFill="1" applyBorder="1" applyAlignment="1">
      <alignment horizontal="center" vertical="center" wrapText="1"/>
    </xf>
    <xf numFmtId="0" fontId="21" fillId="22" borderId="46" xfId="0" applyFont="1" applyFill="1" applyBorder="1" applyAlignment="1">
      <alignment horizontal="center" vertical="center" wrapText="1"/>
    </xf>
    <xf numFmtId="0" fontId="21" fillId="22" borderId="47" xfId="0" applyFont="1" applyFill="1" applyBorder="1" applyAlignment="1">
      <alignment horizontal="center" vertical="center" wrapText="1"/>
    </xf>
    <xf numFmtId="0" fontId="21" fillId="22" borderId="28" xfId="0" applyFont="1" applyFill="1" applyBorder="1" applyAlignment="1">
      <alignment horizontal="center" vertical="center" wrapText="1"/>
    </xf>
    <xf numFmtId="0" fontId="21" fillId="22" borderId="28" xfId="0" applyFont="1" applyFill="1" applyBorder="1" applyAlignment="1">
      <alignment horizontal="center" vertical="center"/>
    </xf>
    <xf numFmtId="0" fontId="1" fillId="0" borderId="28" xfId="0" applyFont="1" applyBorder="1" applyAlignment="1"/>
    <xf numFmtId="0" fontId="22" fillId="0" borderId="52" xfId="0" applyFont="1" applyBorder="1" applyAlignment="1">
      <alignment horizontal="center" vertical="center"/>
    </xf>
    <xf numFmtId="0" fontId="22" fillId="0" borderId="0" xfId="0" applyFont="1" applyAlignment="1">
      <alignment horizontal="center" vertical="center"/>
    </xf>
    <xf numFmtId="0" fontId="21" fillId="22" borderId="29" xfId="0" applyFont="1" applyFill="1" applyBorder="1" applyAlignment="1">
      <alignment horizontal="center" vertical="center" wrapText="1"/>
    </xf>
    <xf numFmtId="0" fontId="21" fillId="22" borderId="29" xfId="0" applyFont="1" applyFill="1" applyBorder="1" applyAlignment="1">
      <alignment horizontal="center" vertical="center"/>
    </xf>
    <xf numFmtId="0" fontId="1" fillId="0" borderId="29" xfId="0" applyFont="1" applyBorder="1" applyAlignment="1"/>
    <xf numFmtId="0" fontId="21" fillId="0" borderId="44" xfId="0" applyFont="1" applyBorder="1" applyAlignment="1">
      <alignment horizontal="center" vertical="center"/>
    </xf>
    <xf numFmtId="0" fontId="21" fillId="0" borderId="46" xfId="0" applyFont="1" applyBorder="1" applyAlignment="1">
      <alignment horizontal="center" vertical="center"/>
    </xf>
    <xf numFmtId="0" fontId="21" fillId="0" borderId="47" xfId="0" applyFont="1" applyBorder="1" applyAlignment="1">
      <alignment horizontal="center" vertical="center"/>
    </xf>
    <xf numFmtId="0" fontId="17" fillId="2" borderId="23" xfId="0" applyFont="1" applyFill="1" applyBorder="1" applyAlignment="1">
      <alignment horizontal="center" vertical="center"/>
    </xf>
    <xf numFmtId="0" fontId="0" fillId="0" borderId="24" xfId="0" applyBorder="1" applyAlignment="1"/>
    <xf numFmtId="0" fontId="0" fillId="0" borderId="25" xfId="0" applyBorder="1" applyAlignment="1"/>
    <xf numFmtId="0" fontId="19" fillId="20" borderId="27" xfId="0" applyFont="1" applyFill="1" applyBorder="1" applyAlignment="1">
      <alignment horizontal="center" vertical="center" wrapText="1"/>
    </xf>
    <xf numFmtId="0" fontId="0" fillId="0" borderId="27" xfId="0" applyBorder="1" applyAlignment="1"/>
    <xf numFmtId="0" fontId="0" fillId="0" borderId="28" xfId="0" applyBorder="1" applyAlignment="1"/>
    <xf numFmtId="0" fontId="21" fillId="22" borderId="21" xfId="0" applyFont="1" applyFill="1" applyBorder="1" applyAlignment="1">
      <alignment horizontal="center" vertical="center" wrapText="1"/>
    </xf>
    <xf numFmtId="0" fontId="21" fillId="22" borderId="54" xfId="0" applyFont="1" applyFill="1" applyBorder="1" applyAlignment="1">
      <alignment horizontal="center" vertical="center" wrapText="1"/>
    </xf>
    <xf numFmtId="0" fontId="21" fillId="22" borderId="22" xfId="0" applyFont="1" applyFill="1" applyBorder="1" applyAlignment="1">
      <alignment horizontal="center" vertical="center" wrapText="1"/>
    </xf>
    <xf numFmtId="0" fontId="25" fillId="0" borderId="10" xfId="0" applyFont="1" applyBorder="1" applyAlignment="1">
      <alignment vertical="center" wrapText="1"/>
    </xf>
    <xf numFmtId="0" fontId="0" fillId="0" borderId="11" xfId="0" applyBorder="1" applyAlignment="1"/>
    <xf numFmtId="0" fontId="0" fillId="0" borderId="17" xfId="0" applyBorder="1" applyAlignment="1"/>
    <xf numFmtId="0" fontId="18" fillId="20" borderId="31" xfId="0" applyFont="1" applyFill="1" applyBorder="1" applyAlignment="1">
      <alignment horizontal="center" vertical="center" wrapText="1"/>
    </xf>
    <xf numFmtId="0" fontId="18" fillId="20" borderId="33" xfId="0" applyFont="1" applyFill="1" applyBorder="1" applyAlignment="1">
      <alignment horizontal="center" vertical="center" wrapText="1"/>
    </xf>
    <xf numFmtId="0" fontId="18" fillId="20" borderId="37" xfId="0" applyFont="1" applyFill="1" applyBorder="1" applyAlignment="1">
      <alignment horizontal="center" vertical="center" wrapText="1"/>
    </xf>
    <xf numFmtId="0" fontId="18" fillId="21" borderId="26" xfId="0" applyFont="1" applyFill="1" applyBorder="1" applyAlignment="1">
      <alignment horizontal="center" vertical="center"/>
    </xf>
    <xf numFmtId="0" fontId="0" fillId="0" borderId="26" xfId="0" applyBorder="1" applyAlignment="1"/>
    <xf numFmtId="0" fontId="18" fillId="23" borderId="40" xfId="0" applyFont="1" applyFill="1" applyBorder="1" applyAlignment="1">
      <alignment horizontal="center" vertical="center"/>
    </xf>
    <xf numFmtId="0" fontId="18" fillId="23" borderId="43" xfId="0" applyFont="1" applyFill="1" applyBorder="1" applyAlignment="1">
      <alignment horizontal="center" vertical="center"/>
    </xf>
    <xf numFmtId="0" fontId="18" fillId="24" borderId="18" xfId="0" applyFont="1" applyFill="1" applyBorder="1" applyAlignment="1">
      <alignment horizontal="center" vertical="center"/>
    </xf>
    <xf numFmtId="0" fontId="18" fillId="24" borderId="4" xfId="0" applyFont="1" applyFill="1" applyBorder="1" applyAlignment="1">
      <alignment horizontal="center" vertical="center"/>
    </xf>
    <xf numFmtId="0" fontId="24" fillId="25" borderId="4" xfId="0" applyFont="1" applyFill="1" applyBorder="1" applyAlignment="1">
      <alignment horizontal="center" vertical="center"/>
    </xf>
    <xf numFmtId="0" fontId="24" fillId="25" borderId="20" xfId="0" applyFont="1" applyFill="1" applyBorder="1" applyAlignment="1">
      <alignment horizontal="center" vertical="center"/>
    </xf>
    <xf numFmtId="0" fontId="21" fillId="0" borderId="34" xfId="0" applyFont="1" applyBorder="1" applyAlignment="1">
      <alignment horizontal="center" vertical="center" wrapText="1"/>
    </xf>
    <xf numFmtId="0" fontId="21" fillId="0" borderId="36" xfId="0" applyFont="1" applyBorder="1" applyAlignment="1">
      <alignment horizontal="center" vertical="center" wrapText="1"/>
    </xf>
    <xf numFmtId="0" fontId="22" fillId="0" borderId="36" xfId="0" applyFont="1" applyBorder="1" applyAlignment="1">
      <alignment horizontal="center" vertical="center" wrapText="1"/>
    </xf>
    <xf numFmtId="0" fontId="22" fillId="0" borderId="38" xfId="0" applyFont="1" applyBorder="1" applyAlignment="1">
      <alignment horizontal="center" vertical="center" wrapText="1"/>
    </xf>
    <xf numFmtId="0" fontId="21" fillId="22" borderId="32" xfId="0" applyFont="1" applyFill="1" applyBorder="1" applyAlignment="1">
      <alignment horizontal="center" vertical="center" wrapText="1"/>
    </xf>
    <xf numFmtId="0" fontId="21" fillId="22" borderId="35" xfId="0" applyFont="1" applyFill="1" applyBorder="1" applyAlignment="1">
      <alignment horizontal="center" vertical="center" wrapText="1"/>
    </xf>
    <xf numFmtId="0" fontId="21" fillId="22" borderId="39" xfId="0" applyFont="1" applyFill="1" applyBorder="1" applyAlignment="1">
      <alignment horizontal="center" vertical="center" wrapText="1"/>
    </xf>
    <xf numFmtId="0" fontId="21" fillId="0" borderId="29" xfId="0" applyFont="1" applyBorder="1" applyAlignment="1">
      <alignment horizontal="center" vertical="center"/>
    </xf>
    <xf numFmtId="0" fontId="7" fillId="11" borderId="1" xfId="0" applyFont="1" applyFill="1" applyBorder="1" applyAlignment="1">
      <alignment horizontal="center" vertical="center" wrapText="1"/>
    </xf>
    <xf numFmtId="0" fontId="7" fillId="11" borderId="1" xfId="0" applyFont="1" applyFill="1" applyBorder="1" applyAlignment="1">
      <alignment horizontal="center" vertical="center"/>
    </xf>
    <xf numFmtId="0" fontId="15" fillId="0" borderId="22" xfId="0" applyFont="1" applyBorder="1" applyAlignment="1">
      <alignment horizontal="center" vertical="center" wrapText="1"/>
    </xf>
    <xf numFmtId="0" fontId="5" fillId="4" borderId="4" xfId="0" applyFont="1" applyFill="1" applyBorder="1" applyAlignment="1">
      <alignment horizontal="center" vertical="center" textRotation="255" wrapText="1"/>
    </xf>
    <xf numFmtId="0" fontId="5" fillId="4" borderId="4" xfId="0" applyFont="1" applyFill="1" applyBorder="1" applyAlignment="1">
      <alignment horizontal="center" vertical="center" textRotation="255"/>
    </xf>
    <xf numFmtId="0" fontId="5" fillId="12" borderId="4" xfId="0" applyFont="1" applyFill="1" applyBorder="1" applyAlignment="1">
      <alignment horizontal="center" vertical="center" textRotation="255"/>
    </xf>
    <xf numFmtId="0" fontId="5" fillId="14" borderId="4" xfId="0" applyFont="1" applyFill="1" applyBorder="1" applyAlignment="1">
      <alignment horizontal="center" vertical="center" textRotation="255"/>
    </xf>
    <xf numFmtId="0" fontId="5" fillId="8" borderId="4" xfId="0" applyFont="1" applyFill="1" applyBorder="1" applyAlignment="1">
      <alignment horizontal="center" vertical="center" textRotation="255"/>
    </xf>
    <xf numFmtId="0" fontId="5" fillId="9" borderId="4" xfId="0" applyFont="1" applyFill="1" applyBorder="1" applyAlignment="1">
      <alignment horizontal="center" vertical="center" textRotation="255"/>
    </xf>
    <xf numFmtId="0" fontId="5" fillId="4" borderId="1" xfId="0" applyFont="1" applyFill="1" applyBorder="1" applyAlignment="1">
      <alignment horizontal="center" vertical="center" wrapText="1"/>
    </xf>
    <xf numFmtId="0" fontId="2" fillId="11" borderId="1" xfId="0" applyFont="1" applyFill="1" applyBorder="1" applyAlignment="1">
      <alignment horizontal="center" vertical="center" wrapText="1"/>
    </xf>
    <xf numFmtId="0" fontId="15" fillId="11" borderId="1" xfId="0" applyFont="1" applyFill="1" applyBorder="1" applyAlignment="1">
      <alignment horizontal="center" vertical="center"/>
    </xf>
    <xf numFmtId="0" fontId="16" fillId="4" borderId="5" xfId="0" applyFont="1" applyFill="1" applyBorder="1" applyAlignment="1">
      <alignment horizontal="center" vertical="center" wrapText="1"/>
    </xf>
    <xf numFmtId="0" fontId="0" fillId="0" borderId="7" xfId="0" applyBorder="1" applyAlignment="1"/>
    <xf numFmtId="0" fontId="10" fillId="2" borderId="18" xfId="0" applyFont="1" applyFill="1" applyBorder="1" applyAlignment="1">
      <alignment horizontal="center" vertical="center" wrapText="1"/>
    </xf>
    <xf numFmtId="0" fontId="14" fillId="2" borderId="19" xfId="0" applyFont="1" applyFill="1" applyBorder="1" applyAlignment="1">
      <alignment horizontal="center" vertical="center" wrapText="1"/>
    </xf>
    <xf numFmtId="0" fontId="14" fillId="2" borderId="4" xfId="0" applyFont="1" applyFill="1" applyBorder="1" applyAlignment="1">
      <alignment horizontal="center" vertical="center" wrapText="1"/>
    </xf>
    <xf numFmtId="0" fontId="14" fillId="2" borderId="1" xfId="0" applyFont="1" applyFill="1" applyBorder="1" applyAlignment="1">
      <alignment horizontal="center" vertical="center" wrapText="1"/>
    </xf>
    <xf numFmtId="0" fontId="12" fillId="0" borderId="11" xfId="0" applyFont="1" applyBorder="1" applyAlignment="1">
      <alignment horizontal="center" vertical="center" wrapText="1"/>
    </xf>
    <xf numFmtId="0" fontId="13" fillId="0" borderId="11" xfId="0" applyFont="1" applyBorder="1" applyAlignment="1">
      <alignment horizontal="center" vertical="center"/>
    </xf>
    <xf numFmtId="0" fontId="12" fillId="0" borderId="12" xfId="0" applyFont="1" applyBorder="1" applyAlignment="1">
      <alignment horizontal="center" vertical="center" wrapText="1"/>
    </xf>
    <xf numFmtId="0" fontId="12" fillId="0" borderId="13" xfId="0" applyFont="1" applyBorder="1" applyAlignment="1">
      <alignment horizontal="center" vertical="center" wrapText="1"/>
    </xf>
    <xf numFmtId="0" fontId="12" fillId="0" borderId="14" xfId="0" applyFont="1" applyBorder="1" applyAlignment="1">
      <alignment horizontal="center" vertical="center" wrapText="1"/>
    </xf>
    <xf numFmtId="0" fontId="5" fillId="4" borderId="10" xfId="0" applyFont="1" applyFill="1" applyBorder="1" applyAlignment="1">
      <alignment horizontal="center" vertical="center" wrapText="1"/>
    </xf>
    <xf numFmtId="0" fontId="12" fillId="0" borderId="1" xfId="0" applyFont="1" applyBorder="1" applyAlignment="1">
      <alignment horizontal="center" vertical="center" wrapText="1"/>
    </xf>
    <xf numFmtId="0" fontId="13" fillId="0" borderId="1" xfId="0" applyFont="1" applyBorder="1" applyAlignment="1">
      <alignment horizontal="center" vertical="center"/>
    </xf>
    <xf numFmtId="0" fontId="12" fillId="0" borderId="5" xfId="0" applyFont="1" applyBorder="1" applyAlignment="1">
      <alignment horizontal="center" vertical="center" wrapText="1"/>
    </xf>
    <xf numFmtId="0" fontId="12" fillId="0" borderId="6" xfId="0" applyFont="1" applyBorder="1" applyAlignment="1">
      <alignment horizontal="center" vertical="center" wrapText="1"/>
    </xf>
    <xf numFmtId="0" fontId="12" fillId="0" borderId="7" xfId="0" applyFont="1" applyBorder="1" applyAlignment="1">
      <alignment horizontal="center" vertical="center" wrapText="1"/>
    </xf>
    <xf numFmtId="0" fontId="12" fillId="0" borderId="8" xfId="0" applyFont="1" applyBorder="1" applyAlignment="1">
      <alignment horizontal="center" vertical="center" wrapText="1"/>
    </xf>
    <xf numFmtId="0" fontId="12" fillId="0" borderId="9" xfId="0" applyFont="1" applyBorder="1" applyAlignment="1">
      <alignment horizontal="center" vertical="center" wrapText="1"/>
    </xf>
    <xf numFmtId="0" fontId="10" fillId="2" borderId="2" xfId="0" applyFont="1" applyFill="1" applyBorder="1" applyAlignment="1">
      <alignment horizontal="center" vertical="center" wrapText="1"/>
    </xf>
    <xf numFmtId="0" fontId="10" fillId="2" borderId="3" xfId="0" applyFont="1" applyFill="1" applyBorder="1" applyAlignment="1">
      <alignment horizontal="center" vertical="center" wrapText="1"/>
    </xf>
    <xf numFmtId="0" fontId="10" fillId="2" borderId="15" xfId="0" applyFont="1" applyFill="1" applyBorder="1" applyAlignment="1">
      <alignment horizontal="center" vertical="center" wrapText="1"/>
    </xf>
    <xf numFmtId="0" fontId="3" fillId="0" borderId="0" xfId="0" applyFont="1" applyAlignment="1">
      <alignment horizontal="center" vertical="center" wrapText="1"/>
    </xf>
    <xf numFmtId="0" fontId="4" fillId="2" borderId="1" xfId="0" applyFont="1" applyFill="1" applyBorder="1" applyAlignment="1">
      <alignment horizontal="center" vertical="center" wrapText="1"/>
    </xf>
    <xf numFmtId="0" fontId="107" fillId="0" borderId="1" xfId="0" applyFont="1" applyBorder="1" applyAlignment="1">
      <alignment horizontal="left" vertical="center" wrapText="1"/>
    </xf>
  </cellXfs>
  <cellStyles count="2">
    <cellStyle name="常规" xfId="0" builtinId="0"/>
    <cellStyle name="常规 2" xfId="1"/>
  </cellStyles>
  <dxfs count="0"/>
  <tableStyles count="0" defaultTableStyle="TableStyleMedium2" defaultPivotStyle="PivotStyleLight16"/>
  <colors>
    <mruColors>
      <color rgb="FFFF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dr:oneCellAnchor>
    <xdr:from>
      <xdr:col>0</xdr:col>
      <xdr:colOff>8890</xdr:colOff>
      <xdr:row>7</xdr:row>
      <xdr:rowOff>119380</xdr:rowOff>
    </xdr:from>
    <xdr:ext cx="7012544" cy="578049"/>
    <xdr:sp macro="" textlink="">
      <xdr:nvSpPr>
        <xdr:cNvPr id="2" name="矩形 1"/>
        <xdr:cNvSpPr/>
      </xdr:nvSpPr>
      <xdr:spPr>
        <a:xfrm rot="19260000">
          <a:off x="8890" y="3201670"/>
          <a:ext cx="7012305" cy="577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2800" b="1">
              <a:solidFill>
                <a:schemeClr val="bg2">
                  <a:lumMod val="75000"/>
                  <a:alpha val="11000"/>
                </a:schemeClr>
              </a:solidFill>
              <a:effectLst>
                <a:outerShdw blurRad="38100" dist="25400" dir="5400000" algn="ctr" rotWithShape="0">
                  <a:srgbClr val="6E747A">
                    <a:alpha val="43000"/>
                  </a:srgbClr>
                </a:outerShdw>
              </a:effectLst>
            </a:rPr>
            <a:t>国</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泰</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君</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安</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期</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货</a:t>
          </a:r>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5</xdr:col>
      <xdr:colOff>60960</xdr:colOff>
      <xdr:row>10</xdr:row>
      <xdr:rowOff>265285</xdr:rowOff>
    </xdr:from>
    <xdr:ext cx="2744983" cy="578685"/>
    <xdr:sp macro="" textlink="">
      <xdr:nvSpPr>
        <xdr:cNvPr id="2" name="矩形 1"/>
        <xdr:cNvSpPr/>
      </xdr:nvSpPr>
      <xdr:spPr>
        <a:xfrm rot="19440000">
          <a:off x="4404360" y="4163060"/>
          <a:ext cx="2744470" cy="579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2800" b="1">
              <a:solidFill>
                <a:schemeClr val="bg2">
                  <a:lumMod val="75000"/>
                  <a:alpha val="11000"/>
                </a:schemeClr>
              </a:solidFill>
              <a:effectLst>
                <a:outerShdw blurRad="38100" dist="25400" dir="5400000" algn="ctr" rotWithShape="0">
                  <a:srgbClr val="6E747A">
                    <a:alpha val="43000"/>
                  </a:srgbClr>
                </a:outerShdw>
              </a:effectLst>
            </a:rPr>
            <a:t>国</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泰</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君</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安</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期</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货</a:t>
          </a:r>
        </a:p>
      </xdr:txBody>
    </xdr:sp>
    <xdr:clientData/>
  </xdr:oneCellAnchor>
  <xdr:oneCellAnchor>
    <xdr:from>
      <xdr:col>5</xdr:col>
      <xdr:colOff>88265</xdr:colOff>
      <xdr:row>30</xdr:row>
      <xdr:rowOff>107805</xdr:rowOff>
    </xdr:from>
    <xdr:ext cx="2744982" cy="578685"/>
    <xdr:sp macro="" textlink="">
      <xdr:nvSpPr>
        <xdr:cNvPr id="3" name="矩形 2"/>
        <xdr:cNvSpPr/>
      </xdr:nvSpPr>
      <xdr:spPr>
        <a:xfrm rot="19440000">
          <a:off x="4431665" y="11625580"/>
          <a:ext cx="2744470" cy="579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2800" b="1">
              <a:solidFill>
                <a:schemeClr val="bg2">
                  <a:lumMod val="75000"/>
                  <a:alpha val="11000"/>
                </a:schemeClr>
              </a:solidFill>
              <a:effectLst>
                <a:outerShdw blurRad="38100" dist="25400" dir="5400000" algn="ctr" rotWithShape="0">
                  <a:srgbClr val="6E747A">
                    <a:alpha val="43000"/>
                  </a:srgbClr>
                </a:outerShdw>
              </a:effectLst>
            </a:rPr>
            <a:t>国</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泰</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君</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安</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期</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货</a:t>
          </a:r>
        </a:p>
      </xdr:txBody>
    </xdr:sp>
    <xdr:clientData/>
  </xdr:oneCellAnchor>
  <xdr:oneCellAnchor>
    <xdr:from>
      <xdr:col>5</xdr:col>
      <xdr:colOff>259080</xdr:colOff>
      <xdr:row>51</xdr:row>
      <xdr:rowOff>261776</xdr:rowOff>
    </xdr:from>
    <xdr:ext cx="2744982" cy="578685"/>
    <xdr:sp macro="" textlink="">
      <xdr:nvSpPr>
        <xdr:cNvPr id="4" name="矩形 3"/>
        <xdr:cNvSpPr/>
      </xdr:nvSpPr>
      <xdr:spPr>
        <a:xfrm rot="19440000">
          <a:off x="4602480" y="19780885"/>
          <a:ext cx="2744470" cy="5784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2800" b="1">
              <a:solidFill>
                <a:schemeClr val="bg2">
                  <a:lumMod val="75000"/>
                  <a:alpha val="11000"/>
                </a:schemeClr>
              </a:solidFill>
              <a:effectLst>
                <a:outerShdw blurRad="38100" dist="25400" dir="5400000" algn="ctr" rotWithShape="0">
                  <a:srgbClr val="6E747A">
                    <a:alpha val="43000"/>
                  </a:srgbClr>
                </a:outerShdw>
              </a:effectLst>
            </a:rPr>
            <a:t>国</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泰</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君</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安</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期</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货</a:t>
          </a:r>
        </a:p>
      </xdr:txBody>
    </xdr:sp>
    <xdr:clientData/>
  </xdr:oneCellAnchor>
  <xdr:oneCellAnchor>
    <xdr:from>
      <xdr:col>5</xdr:col>
      <xdr:colOff>850265</xdr:colOff>
      <xdr:row>71</xdr:row>
      <xdr:rowOff>64770</xdr:rowOff>
    </xdr:from>
    <xdr:ext cx="2744982" cy="578685"/>
    <xdr:sp macro="" textlink="">
      <xdr:nvSpPr>
        <xdr:cNvPr id="5" name="矩形 4"/>
        <xdr:cNvSpPr/>
      </xdr:nvSpPr>
      <xdr:spPr>
        <a:xfrm rot="19440000">
          <a:off x="5193665" y="27204035"/>
          <a:ext cx="2744470" cy="5784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2800" b="1">
              <a:solidFill>
                <a:schemeClr val="bg2">
                  <a:lumMod val="75000"/>
                  <a:alpha val="11000"/>
                </a:schemeClr>
              </a:solidFill>
              <a:effectLst>
                <a:outerShdw blurRad="38100" dist="25400" dir="5400000" algn="ctr" rotWithShape="0">
                  <a:srgbClr val="6E747A">
                    <a:alpha val="43000"/>
                  </a:srgbClr>
                </a:outerShdw>
              </a:effectLst>
            </a:rPr>
            <a:t>国</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泰</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君</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安</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期</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货</a:t>
          </a:r>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8</xdr:col>
      <xdr:colOff>374015</xdr:colOff>
      <xdr:row>8</xdr:row>
      <xdr:rowOff>80164</xdr:rowOff>
    </xdr:from>
    <xdr:ext cx="2744983" cy="578685"/>
    <xdr:sp macro="" textlink="">
      <xdr:nvSpPr>
        <xdr:cNvPr id="2" name="矩形 1"/>
        <xdr:cNvSpPr/>
      </xdr:nvSpPr>
      <xdr:spPr>
        <a:xfrm rot="19380000">
          <a:off x="9813290" y="3395345"/>
          <a:ext cx="2744470" cy="5784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2800" b="1">
              <a:solidFill>
                <a:schemeClr val="bg2">
                  <a:lumMod val="75000"/>
                  <a:alpha val="11000"/>
                </a:schemeClr>
              </a:solidFill>
              <a:effectLst>
                <a:outerShdw blurRad="38100" dist="25400" dir="5400000" algn="ctr" rotWithShape="0">
                  <a:srgbClr val="6E747A">
                    <a:alpha val="43000"/>
                  </a:srgbClr>
                </a:outerShdw>
              </a:effectLst>
            </a:rPr>
            <a:t>国</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泰</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君</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安</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期</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货</a:t>
          </a:r>
        </a:p>
      </xdr:txBody>
    </xdr:sp>
    <xdr:clientData/>
  </xdr:oneCellAnchor>
  <xdr:oneCellAnchor>
    <xdr:from>
      <xdr:col>8</xdr:col>
      <xdr:colOff>411480</xdr:colOff>
      <xdr:row>26</xdr:row>
      <xdr:rowOff>188450</xdr:rowOff>
    </xdr:from>
    <xdr:ext cx="2744983" cy="578685"/>
    <xdr:sp macro="" textlink="">
      <xdr:nvSpPr>
        <xdr:cNvPr id="3" name="矩形 2"/>
        <xdr:cNvSpPr/>
      </xdr:nvSpPr>
      <xdr:spPr>
        <a:xfrm rot="19380000">
          <a:off x="9850755" y="10513695"/>
          <a:ext cx="2744470" cy="579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2800" b="1">
              <a:solidFill>
                <a:schemeClr val="bg2">
                  <a:lumMod val="75000"/>
                  <a:alpha val="11000"/>
                </a:schemeClr>
              </a:solidFill>
              <a:effectLst>
                <a:outerShdw blurRad="38100" dist="25400" dir="5400000" algn="ctr" rotWithShape="0">
                  <a:srgbClr val="6E747A">
                    <a:alpha val="43000"/>
                  </a:srgbClr>
                </a:outerShdw>
              </a:effectLst>
            </a:rPr>
            <a:t>国</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泰</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君</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安</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期</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货</a:t>
          </a:r>
        </a:p>
      </xdr:txBody>
    </xdr:sp>
    <xdr:clientData/>
  </xdr:oneCellAnchor>
  <xdr:oneCellAnchor>
    <xdr:from>
      <xdr:col>8</xdr:col>
      <xdr:colOff>523875</xdr:colOff>
      <xdr:row>45</xdr:row>
      <xdr:rowOff>106199</xdr:rowOff>
    </xdr:from>
    <xdr:ext cx="2744983" cy="578685"/>
    <xdr:sp macro="" textlink="">
      <xdr:nvSpPr>
        <xdr:cNvPr id="4" name="矩形 3"/>
        <xdr:cNvSpPr/>
      </xdr:nvSpPr>
      <xdr:spPr>
        <a:xfrm rot="19380000">
          <a:off x="9963150" y="17670780"/>
          <a:ext cx="2744470" cy="5784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2800" b="1">
              <a:solidFill>
                <a:schemeClr val="bg2">
                  <a:lumMod val="75000"/>
                  <a:alpha val="11000"/>
                </a:schemeClr>
              </a:solidFill>
              <a:effectLst>
                <a:outerShdw blurRad="38100" dist="25400" dir="5400000" algn="ctr" rotWithShape="0">
                  <a:srgbClr val="6E747A">
                    <a:alpha val="43000"/>
                  </a:srgbClr>
                </a:outerShdw>
              </a:effectLst>
            </a:rPr>
            <a:t>国</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泰</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君</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安</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期</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货</a:t>
          </a:r>
        </a:p>
      </xdr:txBody>
    </xdr:sp>
    <xdr:clientData/>
  </xdr:oneCellAnchor>
  <xdr:oneCellAnchor>
    <xdr:from>
      <xdr:col>8</xdr:col>
      <xdr:colOff>498475</xdr:colOff>
      <xdr:row>66</xdr:row>
      <xdr:rowOff>264694</xdr:rowOff>
    </xdr:from>
    <xdr:ext cx="2744983" cy="578685"/>
    <xdr:sp macro="" textlink="">
      <xdr:nvSpPr>
        <xdr:cNvPr id="5" name="矩形 4"/>
        <xdr:cNvSpPr/>
      </xdr:nvSpPr>
      <xdr:spPr>
        <a:xfrm rot="19380000">
          <a:off x="9937750" y="25829895"/>
          <a:ext cx="2744470" cy="579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2800" b="1">
              <a:solidFill>
                <a:schemeClr val="bg2">
                  <a:lumMod val="75000"/>
                  <a:alpha val="11000"/>
                </a:schemeClr>
              </a:solidFill>
              <a:effectLst>
                <a:outerShdw blurRad="38100" dist="25400" dir="5400000" algn="ctr" rotWithShape="0">
                  <a:srgbClr val="6E747A">
                    <a:alpha val="43000"/>
                  </a:srgbClr>
                </a:outerShdw>
              </a:effectLst>
            </a:rPr>
            <a:t>国</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泰</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君</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安</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期</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货</a:t>
          </a:r>
        </a:p>
      </xdr:txBody>
    </xdr:sp>
    <xdr:clientData/>
  </xdr:oneCellAnchor>
</xdr:wsDr>
</file>

<file path=xl/drawings/drawing4.xml><?xml version="1.0" encoding="utf-8"?>
<xdr:wsDr xmlns:xdr="http://schemas.openxmlformats.org/drawingml/2006/spreadsheetDrawing" xmlns:a="http://schemas.openxmlformats.org/drawingml/2006/main">
  <xdr:oneCellAnchor>
    <xdr:from>
      <xdr:col>6</xdr:col>
      <xdr:colOff>153042</xdr:colOff>
      <xdr:row>7</xdr:row>
      <xdr:rowOff>506407</xdr:rowOff>
    </xdr:from>
    <xdr:ext cx="2744982" cy="578685"/>
    <xdr:sp macro="" textlink="">
      <xdr:nvSpPr>
        <xdr:cNvPr id="2" name="矩形 1"/>
        <xdr:cNvSpPr/>
      </xdr:nvSpPr>
      <xdr:spPr>
        <a:xfrm rot="19380000">
          <a:off x="6029960" y="4029710"/>
          <a:ext cx="2744470" cy="5784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2800" b="1">
              <a:solidFill>
                <a:schemeClr val="bg2">
                  <a:lumMod val="75000"/>
                  <a:alpha val="11000"/>
                </a:schemeClr>
              </a:solidFill>
              <a:effectLst>
                <a:outerShdw blurRad="38100" dist="25400" dir="5400000" algn="ctr" rotWithShape="0">
                  <a:srgbClr val="6E747A">
                    <a:alpha val="43000"/>
                  </a:srgbClr>
                </a:outerShdw>
              </a:effectLst>
            </a:rPr>
            <a:t>国</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泰</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君</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安</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期</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货</a:t>
          </a:r>
        </a:p>
      </xdr:txBody>
    </xdr:sp>
    <xdr:clientData/>
  </xdr:oneCellAnchor>
  <xdr:oneCellAnchor>
    <xdr:from>
      <xdr:col>13</xdr:col>
      <xdr:colOff>1638954</xdr:colOff>
      <xdr:row>7</xdr:row>
      <xdr:rowOff>310583</xdr:rowOff>
    </xdr:from>
    <xdr:ext cx="2744983" cy="578685"/>
    <xdr:sp macro="" textlink="">
      <xdr:nvSpPr>
        <xdr:cNvPr id="3" name="矩形 2"/>
        <xdr:cNvSpPr/>
      </xdr:nvSpPr>
      <xdr:spPr>
        <a:xfrm rot="19380000">
          <a:off x="17774285" y="3834130"/>
          <a:ext cx="2744470" cy="5784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2800" b="1">
              <a:solidFill>
                <a:schemeClr val="bg2">
                  <a:lumMod val="75000"/>
                  <a:alpha val="11000"/>
                </a:schemeClr>
              </a:solidFill>
              <a:effectLst>
                <a:outerShdw blurRad="38100" dist="25400" dir="5400000" algn="ctr" rotWithShape="0">
                  <a:srgbClr val="6E747A">
                    <a:alpha val="43000"/>
                  </a:srgbClr>
                </a:outerShdw>
              </a:effectLst>
            </a:rPr>
            <a:t>国</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泰</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君</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安</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期</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货</a:t>
          </a:r>
        </a:p>
      </xdr:txBody>
    </xdr:sp>
    <xdr:clientData/>
  </xdr:oneCellAnchor>
  <xdr:oneCellAnchor>
    <xdr:from>
      <xdr:col>6</xdr:col>
      <xdr:colOff>275611</xdr:colOff>
      <xdr:row>28</xdr:row>
      <xdr:rowOff>118562</xdr:rowOff>
    </xdr:from>
    <xdr:ext cx="2744983" cy="578685"/>
    <xdr:sp macro="" textlink="">
      <xdr:nvSpPr>
        <xdr:cNvPr id="4" name="矩形 3"/>
        <xdr:cNvSpPr/>
      </xdr:nvSpPr>
      <xdr:spPr>
        <a:xfrm rot="19380000">
          <a:off x="6152515" y="13616305"/>
          <a:ext cx="2744470" cy="579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2800" b="1">
              <a:solidFill>
                <a:schemeClr val="bg2">
                  <a:lumMod val="75000"/>
                  <a:alpha val="11000"/>
                </a:schemeClr>
              </a:solidFill>
              <a:effectLst>
                <a:outerShdw blurRad="38100" dist="25400" dir="5400000" algn="ctr" rotWithShape="0">
                  <a:srgbClr val="6E747A">
                    <a:alpha val="43000"/>
                  </a:srgbClr>
                </a:outerShdw>
              </a:effectLst>
            </a:rPr>
            <a:t>国</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泰</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君</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安</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期</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货</a:t>
          </a:r>
        </a:p>
      </xdr:txBody>
    </xdr:sp>
    <xdr:clientData/>
  </xdr:oneCellAnchor>
  <xdr:oneCellAnchor>
    <xdr:from>
      <xdr:col>13</xdr:col>
      <xdr:colOff>1723356</xdr:colOff>
      <xdr:row>27</xdr:row>
      <xdr:rowOff>308589</xdr:rowOff>
    </xdr:from>
    <xdr:ext cx="2744982" cy="578685"/>
    <xdr:sp macro="" textlink="">
      <xdr:nvSpPr>
        <xdr:cNvPr id="5" name="矩形 4"/>
        <xdr:cNvSpPr/>
      </xdr:nvSpPr>
      <xdr:spPr>
        <a:xfrm rot="19380000">
          <a:off x="17858105" y="13425170"/>
          <a:ext cx="2745105" cy="579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2800" b="1">
              <a:solidFill>
                <a:schemeClr val="bg2">
                  <a:lumMod val="75000"/>
                  <a:alpha val="11000"/>
                </a:schemeClr>
              </a:solidFill>
              <a:effectLst>
                <a:outerShdw blurRad="38100" dist="25400" dir="5400000" algn="ctr" rotWithShape="0">
                  <a:srgbClr val="6E747A">
                    <a:alpha val="43000"/>
                  </a:srgbClr>
                </a:outerShdw>
              </a:effectLst>
            </a:rPr>
            <a:t>国</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泰</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君</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安</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期</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货</a:t>
          </a:r>
        </a:p>
      </xdr:txBody>
    </xdr:sp>
    <xdr:clientData/>
  </xdr:oneCellAnchor>
  <xdr:oneCellAnchor>
    <xdr:from>
      <xdr:col>6</xdr:col>
      <xdr:colOff>421501</xdr:colOff>
      <xdr:row>47</xdr:row>
      <xdr:rowOff>449069</xdr:rowOff>
    </xdr:from>
    <xdr:ext cx="2562240" cy="543995"/>
    <xdr:sp macro="" textlink="">
      <xdr:nvSpPr>
        <xdr:cNvPr id="6" name="矩形 5"/>
        <xdr:cNvSpPr/>
      </xdr:nvSpPr>
      <xdr:spPr>
        <a:xfrm rot="19380000">
          <a:off x="6297930" y="22736810"/>
          <a:ext cx="2562225" cy="543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2600" b="1">
              <a:solidFill>
                <a:schemeClr val="bg2">
                  <a:lumMod val="75000"/>
                  <a:alpha val="11000"/>
                </a:schemeClr>
              </a:solidFill>
              <a:effectLst>
                <a:outerShdw blurRad="38100" dist="25400" dir="5400000" algn="ctr" rotWithShape="0">
                  <a:srgbClr val="6E747A">
                    <a:alpha val="43000"/>
                  </a:srgbClr>
                </a:outerShdw>
              </a:effectLst>
            </a:rPr>
            <a:t>国</a:t>
          </a:r>
          <a:r>
            <a:rPr lang="en-US" altLang="zh-CN" sz="26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600" b="1">
              <a:solidFill>
                <a:schemeClr val="bg2">
                  <a:lumMod val="75000"/>
                  <a:alpha val="11000"/>
                </a:schemeClr>
              </a:solidFill>
              <a:effectLst>
                <a:outerShdw blurRad="38100" dist="25400" dir="5400000" algn="ctr" rotWithShape="0">
                  <a:srgbClr val="6E747A">
                    <a:alpha val="43000"/>
                  </a:srgbClr>
                </a:outerShdw>
              </a:effectLst>
            </a:rPr>
            <a:t>泰</a:t>
          </a:r>
          <a:r>
            <a:rPr lang="en-US" altLang="zh-CN" sz="26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600" b="1">
              <a:solidFill>
                <a:schemeClr val="bg2">
                  <a:lumMod val="75000"/>
                  <a:alpha val="11000"/>
                </a:schemeClr>
              </a:solidFill>
              <a:effectLst>
                <a:outerShdw blurRad="38100" dist="25400" dir="5400000" algn="ctr" rotWithShape="0">
                  <a:srgbClr val="6E747A">
                    <a:alpha val="43000"/>
                  </a:srgbClr>
                </a:outerShdw>
              </a:effectLst>
            </a:rPr>
            <a:t>君</a:t>
          </a:r>
          <a:r>
            <a:rPr lang="en-US" altLang="zh-CN" sz="26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600" b="1">
              <a:solidFill>
                <a:schemeClr val="bg2">
                  <a:lumMod val="75000"/>
                  <a:alpha val="11000"/>
                </a:schemeClr>
              </a:solidFill>
              <a:effectLst>
                <a:outerShdw blurRad="38100" dist="25400" dir="5400000" algn="ctr" rotWithShape="0">
                  <a:srgbClr val="6E747A">
                    <a:alpha val="43000"/>
                  </a:srgbClr>
                </a:outerShdw>
              </a:effectLst>
            </a:rPr>
            <a:t>安</a:t>
          </a:r>
          <a:r>
            <a:rPr lang="en-US" altLang="zh-CN" sz="26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600" b="1">
              <a:solidFill>
                <a:schemeClr val="bg2">
                  <a:lumMod val="75000"/>
                  <a:alpha val="11000"/>
                </a:schemeClr>
              </a:solidFill>
              <a:effectLst>
                <a:outerShdw blurRad="38100" dist="25400" dir="5400000" algn="ctr" rotWithShape="0">
                  <a:srgbClr val="6E747A">
                    <a:alpha val="43000"/>
                  </a:srgbClr>
                </a:outerShdw>
              </a:effectLst>
            </a:rPr>
            <a:t>期</a:t>
          </a:r>
          <a:r>
            <a:rPr lang="en-US" altLang="zh-CN" sz="26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600" b="1">
              <a:solidFill>
                <a:schemeClr val="bg2">
                  <a:lumMod val="75000"/>
                  <a:alpha val="11000"/>
                </a:schemeClr>
              </a:solidFill>
              <a:effectLst>
                <a:outerShdw blurRad="38100" dist="25400" dir="5400000" algn="ctr" rotWithShape="0">
                  <a:srgbClr val="6E747A">
                    <a:alpha val="43000"/>
                  </a:srgbClr>
                </a:outerShdw>
              </a:effectLst>
            </a:rPr>
            <a:t>货</a:t>
          </a:r>
        </a:p>
      </xdr:txBody>
    </xdr:sp>
    <xdr:clientData/>
  </xdr:oneCellAnchor>
  <xdr:oneCellAnchor>
    <xdr:from>
      <xdr:col>13</xdr:col>
      <xdr:colOff>2173623</xdr:colOff>
      <xdr:row>47</xdr:row>
      <xdr:rowOff>322528</xdr:rowOff>
    </xdr:from>
    <xdr:ext cx="2744982" cy="578685"/>
    <xdr:sp macro="" textlink="">
      <xdr:nvSpPr>
        <xdr:cNvPr id="7" name="矩形 6"/>
        <xdr:cNvSpPr/>
      </xdr:nvSpPr>
      <xdr:spPr>
        <a:xfrm rot="19380000">
          <a:off x="18308955" y="22609810"/>
          <a:ext cx="2744470" cy="579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2800" b="1">
              <a:solidFill>
                <a:schemeClr val="bg2">
                  <a:lumMod val="75000"/>
                  <a:alpha val="11000"/>
                </a:schemeClr>
              </a:solidFill>
              <a:effectLst>
                <a:outerShdw blurRad="38100" dist="25400" dir="5400000" algn="ctr" rotWithShape="0">
                  <a:srgbClr val="6E747A">
                    <a:alpha val="43000"/>
                  </a:srgbClr>
                </a:outerShdw>
              </a:effectLst>
            </a:rPr>
            <a:t>国</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泰</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君</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安</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期</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货</a:t>
          </a:r>
        </a:p>
      </xdr:txBody>
    </xdr:sp>
    <xdr:clientData/>
  </xdr:oneCellAnchor>
</xdr:wsDr>
</file>

<file path=xl/drawings/drawing5.xml><?xml version="1.0" encoding="utf-8"?>
<xdr:wsDr xmlns:xdr="http://schemas.openxmlformats.org/drawingml/2006/spreadsheetDrawing" xmlns:a="http://schemas.openxmlformats.org/drawingml/2006/main">
  <xdr:oneCellAnchor>
    <xdr:from>
      <xdr:col>8</xdr:col>
      <xdr:colOff>291465</xdr:colOff>
      <xdr:row>13</xdr:row>
      <xdr:rowOff>144780</xdr:rowOff>
    </xdr:from>
    <xdr:ext cx="2744983" cy="578685"/>
    <xdr:sp macro="" textlink="">
      <xdr:nvSpPr>
        <xdr:cNvPr id="2" name="矩形 1"/>
        <xdr:cNvSpPr/>
      </xdr:nvSpPr>
      <xdr:spPr>
        <a:xfrm rot="19380000">
          <a:off x="6425565" y="5471795"/>
          <a:ext cx="2744470" cy="5784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2800" b="1">
              <a:solidFill>
                <a:schemeClr val="bg2">
                  <a:lumMod val="75000"/>
                  <a:alpha val="11000"/>
                </a:schemeClr>
              </a:solidFill>
              <a:effectLst>
                <a:outerShdw blurRad="38100" dist="25400" dir="5400000" algn="ctr" rotWithShape="0">
                  <a:srgbClr val="6E747A">
                    <a:alpha val="43000"/>
                  </a:srgbClr>
                </a:outerShdw>
              </a:effectLst>
            </a:rPr>
            <a:t>国</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泰</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君</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安</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期</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货</a:t>
          </a:r>
        </a:p>
      </xdr:txBody>
    </xdr:sp>
    <xdr:clientData/>
  </xdr:oneCellAnchor>
  <xdr:oneCellAnchor>
    <xdr:from>
      <xdr:col>8</xdr:col>
      <xdr:colOff>468630</xdr:colOff>
      <xdr:row>41</xdr:row>
      <xdr:rowOff>213995</xdr:rowOff>
    </xdr:from>
    <xdr:ext cx="2721610" cy="557530"/>
    <xdr:sp macro="" textlink="">
      <xdr:nvSpPr>
        <xdr:cNvPr id="3" name="矩形 2"/>
        <xdr:cNvSpPr/>
      </xdr:nvSpPr>
      <xdr:spPr>
        <a:xfrm rot="19380000">
          <a:off x="6602730" y="17371695"/>
          <a:ext cx="2721610" cy="5575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2800" b="1">
              <a:solidFill>
                <a:schemeClr val="bg2">
                  <a:lumMod val="75000"/>
                  <a:alpha val="11000"/>
                </a:schemeClr>
              </a:solidFill>
              <a:effectLst>
                <a:outerShdw blurRad="38100" dist="25400" dir="5400000" algn="ctr" rotWithShape="0">
                  <a:srgbClr val="6E747A">
                    <a:alpha val="43000"/>
                  </a:srgbClr>
                </a:outerShdw>
              </a:effectLst>
            </a:rPr>
            <a:t>国</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泰</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君</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安</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期</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货</a:t>
          </a:r>
        </a:p>
      </xdr:txBody>
    </xdr:sp>
    <xdr:clientData/>
  </xdr:oneCellAnchor>
  <xdr:oneCellAnchor>
    <xdr:from>
      <xdr:col>17</xdr:col>
      <xdr:colOff>100330</xdr:colOff>
      <xdr:row>81</xdr:row>
      <xdr:rowOff>184785</xdr:rowOff>
    </xdr:from>
    <xdr:ext cx="2744983" cy="578685"/>
    <xdr:sp macro="" textlink="">
      <xdr:nvSpPr>
        <xdr:cNvPr id="4" name="矩形 3"/>
        <xdr:cNvSpPr/>
      </xdr:nvSpPr>
      <xdr:spPr>
        <a:xfrm rot="19380000">
          <a:off x="13216255" y="32937450"/>
          <a:ext cx="2744470" cy="5784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2800" b="1">
              <a:solidFill>
                <a:schemeClr val="bg2">
                  <a:lumMod val="75000"/>
                  <a:alpha val="11000"/>
                </a:schemeClr>
              </a:solidFill>
              <a:effectLst>
                <a:outerShdw blurRad="38100" dist="25400" dir="5400000" algn="ctr" rotWithShape="0">
                  <a:srgbClr val="6E747A">
                    <a:alpha val="43000"/>
                  </a:srgbClr>
                </a:outerShdw>
              </a:effectLst>
            </a:rPr>
            <a:t>国</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泰</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君</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安</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期</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货</a:t>
          </a:r>
        </a:p>
      </xdr:txBody>
    </xdr:sp>
    <xdr:clientData/>
  </xdr:oneCellAnchor>
  <xdr:oneCellAnchor>
    <xdr:from>
      <xdr:col>7</xdr:col>
      <xdr:colOff>38100</xdr:colOff>
      <xdr:row>106</xdr:row>
      <xdr:rowOff>45085</xdr:rowOff>
    </xdr:from>
    <xdr:ext cx="2744983" cy="578685"/>
    <xdr:sp macro="" textlink="">
      <xdr:nvSpPr>
        <xdr:cNvPr id="5" name="矩形 5"/>
        <xdr:cNvSpPr/>
      </xdr:nvSpPr>
      <xdr:spPr>
        <a:xfrm rot="20520000">
          <a:off x="5476875" y="43178095"/>
          <a:ext cx="2744470" cy="5784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2800" b="1">
              <a:solidFill>
                <a:schemeClr val="bg2">
                  <a:lumMod val="75000"/>
                  <a:alpha val="11000"/>
                </a:schemeClr>
              </a:solidFill>
              <a:effectLst>
                <a:outerShdw blurRad="38100" dist="25400" dir="5400000" algn="ctr" rotWithShape="0">
                  <a:srgbClr val="6E747A">
                    <a:alpha val="43000"/>
                  </a:srgbClr>
                </a:outerShdw>
              </a:effectLst>
            </a:rPr>
            <a:t>国</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泰</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君</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安</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期</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货</a:t>
          </a:r>
        </a:p>
      </xdr:txBody>
    </xdr:sp>
    <xdr:clientData/>
  </xdr:oneCellAnchor>
  <xdr:oneCellAnchor>
    <xdr:from>
      <xdr:col>17</xdr:col>
      <xdr:colOff>154305</xdr:colOff>
      <xdr:row>12</xdr:row>
      <xdr:rowOff>302260</xdr:rowOff>
    </xdr:from>
    <xdr:ext cx="2744982" cy="578685"/>
    <xdr:sp macro="" textlink="">
      <xdr:nvSpPr>
        <xdr:cNvPr id="6" name="矩形 6"/>
        <xdr:cNvSpPr/>
      </xdr:nvSpPr>
      <xdr:spPr>
        <a:xfrm rot="19380000">
          <a:off x="13270230" y="5248275"/>
          <a:ext cx="2744470" cy="5784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2800" b="1">
              <a:solidFill>
                <a:schemeClr val="bg2">
                  <a:lumMod val="75000"/>
                  <a:alpha val="11000"/>
                </a:schemeClr>
              </a:solidFill>
              <a:effectLst>
                <a:outerShdw blurRad="38100" dist="25400" dir="5400000" algn="ctr" rotWithShape="0">
                  <a:srgbClr val="6E747A">
                    <a:alpha val="43000"/>
                  </a:srgbClr>
                </a:outerShdw>
              </a:effectLst>
            </a:rPr>
            <a:t>国</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泰</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君</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安</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期</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货</a:t>
          </a:r>
        </a:p>
      </xdr:txBody>
    </xdr:sp>
    <xdr:clientData/>
  </xdr:oneCellAnchor>
  <xdr:oneCellAnchor>
    <xdr:from>
      <xdr:col>8</xdr:col>
      <xdr:colOff>648335</xdr:colOff>
      <xdr:row>59</xdr:row>
      <xdr:rowOff>351790</xdr:rowOff>
    </xdr:from>
    <xdr:ext cx="2744983" cy="578685"/>
    <xdr:sp macro="" textlink="">
      <xdr:nvSpPr>
        <xdr:cNvPr id="7" name="矩形 7"/>
        <xdr:cNvSpPr/>
      </xdr:nvSpPr>
      <xdr:spPr>
        <a:xfrm rot="19380000">
          <a:off x="6782435" y="24367490"/>
          <a:ext cx="2744470" cy="5784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2800" b="1">
              <a:solidFill>
                <a:schemeClr val="bg2">
                  <a:lumMod val="75000"/>
                  <a:alpha val="11000"/>
                </a:schemeClr>
              </a:solidFill>
              <a:effectLst>
                <a:outerShdw blurRad="38100" dist="25400" dir="5400000" algn="ctr" rotWithShape="0">
                  <a:srgbClr val="6E747A">
                    <a:alpha val="43000"/>
                  </a:srgbClr>
                </a:outerShdw>
              </a:effectLst>
            </a:rPr>
            <a:t>国</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泰</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君</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安</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期</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货</a:t>
          </a:r>
        </a:p>
      </xdr:txBody>
    </xdr:sp>
    <xdr:clientData/>
  </xdr:oneCellAnchor>
  <xdr:oneCellAnchor>
    <xdr:from>
      <xdr:col>8</xdr:col>
      <xdr:colOff>234315</xdr:colOff>
      <xdr:row>81</xdr:row>
      <xdr:rowOff>288925</xdr:rowOff>
    </xdr:from>
    <xdr:ext cx="2744982" cy="578685"/>
    <xdr:sp macro="" textlink="">
      <xdr:nvSpPr>
        <xdr:cNvPr id="8" name="矩形 8"/>
        <xdr:cNvSpPr/>
      </xdr:nvSpPr>
      <xdr:spPr>
        <a:xfrm rot="19380000">
          <a:off x="6368415" y="33041590"/>
          <a:ext cx="2744470" cy="5784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2800" b="1">
              <a:solidFill>
                <a:schemeClr val="bg2">
                  <a:lumMod val="75000"/>
                  <a:alpha val="11000"/>
                </a:schemeClr>
              </a:solidFill>
              <a:effectLst>
                <a:outerShdw blurRad="38100" dist="25400" dir="5400000" algn="ctr" rotWithShape="0">
                  <a:srgbClr val="6E747A">
                    <a:alpha val="43000"/>
                  </a:srgbClr>
                </a:outerShdw>
              </a:effectLst>
            </a:rPr>
            <a:t>国</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泰</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君</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安</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期</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货</a:t>
          </a:r>
        </a:p>
      </xdr:txBody>
    </xdr:sp>
    <xdr:clientData/>
  </xdr:oneCellAnchor>
  <xdr:oneCellAnchor>
    <xdr:from>
      <xdr:col>10</xdr:col>
      <xdr:colOff>0</xdr:colOff>
      <xdr:row>106</xdr:row>
      <xdr:rowOff>73846</xdr:rowOff>
    </xdr:from>
    <xdr:ext cx="2744982" cy="578685"/>
    <xdr:sp macro="" textlink="">
      <xdr:nvSpPr>
        <xdr:cNvPr id="9" name="矩形 10"/>
        <xdr:cNvSpPr/>
      </xdr:nvSpPr>
      <xdr:spPr>
        <a:xfrm rot="20520000">
          <a:off x="7524750" y="43206670"/>
          <a:ext cx="2744470" cy="5784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2800" b="1">
              <a:solidFill>
                <a:schemeClr val="bg2">
                  <a:lumMod val="75000"/>
                  <a:alpha val="11000"/>
                </a:schemeClr>
              </a:solidFill>
              <a:effectLst>
                <a:outerShdw blurRad="38100" dist="25400" dir="5400000" algn="ctr" rotWithShape="0">
                  <a:srgbClr val="6E747A">
                    <a:alpha val="43000"/>
                  </a:srgbClr>
                </a:outerShdw>
              </a:effectLst>
            </a:rPr>
            <a:t>国</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泰</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君</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安</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期</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货</a:t>
          </a:r>
        </a:p>
      </xdr:txBody>
    </xdr:sp>
    <xdr:clientData/>
  </xdr:oneCellAnchor>
  <xdr:oneCellAnchor>
    <xdr:from>
      <xdr:col>8</xdr:col>
      <xdr:colOff>337185</xdr:colOff>
      <xdr:row>102</xdr:row>
      <xdr:rowOff>354330</xdr:rowOff>
    </xdr:from>
    <xdr:ext cx="2744983" cy="578685"/>
    <xdr:sp macro="" textlink="">
      <xdr:nvSpPr>
        <xdr:cNvPr id="10" name="矩形 11"/>
        <xdr:cNvSpPr/>
      </xdr:nvSpPr>
      <xdr:spPr>
        <a:xfrm rot="19980000">
          <a:off x="6471285" y="41634410"/>
          <a:ext cx="2744470" cy="5784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2800" b="1">
              <a:solidFill>
                <a:schemeClr val="bg2">
                  <a:lumMod val="75000"/>
                  <a:alpha val="11000"/>
                </a:schemeClr>
              </a:solidFill>
              <a:effectLst>
                <a:outerShdw blurRad="38100" dist="25400" dir="5400000" algn="ctr" rotWithShape="0">
                  <a:srgbClr val="6E747A">
                    <a:alpha val="43000"/>
                  </a:srgbClr>
                </a:outerShdw>
              </a:effectLst>
            </a:rPr>
            <a:t>国</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泰</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君</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安</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期</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货</a:t>
          </a:r>
        </a:p>
      </xdr:txBody>
    </xdr:sp>
    <xdr:clientData/>
  </xdr:oneCellAnchor>
  <xdr:oneCellAnchor>
    <xdr:from>
      <xdr:col>13</xdr:col>
      <xdr:colOff>257810</xdr:colOff>
      <xdr:row>113</xdr:row>
      <xdr:rowOff>52070</xdr:rowOff>
    </xdr:from>
    <xdr:ext cx="2744983" cy="578685"/>
    <xdr:sp macro="" textlink="">
      <xdr:nvSpPr>
        <xdr:cNvPr id="11" name="矩形 12"/>
        <xdr:cNvSpPr/>
      </xdr:nvSpPr>
      <xdr:spPr>
        <a:xfrm rot="19980000">
          <a:off x="9868535" y="45464095"/>
          <a:ext cx="2744470" cy="5784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2800" b="1">
              <a:solidFill>
                <a:schemeClr val="bg2">
                  <a:lumMod val="75000"/>
                  <a:alpha val="11000"/>
                </a:schemeClr>
              </a:solidFill>
              <a:effectLst>
                <a:outerShdw blurRad="38100" dist="25400" dir="5400000" algn="ctr" rotWithShape="0">
                  <a:srgbClr val="6E747A">
                    <a:alpha val="43000"/>
                  </a:srgbClr>
                </a:outerShdw>
              </a:effectLst>
            </a:rPr>
            <a:t>国</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泰</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君</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安</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期</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货</a:t>
          </a:r>
        </a:p>
      </xdr:txBody>
    </xdr:sp>
    <xdr:clientData/>
  </xdr:oneCellAnchor>
  <xdr:oneCellAnchor>
    <xdr:from>
      <xdr:col>3</xdr:col>
      <xdr:colOff>351790</xdr:colOff>
      <xdr:row>112</xdr:row>
      <xdr:rowOff>301625</xdr:rowOff>
    </xdr:from>
    <xdr:ext cx="2744470" cy="578485"/>
    <xdr:sp macro="" textlink="">
      <xdr:nvSpPr>
        <xdr:cNvPr id="12" name="矩形 11"/>
        <xdr:cNvSpPr/>
      </xdr:nvSpPr>
      <xdr:spPr>
        <a:xfrm rot="19980000">
          <a:off x="2961640" y="45332650"/>
          <a:ext cx="2744470" cy="5784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2800" b="1">
              <a:solidFill>
                <a:schemeClr val="bg2">
                  <a:lumMod val="75000"/>
                  <a:alpha val="11000"/>
                </a:schemeClr>
              </a:solidFill>
              <a:effectLst>
                <a:outerShdw blurRad="38100" dist="25400" dir="5400000" algn="ctr" rotWithShape="0">
                  <a:srgbClr val="6E747A">
                    <a:alpha val="43000"/>
                  </a:srgbClr>
                </a:outerShdw>
              </a:effectLst>
            </a:rPr>
            <a:t>国</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泰</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君</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安</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期</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货</a:t>
          </a:r>
        </a:p>
      </xdr:txBody>
    </xdr:sp>
    <xdr:clientData/>
  </xdr:oneCellAnchor>
  <xdr:oneCellAnchor>
    <xdr:from>
      <xdr:col>17</xdr:col>
      <xdr:colOff>250190</xdr:colOff>
      <xdr:row>102</xdr:row>
      <xdr:rowOff>425450</xdr:rowOff>
    </xdr:from>
    <xdr:ext cx="2744470" cy="578485"/>
    <xdr:sp macro="" textlink="">
      <xdr:nvSpPr>
        <xdr:cNvPr id="13" name="矩形 12"/>
        <xdr:cNvSpPr/>
      </xdr:nvSpPr>
      <xdr:spPr>
        <a:xfrm rot="19980000">
          <a:off x="13366115" y="41705530"/>
          <a:ext cx="2744470" cy="5784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2800" b="1">
              <a:solidFill>
                <a:schemeClr val="bg2">
                  <a:lumMod val="75000"/>
                  <a:alpha val="11000"/>
                </a:schemeClr>
              </a:solidFill>
              <a:effectLst>
                <a:outerShdw blurRad="38100" dist="25400" dir="5400000" algn="ctr" rotWithShape="0">
                  <a:srgbClr val="6E747A">
                    <a:alpha val="43000"/>
                  </a:srgbClr>
                </a:outerShdw>
              </a:effectLst>
            </a:rPr>
            <a:t>国</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泰</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君</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安</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期</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货</a:t>
          </a:r>
        </a:p>
      </xdr:txBody>
    </xdr:sp>
    <xdr:clientData/>
  </xdr:oneCellAnchor>
  <xdr:oneCellAnchor>
    <xdr:from>
      <xdr:col>16</xdr:col>
      <xdr:colOff>810895</xdr:colOff>
      <xdr:row>39</xdr:row>
      <xdr:rowOff>335280</xdr:rowOff>
    </xdr:from>
    <xdr:ext cx="2744470" cy="578485"/>
    <xdr:sp macro="" textlink="">
      <xdr:nvSpPr>
        <xdr:cNvPr id="14" name="矩形 12"/>
        <xdr:cNvSpPr/>
      </xdr:nvSpPr>
      <xdr:spPr>
        <a:xfrm rot="19980000">
          <a:off x="12869545" y="16730980"/>
          <a:ext cx="2744470" cy="5784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2800" b="1">
              <a:solidFill>
                <a:schemeClr val="bg2">
                  <a:lumMod val="75000"/>
                  <a:alpha val="11000"/>
                </a:schemeClr>
              </a:solidFill>
              <a:effectLst>
                <a:outerShdw blurRad="38100" dist="25400" dir="5400000" algn="ctr" rotWithShape="0">
                  <a:srgbClr val="6E747A">
                    <a:alpha val="43000"/>
                  </a:srgbClr>
                </a:outerShdw>
              </a:effectLst>
            </a:rPr>
            <a:t>国</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泰</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君</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安</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期</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货</a:t>
          </a:r>
        </a:p>
      </xdr:txBody>
    </xdr:sp>
    <xdr:clientData/>
  </xdr:oneCellAnchor>
  <xdr:oneCellAnchor>
    <xdr:from>
      <xdr:col>17</xdr:col>
      <xdr:colOff>104140</xdr:colOff>
      <xdr:row>56</xdr:row>
      <xdr:rowOff>268605</xdr:rowOff>
    </xdr:from>
    <xdr:ext cx="2744470" cy="578485"/>
    <xdr:sp macro="" textlink="">
      <xdr:nvSpPr>
        <xdr:cNvPr id="15" name="矩形 12"/>
        <xdr:cNvSpPr/>
      </xdr:nvSpPr>
      <xdr:spPr>
        <a:xfrm rot="19980000">
          <a:off x="13220065" y="23141305"/>
          <a:ext cx="2744470" cy="5784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2800" b="1">
              <a:solidFill>
                <a:schemeClr val="bg2">
                  <a:lumMod val="75000"/>
                  <a:alpha val="11000"/>
                </a:schemeClr>
              </a:solidFill>
              <a:effectLst>
                <a:outerShdw blurRad="38100" dist="25400" dir="5400000" algn="ctr" rotWithShape="0">
                  <a:srgbClr val="6E747A">
                    <a:alpha val="43000"/>
                  </a:srgbClr>
                </a:outerShdw>
              </a:effectLst>
            </a:rPr>
            <a:t>国</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泰</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君</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安</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期</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货</a:t>
          </a:r>
        </a:p>
      </xdr:txBody>
    </xdr:sp>
    <xdr:clientData/>
  </xdr:oneCellAnchor>
  <xdr:oneCellAnchor>
    <xdr:from>
      <xdr:col>8</xdr:col>
      <xdr:colOff>34290</xdr:colOff>
      <xdr:row>27</xdr:row>
      <xdr:rowOff>313690</xdr:rowOff>
    </xdr:from>
    <xdr:ext cx="2744470" cy="578485"/>
    <xdr:sp macro="" textlink="">
      <xdr:nvSpPr>
        <xdr:cNvPr id="16" name="矩形 12"/>
        <xdr:cNvSpPr/>
      </xdr:nvSpPr>
      <xdr:spPr>
        <a:xfrm rot="19980000">
          <a:off x="6168390" y="11450955"/>
          <a:ext cx="2744470" cy="5784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2800" b="1">
              <a:solidFill>
                <a:schemeClr val="bg2">
                  <a:lumMod val="75000"/>
                  <a:alpha val="11000"/>
                </a:schemeClr>
              </a:solidFill>
              <a:effectLst>
                <a:outerShdw blurRad="38100" dist="25400" dir="5400000" algn="ctr" rotWithShape="0">
                  <a:srgbClr val="6E747A">
                    <a:alpha val="43000"/>
                  </a:srgbClr>
                </a:outerShdw>
              </a:effectLst>
            </a:rPr>
            <a:t>国</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泰</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君</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安</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期</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货</a:t>
          </a:r>
        </a:p>
      </xdr:txBody>
    </xdr:sp>
    <xdr:clientData/>
  </xdr:oneCellAnchor>
  <xdr:oneCellAnchor>
    <xdr:from>
      <xdr:col>17</xdr:col>
      <xdr:colOff>271780</xdr:colOff>
      <xdr:row>26</xdr:row>
      <xdr:rowOff>246380</xdr:rowOff>
    </xdr:from>
    <xdr:ext cx="2744470" cy="578485"/>
    <xdr:sp macro="" textlink="">
      <xdr:nvSpPr>
        <xdr:cNvPr id="17" name="矩形 12"/>
        <xdr:cNvSpPr/>
      </xdr:nvSpPr>
      <xdr:spPr>
        <a:xfrm rot="19980000">
          <a:off x="13387705" y="11002645"/>
          <a:ext cx="2744470" cy="5784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2800" b="1">
              <a:solidFill>
                <a:schemeClr val="bg2">
                  <a:lumMod val="75000"/>
                  <a:alpha val="11000"/>
                </a:schemeClr>
              </a:solidFill>
              <a:effectLst>
                <a:outerShdw blurRad="38100" dist="25400" dir="5400000" algn="ctr" rotWithShape="0">
                  <a:srgbClr val="6E747A">
                    <a:alpha val="43000"/>
                  </a:srgbClr>
                </a:outerShdw>
              </a:effectLst>
            </a:rPr>
            <a:t>国</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泰</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君</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安</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期</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货</a:t>
          </a:r>
        </a:p>
      </xdr:txBody>
    </xdr:sp>
    <xdr:clientData/>
  </xdr:oneCellAnchor>
</xdr:wsDr>
</file>

<file path=xl/drawings/drawing6.xml><?xml version="1.0" encoding="utf-8"?>
<xdr:wsDr xmlns:xdr="http://schemas.openxmlformats.org/drawingml/2006/spreadsheetDrawing" xmlns:a="http://schemas.openxmlformats.org/drawingml/2006/main">
  <xdr:oneCellAnchor>
    <xdr:from>
      <xdr:col>6</xdr:col>
      <xdr:colOff>0</xdr:colOff>
      <xdr:row>13</xdr:row>
      <xdr:rowOff>184763</xdr:rowOff>
    </xdr:from>
    <xdr:ext cx="2744983" cy="578685"/>
    <xdr:sp macro="" textlink="">
      <xdr:nvSpPr>
        <xdr:cNvPr id="2" name="矩形 1"/>
        <xdr:cNvSpPr/>
      </xdr:nvSpPr>
      <xdr:spPr>
        <a:xfrm rot="19320000">
          <a:off x="7791450" y="4142740"/>
          <a:ext cx="2744470" cy="579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2800" b="1">
              <a:solidFill>
                <a:schemeClr val="bg2">
                  <a:lumMod val="75000"/>
                  <a:alpha val="11000"/>
                </a:schemeClr>
              </a:solidFill>
              <a:effectLst>
                <a:outerShdw blurRad="38100" dist="25400" dir="5400000" algn="ctr" rotWithShape="0">
                  <a:srgbClr val="6E747A">
                    <a:alpha val="43000"/>
                  </a:srgbClr>
                </a:outerShdw>
              </a:effectLst>
            </a:rPr>
            <a:t>国</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泰</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君</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安</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期</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货</a:t>
          </a:r>
        </a:p>
      </xdr:txBody>
    </xdr:sp>
    <xdr:clientData/>
  </xdr:oneCellAnchor>
  <xdr:oneCellAnchor>
    <xdr:from>
      <xdr:col>6</xdr:col>
      <xdr:colOff>0</xdr:colOff>
      <xdr:row>33</xdr:row>
      <xdr:rowOff>250568</xdr:rowOff>
    </xdr:from>
    <xdr:ext cx="2744983" cy="578685"/>
    <xdr:sp macro="" textlink="">
      <xdr:nvSpPr>
        <xdr:cNvPr id="3" name="矩形 2"/>
        <xdr:cNvSpPr/>
      </xdr:nvSpPr>
      <xdr:spPr>
        <a:xfrm rot="19320000">
          <a:off x="7791450" y="10144760"/>
          <a:ext cx="2744470" cy="5784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2800" b="1">
              <a:solidFill>
                <a:schemeClr val="bg2">
                  <a:lumMod val="75000"/>
                  <a:alpha val="11000"/>
                </a:schemeClr>
              </a:solidFill>
              <a:effectLst>
                <a:outerShdw blurRad="38100" dist="25400" dir="5400000" algn="ctr" rotWithShape="0">
                  <a:srgbClr val="6E747A">
                    <a:alpha val="43000"/>
                  </a:srgbClr>
                </a:outerShdw>
              </a:effectLst>
            </a:rPr>
            <a:t>国</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泰</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君</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安</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期</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货</a:t>
          </a:r>
        </a:p>
      </xdr:txBody>
    </xdr:sp>
    <xdr:clientData/>
  </xdr:oneCellAnchor>
  <xdr:oneCellAnchor>
    <xdr:from>
      <xdr:col>6</xdr:col>
      <xdr:colOff>10167</xdr:colOff>
      <xdr:row>57</xdr:row>
      <xdr:rowOff>310569</xdr:rowOff>
    </xdr:from>
    <xdr:ext cx="2744983" cy="578685"/>
    <xdr:sp macro="" textlink="">
      <xdr:nvSpPr>
        <xdr:cNvPr id="4" name="矩形 3"/>
        <xdr:cNvSpPr/>
      </xdr:nvSpPr>
      <xdr:spPr>
        <a:xfrm rot="19320000">
          <a:off x="7801610" y="19150965"/>
          <a:ext cx="2744470" cy="5784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2800" b="1">
              <a:solidFill>
                <a:schemeClr val="bg2">
                  <a:lumMod val="75000"/>
                  <a:alpha val="11000"/>
                </a:schemeClr>
              </a:solidFill>
              <a:effectLst>
                <a:outerShdw blurRad="38100" dist="25400" dir="5400000" algn="ctr" rotWithShape="0">
                  <a:srgbClr val="6E747A">
                    <a:alpha val="43000"/>
                  </a:srgbClr>
                </a:outerShdw>
              </a:effectLst>
            </a:rPr>
            <a:t>国</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泰</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君</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安</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期</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货</a:t>
          </a:r>
        </a:p>
      </xdr:txBody>
    </xdr:sp>
    <xdr:clientData/>
  </xdr:oneCellAnchor>
  <xdr:oneCellAnchor>
    <xdr:from>
      <xdr:col>6</xdr:col>
      <xdr:colOff>0</xdr:colOff>
      <xdr:row>87</xdr:row>
      <xdr:rowOff>94954</xdr:rowOff>
    </xdr:from>
    <xdr:ext cx="2744983" cy="578685"/>
    <xdr:sp macro="" textlink="">
      <xdr:nvSpPr>
        <xdr:cNvPr id="5" name="矩形 4"/>
        <xdr:cNvSpPr/>
      </xdr:nvSpPr>
      <xdr:spPr>
        <a:xfrm rot="19320000">
          <a:off x="7791450" y="27789505"/>
          <a:ext cx="2744470" cy="5784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2800" b="1">
              <a:solidFill>
                <a:schemeClr val="bg2">
                  <a:lumMod val="75000"/>
                  <a:alpha val="11000"/>
                </a:schemeClr>
              </a:solidFill>
              <a:effectLst>
                <a:outerShdw blurRad="38100" dist="25400" dir="5400000" algn="ctr" rotWithShape="0">
                  <a:srgbClr val="6E747A">
                    <a:alpha val="43000"/>
                  </a:srgbClr>
                </a:outerShdw>
              </a:effectLst>
            </a:rPr>
            <a:t>国</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泰</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君</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安</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期</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货</a:t>
          </a:r>
        </a:p>
      </xdr:txBody>
    </xdr:sp>
    <xdr:clientData/>
  </xdr:oneCellAnchor>
  <xdr:oneCellAnchor>
    <xdr:from>
      <xdr:col>6</xdr:col>
      <xdr:colOff>0</xdr:colOff>
      <xdr:row>120</xdr:row>
      <xdr:rowOff>205142</xdr:rowOff>
    </xdr:from>
    <xdr:ext cx="2744983" cy="578685"/>
    <xdr:sp macro="" textlink="">
      <xdr:nvSpPr>
        <xdr:cNvPr id="6" name="矩形 5"/>
        <xdr:cNvSpPr/>
      </xdr:nvSpPr>
      <xdr:spPr>
        <a:xfrm rot="19320000">
          <a:off x="7791450" y="37985065"/>
          <a:ext cx="2744470" cy="5784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2800" b="1">
              <a:solidFill>
                <a:schemeClr val="bg2">
                  <a:lumMod val="75000"/>
                  <a:alpha val="11000"/>
                </a:schemeClr>
              </a:solidFill>
              <a:effectLst>
                <a:outerShdw blurRad="38100" dist="25400" dir="5400000" algn="ctr" rotWithShape="0">
                  <a:srgbClr val="6E747A">
                    <a:alpha val="43000"/>
                  </a:srgbClr>
                </a:outerShdw>
              </a:effectLst>
            </a:rPr>
            <a:t>国</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泰</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君</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安</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期</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货</a:t>
          </a:r>
        </a:p>
      </xdr:txBody>
    </xdr:sp>
    <xdr:clientData/>
  </xdr:oneCellAnchor>
  <xdr:oneCellAnchor>
    <xdr:from>
      <xdr:col>6</xdr:col>
      <xdr:colOff>0</xdr:colOff>
      <xdr:row>143</xdr:row>
      <xdr:rowOff>343054</xdr:rowOff>
    </xdr:from>
    <xdr:ext cx="2744983" cy="578685"/>
    <xdr:sp macro="" textlink="">
      <xdr:nvSpPr>
        <xdr:cNvPr id="7" name="矩形 6"/>
        <xdr:cNvSpPr/>
      </xdr:nvSpPr>
      <xdr:spPr>
        <a:xfrm rot="19320000">
          <a:off x="7791450" y="47103030"/>
          <a:ext cx="2744470" cy="5784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2800" b="1">
              <a:solidFill>
                <a:schemeClr val="bg2">
                  <a:lumMod val="75000"/>
                  <a:alpha val="11000"/>
                </a:schemeClr>
              </a:solidFill>
              <a:effectLst>
                <a:outerShdw blurRad="38100" dist="25400" dir="5400000" algn="ctr" rotWithShape="0">
                  <a:srgbClr val="6E747A">
                    <a:alpha val="43000"/>
                  </a:srgbClr>
                </a:outerShdw>
              </a:effectLst>
            </a:rPr>
            <a:t>国</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泰</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君</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安</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期</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货</a:t>
          </a:r>
        </a:p>
      </xdr:txBody>
    </xdr:sp>
    <xdr:clientData/>
  </xdr:oneCellAnchor>
  <xdr:oneCellAnchor>
    <xdr:from>
      <xdr:col>6</xdr:col>
      <xdr:colOff>0</xdr:colOff>
      <xdr:row>167</xdr:row>
      <xdr:rowOff>531610</xdr:rowOff>
    </xdr:from>
    <xdr:ext cx="2744983" cy="578685"/>
    <xdr:sp macro="" textlink="">
      <xdr:nvSpPr>
        <xdr:cNvPr id="8" name="矩形 7"/>
        <xdr:cNvSpPr/>
      </xdr:nvSpPr>
      <xdr:spPr>
        <a:xfrm rot="19320000">
          <a:off x="7791450" y="53886735"/>
          <a:ext cx="2744470" cy="5784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2800" b="1">
              <a:solidFill>
                <a:schemeClr val="bg2">
                  <a:lumMod val="75000"/>
                  <a:alpha val="11000"/>
                </a:schemeClr>
              </a:solidFill>
              <a:effectLst>
                <a:outerShdw blurRad="38100" dist="25400" dir="5400000" algn="ctr" rotWithShape="0">
                  <a:srgbClr val="6E747A">
                    <a:alpha val="43000"/>
                  </a:srgbClr>
                </a:outerShdw>
              </a:effectLst>
            </a:rPr>
            <a:t>国</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泰</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君</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安</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期</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货</a:t>
          </a:r>
        </a:p>
      </xdr:txBody>
    </xdr:sp>
    <xdr:clientData/>
  </xdr:oneCellAnchor>
  <xdr:oneCellAnchor>
    <xdr:from>
      <xdr:col>5</xdr:col>
      <xdr:colOff>1755104</xdr:colOff>
      <xdr:row>185</xdr:row>
      <xdr:rowOff>190957</xdr:rowOff>
    </xdr:from>
    <xdr:ext cx="2744982" cy="578685"/>
    <xdr:sp macro="" textlink="">
      <xdr:nvSpPr>
        <xdr:cNvPr id="9" name="矩形 8"/>
        <xdr:cNvSpPr/>
      </xdr:nvSpPr>
      <xdr:spPr>
        <a:xfrm rot="19320000">
          <a:off x="7745730" y="60682505"/>
          <a:ext cx="2745105" cy="579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2800" b="1">
              <a:solidFill>
                <a:schemeClr val="bg2">
                  <a:lumMod val="75000"/>
                  <a:alpha val="11000"/>
                </a:schemeClr>
              </a:solidFill>
              <a:effectLst>
                <a:outerShdw blurRad="38100" dist="25400" dir="5400000" algn="ctr" rotWithShape="0">
                  <a:srgbClr val="6E747A">
                    <a:alpha val="43000"/>
                  </a:srgbClr>
                </a:outerShdw>
              </a:effectLst>
            </a:rPr>
            <a:t>国</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泰</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君</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安</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期</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货</a:t>
          </a:r>
        </a:p>
      </xdr:txBody>
    </xdr:sp>
    <xdr:clientData/>
  </xdr:oneCellAnchor>
  <xdr:oneCellAnchor>
    <xdr:from>
      <xdr:col>5</xdr:col>
      <xdr:colOff>1694815</xdr:colOff>
      <xdr:row>213</xdr:row>
      <xdr:rowOff>873118</xdr:rowOff>
    </xdr:from>
    <xdr:ext cx="2744982" cy="578685"/>
    <xdr:sp macro="" textlink="">
      <xdr:nvSpPr>
        <xdr:cNvPr id="10" name="矩形 9"/>
        <xdr:cNvSpPr/>
      </xdr:nvSpPr>
      <xdr:spPr>
        <a:xfrm rot="19320000">
          <a:off x="7686040" y="72341105"/>
          <a:ext cx="2744470" cy="579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2800" b="1">
              <a:solidFill>
                <a:schemeClr val="bg2">
                  <a:lumMod val="75000"/>
                  <a:alpha val="11000"/>
                </a:schemeClr>
              </a:solidFill>
              <a:effectLst>
                <a:outerShdw blurRad="38100" dist="25400" dir="5400000" algn="ctr" rotWithShape="0">
                  <a:srgbClr val="6E747A">
                    <a:alpha val="43000"/>
                  </a:srgbClr>
                </a:outerShdw>
              </a:effectLst>
            </a:rPr>
            <a:t>国</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泰</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君</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安</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期</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货</a:t>
          </a:r>
        </a:p>
      </xdr:txBody>
    </xdr:sp>
    <xdr:clientData/>
  </xdr:oneCellAnchor>
</xdr:wsDr>
</file>

<file path=xl/drawings/drawing7.xml><?xml version="1.0" encoding="utf-8"?>
<xdr:wsDr xmlns:xdr="http://schemas.openxmlformats.org/drawingml/2006/spreadsheetDrawing" xmlns:a="http://schemas.openxmlformats.org/drawingml/2006/main">
  <xdr:oneCellAnchor>
    <xdr:from>
      <xdr:col>5</xdr:col>
      <xdr:colOff>377825</xdr:colOff>
      <xdr:row>12</xdr:row>
      <xdr:rowOff>257030</xdr:rowOff>
    </xdr:from>
    <xdr:ext cx="2744982" cy="578685"/>
    <xdr:sp macro="" textlink="">
      <xdr:nvSpPr>
        <xdr:cNvPr id="2" name="矩形 1"/>
        <xdr:cNvSpPr/>
      </xdr:nvSpPr>
      <xdr:spPr>
        <a:xfrm rot="18960000">
          <a:off x="7197725" y="4829810"/>
          <a:ext cx="2744470" cy="579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2800" b="1">
              <a:solidFill>
                <a:schemeClr val="bg2">
                  <a:lumMod val="75000"/>
                  <a:alpha val="11000"/>
                </a:schemeClr>
              </a:solidFill>
              <a:effectLst>
                <a:outerShdw blurRad="38100" dist="25400" dir="5400000" algn="ctr" rotWithShape="0">
                  <a:srgbClr val="6E747A">
                    <a:alpha val="43000"/>
                  </a:srgbClr>
                </a:outerShdw>
              </a:effectLst>
            </a:rPr>
            <a:t>国</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泰</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君</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安</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期</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货</a:t>
          </a:r>
        </a:p>
      </xdr:txBody>
    </xdr:sp>
    <xdr:clientData/>
  </xdr:oneCellAnchor>
  <xdr:oneCellAnchor>
    <xdr:from>
      <xdr:col>5</xdr:col>
      <xdr:colOff>96519</xdr:colOff>
      <xdr:row>26</xdr:row>
      <xdr:rowOff>311380</xdr:rowOff>
    </xdr:from>
    <xdr:ext cx="2744983" cy="578685"/>
    <xdr:sp macro="" textlink="">
      <xdr:nvSpPr>
        <xdr:cNvPr id="3" name="矩形 2"/>
        <xdr:cNvSpPr/>
      </xdr:nvSpPr>
      <xdr:spPr>
        <a:xfrm rot="18960000">
          <a:off x="6915785" y="10108565"/>
          <a:ext cx="2745105" cy="5784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2800" b="1">
              <a:solidFill>
                <a:schemeClr val="bg2">
                  <a:lumMod val="75000"/>
                  <a:alpha val="11000"/>
                </a:schemeClr>
              </a:solidFill>
              <a:effectLst>
                <a:outerShdw blurRad="38100" dist="25400" dir="5400000" algn="ctr" rotWithShape="0">
                  <a:srgbClr val="6E747A">
                    <a:alpha val="43000"/>
                  </a:srgbClr>
                </a:outerShdw>
              </a:effectLst>
            </a:rPr>
            <a:t>国</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泰</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君</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安</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期</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货</a:t>
          </a:r>
        </a:p>
      </xdr:txBody>
    </xdr:sp>
    <xdr:clientData/>
  </xdr:oneCellAnchor>
  <xdr:oneCellAnchor>
    <xdr:from>
      <xdr:col>5</xdr:col>
      <xdr:colOff>377825</xdr:colOff>
      <xdr:row>12</xdr:row>
      <xdr:rowOff>257030</xdr:rowOff>
    </xdr:from>
    <xdr:ext cx="2744982" cy="578685"/>
    <xdr:sp macro="" textlink="">
      <xdr:nvSpPr>
        <xdr:cNvPr id="4" name="矩形 7"/>
        <xdr:cNvSpPr/>
      </xdr:nvSpPr>
      <xdr:spPr>
        <a:xfrm rot="18960000">
          <a:off x="7197725" y="4829810"/>
          <a:ext cx="2744470" cy="579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2800" b="1">
              <a:solidFill>
                <a:schemeClr val="bg2">
                  <a:lumMod val="75000"/>
                  <a:alpha val="11000"/>
                </a:schemeClr>
              </a:solidFill>
              <a:effectLst>
                <a:outerShdw blurRad="38100" dist="25400" dir="5400000" algn="ctr" rotWithShape="0">
                  <a:srgbClr val="6E747A">
                    <a:alpha val="43000"/>
                  </a:srgbClr>
                </a:outerShdw>
              </a:effectLst>
            </a:rPr>
            <a:t>国</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泰</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君</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安</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期</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货</a:t>
          </a:r>
        </a:p>
      </xdr:txBody>
    </xdr:sp>
    <xdr:clientData/>
  </xdr:oneCellAnchor>
  <xdr:oneCellAnchor>
    <xdr:from>
      <xdr:col>5</xdr:col>
      <xdr:colOff>95885</xdr:colOff>
      <xdr:row>25</xdr:row>
      <xdr:rowOff>331960</xdr:rowOff>
    </xdr:from>
    <xdr:ext cx="2744982" cy="578685"/>
    <xdr:sp macro="" textlink="">
      <xdr:nvSpPr>
        <xdr:cNvPr id="5" name="矩形 8"/>
        <xdr:cNvSpPr/>
      </xdr:nvSpPr>
      <xdr:spPr>
        <a:xfrm rot="18960000">
          <a:off x="6915785" y="9773920"/>
          <a:ext cx="2744470" cy="579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2800" b="1">
              <a:solidFill>
                <a:schemeClr val="bg2">
                  <a:lumMod val="75000"/>
                  <a:alpha val="11000"/>
                </a:schemeClr>
              </a:solidFill>
              <a:effectLst>
                <a:outerShdw blurRad="38100" dist="25400" dir="5400000" algn="ctr" rotWithShape="0">
                  <a:srgbClr val="6E747A">
                    <a:alpha val="43000"/>
                  </a:srgbClr>
                </a:outerShdw>
              </a:effectLst>
            </a:rPr>
            <a:t>国</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泰</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君</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安</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期</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货</a:t>
          </a:r>
        </a:p>
      </xdr:txBody>
    </xdr:sp>
    <xdr:clientData/>
  </xdr:oneCellAnchor>
</xdr:wsDr>
</file>

<file path=xl/drawings/drawing8.xml><?xml version="1.0" encoding="utf-8"?>
<xdr:wsDr xmlns:xdr="http://schemas.openxmlformats.org/drawingml/2006/spreadsheetDrawing" xmlns:a="http://schemas.openxmlformats.org/drawingml/2006/main">
  <xdr:oneCellAnchor>
    <xdr:from>
      <xdr:col>2</xdr:col>
      <xdr:colOff>3290570</xdr:colOff>
      <xdr:row>8</xdr:row>
      <xdr:rowOff>571776</xdr:rowOff>
    </xdr:from>
    <xdr:ext cx="2744982" cy="578685"/>
    <xdr:sp macro="" textlink="">
      <xdr:nvSpPr>
        <xdr:cNvPr id="2" name="矩形 1"/>
        <xdr:cNvSpPr/>
      </xdr:nvSpPr>
      <xdr:spPr>
        <a:xfrm rot="19080000">
          <a:off x="7995920" y="5960745"/>
          <a:ext cx="2744470" cy="5784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2800" b="1">
              <a:solidFill>
                <a:schemeClr val="bg2">
                  <a:lumMod val="75000"/>
                  <a:alpha val="11000"/>
                </a:schemeClr>
              </a:solidFill>
              <a:effectLst>
                <a:outerShdw blurRad="38100" dist="25400" dir="5400000" algn="ctr" rotWithShape="0">
                  <a:srgbClr val="6E747A">
                    <a:alpha val="43000"/>
                  </a:srgbClr>
                </a:outerShdw>
              </a:effectLst>
            </a:rPr>
            <a:t>国</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泰</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君</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安</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期</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货</a:t>
          </a:r>
        </a:p>
      </xdr:txBody>
    </xdr:sp>
    <xdr:clientData/>
  </xdr:oneCellAnchor>
  <xdr:oneCellAnchor>
    <xdr:from>
      <xdr:col>5</xdr:col>
      <xdr:colOff>3002935</xdr:colOff>
      <xdr:row>8</xdr:row>
      <xdr:rowOff>780106</xdr:rowOff>
    </xdr:from>
    <xdr:ext cx="2744982" cy="578685"/>
    <xdr:sp macro="" textlink="">
      <xdr:nvSpPr>
        <xdr:cNvPr id="3" name="矩形 2"/>
        <xdr:cNvSpPr/>
      </xdr:nvSpPr>
      <xdr:spPr>
        <a:xfrm rot="19080000">
          <a:off x="22919690" y="6169025"/>
          <a:ext cx="2744470" cy="5784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2800" b="1">
              <a:solidFill>
                <a:schemeClr val="bg2">
                  <a:lumMod val="75000"/>
                  <a:alpha val="11000"/>
                </a:schemeClr>
              </a:solidFill>
              <a:effectLst>
                <a:outerShdw blurRad="38100" dist="25400" dir="5400000" algn="ctr" rotWithShape="0">
                  <a:srgbClr val="6E747A">
                    <a:alpha val="43000"/>
                  </a:srgbClr>
                </a:outerShdw>
              </a:effectLst>
            </a:rPr>
            <a:t>国</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泰</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君</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安</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期</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货</a:t>
          </a:r>
        </a:p>
      </xdr:txBody>
    </xdr:sp>
    <xdr:clientData/>
  </xdr:oneCellAnchor>
  <xdr:oneCellAnchor>
    <xdr:from>
      <xdr:col>2</xdr:col>
      <xdr:colOff>2825831</xdr:colOff>
      <xdr:row>14</xdr:row>
      <xdr:rowOff>128433</xdr:rowOff>
    </xdr:from>
    <xdr:ext cx="2744982" cy="578685"/>
    <xdr:sp macro="" textlink="">
      <xdr:nvSpPr>
        <xdr:cNvPr id="4" name="矩形 3"/>
        <xdr:cNvSpPr/>
      </xdr:nvSpPr>
      <xdr:spPr>
        <a:xfrm rot="19080000">
          <a:off x="7531100" y="15403195"/>
          <a:ext cx="2744470" cy="5784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2800" b="1">
              <a:solidFill>
                <a:schemeClr val="bg2">
                  <a:lumMod val="75000"/>
                  <a:alpha val="11000"/>
                </a:schemeClr>
              </a:solidFill>
              <a:effectLst>
                <a:outerShdw blurRad="38100" dist="25400" dir="5400000" algn="ctr" rotWithShape="0">
                  <a:srgbClr val="6E747A">
                    <a:alpha val="43000"/>
                  </a:srgbClr>
                </a:outerShdw>
              </a:effectLst>
            </a:rPr>
            <a:t>国</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泰</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君</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安</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期</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货</a:t>
          </a:r>
        </a:p>
      </xdr:txBody>
    </xdr:sp>
    <xdr:clientData/>
  </xdr:oneCellAnchor>
  <xdr:oneCellAnchor>
    <xdr:from>
      <xdr:col>5</xdr:col>
      <xdr:colOff>2582615</xdr:colOff>
      <xdr:row>14</xdr:row>
      <xdr:rowOff>213363</xdr:rowOff>
    </xdr:from>
    <xdr:ext cx="2744982" cy="578685"/>
    <xdr:sp macro="" textlink="">
      <xdr:nvSpPr>
        <xdr:cNvPr id="5" name="矩形 4"/>
        <xdr:cNvSpPr/>
      </xdr:nvSpPr>
      <xdr:spPr>
        <a:xfrm rot="19080000">
          <a:off x="22499320" y="15488285"/>
          <a:ext cx="2744470" cy="5784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2800" b="1">
              <a:solidFill>
                <a:schemeClr val="bg2">
                  <a:lumMod val="75000"/>
                  <a:alpha val="11000"/>
                </a:schemeClr>
              </a:solidFill>
              <a:effectLst>
                <a:outerShdw blurRad="38100" dist="25400" dir="5400000" algn="ctr" rotWithShape="0">
                  <a:srgbClr val="6E747A">
                    <a:alpha val="43000"/>
                  </a:srgbClr>
                </a:outerShdw>
              </a:effectLst>
            </a:rPr>
            <a:t>国</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泰</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君</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安</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期</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货</a:t>
          </a:r>
        </a:p>
      </xdr:txBody>
    </xdr:sp>
    <xdr:clientData/>
  </xdr:oneCellAnchor>
  <xdr:oneCellAnchor>
    <xdr:from>
      <xdr:col>2</xdr:col>
      <xdr:colOff>2740660</xdr:colOff>
      <xdr:row>16</xdr:row>
      <xdr:rowOff>264612</xdr:rowOff>
    </xdr:from>
    <xdr:ext cx="2744982" cy="578685"/>
    <xdr:sp macro="" textlink="">
      <xdr:nvSpPr>
        <xdr:cNvPr id="6" name="矩形 5"/>
        <xdr:cNvSpPr/>
      </xdr:nvSpPr>
      <xdr:spPr>
        <a:xfrm rot="19080000">
          <a:off x="7446010" y="23754715"/>
          <a:ext cx="2744470" cy="579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2800" b="1">
              <a:solidFill>
                <a:schemeClr val="bg2">
                  <a:lumMod val="75000"/>
                  <a:alpha val="11000"/>
                </a:schemeClr>
              </a:solidFill>
              <a:effectLst>
                <a:outerShdw blurRad="38100" dist="25400" dir="5400000" algn="ctr" rotWithShape="0">
                  <a:srgbClr val="6E747A">
                    <a:alpha val="43000"/>
                  </a:srgbClr>
                </a:outerShdw>
              </a:effectLst>
            </a:rPr>
            <a:t>国</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泰</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君</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安</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期</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货</a:t>
          </a:r>
        </a:p>
      </xdr:txBody>
    </xdr:sp>
    <xdr:clientData/>
  </xdr:oneCellAnchor>
  <xdr:oneCellAnchor>
    <xdr:from>
      <xdr:col>5</xdr:col>
      <xdr:colOff>2513330</xdr:colOff>
      <xdr:row>16</xdr:row>
      <xdr:rowOff>403243</xdr:rowOff>
    </xdr:from>
    <xdr:ext cx="2744982" cy="578685"/>
    <xdr:sp macro="" textlink="">
      <xdr:nvSpPr>
        <xdr:cNvPr id="7" name="矩形 6"/>
        <xdr:cNvSpPr/>
      </xdr:nvSpPr>
      <xdr:spPr>
        <a:xfrm rot="19080000">
          <a:off x="22430105" y="23893780"/>
          <a:ext cx="2744470" cy="5784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2800" b="1">
              <a:solidFill>
                <a:schemeClr val="bg2">
                  <a:lumMod val="75000"/>
                  <a:alpha val="11000"/>
                </a:schemeClr>
              </a:solidFill>
              <a:effectLst>
                <a:outerShdw blurRad="38100" dist="25400" dir="5400000" algn="ctr" rotWithShape="0">
                  <a:srgbClr val="6E747A">
                    <a:alpha val="43000"/>
                  </a:srgbClr>
                </a:outerShdw>
              </a:effectLst>
            </a:rPr>
            <a:t>国</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泰</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君</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安</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期</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货</a:t>
          </a:r>
        </a:p>
      </xdr:txBody>
    </xdr:sp>
    <xdr:clientData/>
  </xdr:oneCellAnchor>
  <xdr:oneCellAnchor>
    <xdr:from>
      <xdr:col>2</xdr:col>
      <xdr:colOff>3290570</xdr:colOff>
      <xdr:row>8</xdr:row>
      <xdr:rowOff>571776</xdr:rowOff>
    </xdr:from>
    <xdr:ext cx="2744982" cy="578685"/>
    <xdr:sp macro="" textlink="">
      <xdr:nvSpPr>
        <xdr:cNvPr id="8" name="矩形 1"/>
        <xdr:cNvSpPr/>
      </xdr:nvSpPr>
      <xdr:spPr>
        <a:xfrm rot="19080000">
          <a:off x="7995920" y="5960745"/>
          <a:ext cx="2744470" cy="5784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2800" b="1">
              <a:solidFill>
                <a:schemeClr val="bg2">
                  <a:lumMod val="75000"/>
                  <a:alpha val="11000"/>
                </a:schemeClr>
              </a:solidFill>
              <a:effectLst>
                <a:outerShdw blurRad="38100" dist="25400" dir="5400000" algn="ctr" rotWithShape="0">
                  <a:srgbClr val="6E747A">
                    <a:alpha val="43000"/>
                  </a:srgbClr>
                </a:outerShdw>
              </a:effectLst>
            </a:rPr>
            <a:t>国</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泰</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君</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安</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期</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货</a:t>
          </a:r>
        </a:p>
      </xdr:txBody>
    </xdr:sp>
    <xdr:clientData/>
  </xdr:oneCellAnchor>
  <xdr:oneCellAnchor>
    <xdr:from>
      <xdr:col>5</xdr:col>
      <xdr:colOff>3002935</xdr:colOff>
      <xdr:row>8</xdr:row>
      <xdr:rowOff>780106</xdr:rowOff>
    </xdr:from>
    <xdr:ext cx="2744982" cy="578685"/>
    <xdr:sp macro="" textlink="">
      <xdr:nvSpPr>
        <xdr:cNvPr id="9" name="矩形 2"/>
        <xdr:cNvSpPr/>
      </xdr:nvSpPr>
      <xdr:spPr>
        <a:xfrm rot="19080000">
          <a:off x="22919690" y="6169025"/>
          <a:ext cx="2744470" cy="5784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2800" b="1">
              <a:solidFill>
                <a:schemeClr val="bg2">
                  <a:lumMod val="75000"/>
                  <a:alpha val="11000"/>
                </a:schemeClr>
              </a:solidFill>
              <a:effectLst>
                <a:outerShdw blurRad="38100" dist="25400" dir="5400000" algn="ctr" rotWithShape="0">
                  <a:srgbClr val="6E747A">
                    <a:alpha val="43000"/>
                  </a:srgbClr>
                </a:outerShdw>
              </a:effectLst>
            </a:rPr>
            <a:t>国</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泰</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君</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安</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期</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货</a:t>
          </a:r>
        </a:p>
      </xdr:txBody>
    </xdr:sp>
    <xdr:clientData/>
  </xdr:oneCellAnchor>
  <xdr:oneCellAnchor>
    <xdr:from>
      <xdr:col>2</xdr:col>
      <xdr:colOff>2825831</xdr:colOff>
      <xdr:row>14</xdr:row>
      <xdr:rowOff>128433</xdr:rowOff>
    </xdr:from>
    <xdr:ext cx="2744982" cy="578685"/>
    <xdr:sp macro="" textlink="">
      <xdr:nvSpPr>
        <xdr:cNvPr id="10" name="矩形 3"/>
        <xdr:cNvSpPr/>
      </xdr:nvSpPr>
      <xdr:spPr>
        <a:xfrm rot="19080000">
          <a:off x="7531100" y="15403195"/>
          <a:ext cx="2744470" cy="5784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2800" b="1">
              <a:solidFill>
                <a:schemeClr val="bg2">
                  <a:lumMod val="75000"/>
                  <a:alpha val="11000"/>
                </a:schemeClr>
              </a:solidFill>
              <a:effectLst>
                <a:outerShdw blurRad="38100" dist="25400" dir="5400000" algn="ctr" rotWithShape="0">
                  <a:srgbClr val="6E747A">
                    <a:alpha val="43000"/>
                  </a:srgbClr>
                </a:outerShdw>
              </a:effectLst>
            </a:rPr>
            <a:t>国</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泰</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君</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安</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期</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货</a:t>
          </a:r>
        </a:p>
      </xdr:txBody>
    </xdr:sp>
    <xdr:clientData/>
  </xdr:oneCellAnchor>
  <xdr:oneCellAnchor>
    <xdr:from>
      <xdr:col>5</xdr:col>
      <xdr:colOff>2582615</xdr:colOff>
      <xdr:row>14</xdr:row>
      <xdr:rowOff>213363</xdr:rowOff>
    </xdr:from>
    <xdr:ext cx="2744982" cy="578685"/>
    <xdr:sp macro="" textlink="">
      <xdr:nvSpPr>
        <xdr:cNvPr id="11" name="矩形 4"/>
        <xdr:cNvSpPr/>
      </xdr:nvSpPr>
      <xdr:spPr>
        <a:xfrm rot="19080000">
          <a:off x="22499320" y="15488285"/>
          <a:ext cx="2744470" cy="5784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2800" b="1">
              <a:solidFill>
                <a:schemeClr val="bg2">
                  <a:lumMod val="75000"/>
                  <a:alpha val="11000"/>
                </a:schemeClr>
              </a:solidFill>
              <a:effectLst>
                <a:outerShdw blurRad="38100" dist="25400" dir="5400000" algn="ctr" rotWithShape="0">
                  <a:srgbClr val="6E747A">
                    <a:alpha val="43000"/>
                  </a:srgbClr>
                </a:outerShdw>
              </a:effectLst>
            </a:rPr>
            <a:t>国</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泰</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君</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安</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期</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货</a:t>
          </a:r>
        </a:p>
      </xdr:txBody>
    </xdr:sp>
    <xdr:clientData/>
  </xdr:oneCellAnchor>
  <xdr:oneCellAnchor>
    <xdr:from>
      <xdr:col>2</xdr:col>
      <xdr:colOff>2740660</xdr:colOff>
      <xdr:row>16</xdr:row>
      <xdr:rowOff>264612</xdr:rowOff>
    </xdr:from>
    <xdr:ext cx="2744982" cy="578685"/>
    <xdr:sp macro="" textlink="">
      <xdr:nvSpPr>
        <xdr:cNvPr id="12" name="矩形 5"/>
        <xdr:cNvSpPr/>
      </xdr:nvSpPr>
      <xdr:spPr>
        <a:xfrm rot="19080000">
          <a:off x="7446010" y="23754715"/>
          <a:ext cx="2744470" cy="579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2800" b="1">
              <a:solidFill>
                <a:schemeClr val="bg2">
                  <a:lumMod val="75000"/>
                  <a:alpha val="11000"/>
                </a:schemeClr>
              </a:solidFill>
              <a:effectLst>
                <a:outerShdw blurRad="38100" dist="25400" dir="5400000" algn="ctr" rotWithShape="0">
                  <a:srgbClr val="6E747A">
                    <a:alpha val="43000"/>
                  </a:srgbClr>
                </a:outerShdw>
              </a:effectLst>
            </a:rPr>
            <a:t>国</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泰</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君</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安</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期</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货</a:t>
          </a:r>
        </a:p>
      </xdr:txBody>
    </xdr:sp>
    <xdr:clientData/>
  </xdr:oneCellAnchor>
  <xdr:oneCellAnchor>
    <xdr:from>
      <xdr:col>5</xdr:col>
      <xdr:colOff>2513330</xdr:colOff>
      <xdr:row>16</xdr:row>
      <xdr:rowOff>403243</xdr:rowOff>
    </xdr:from>
    <xdr:ext cx="2744982" cy="578685"/>
    <xdr:sp macro="" textlink="">
      <xdr:nvSpPr>
        <xdr:cNvPr id="13" name="矩形 6"/>
        <xdr:cNvSpPr/>
      </xdr:nvSpPr>
      <xdr:spPr>
        <a:xfrm rot="19080000">
          <a:off x="22430105" y="23893780"/>
          <a:ext cx="2744470" cy="5784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2800" b="1">
              <a:solidFill>
                <a:schemeClr val="bg2">
                  <a:lumMod val="75000"/>
                  <a:alpha val="11000"/>
                </a:schemeClr>
              </a:solidFill>
              <a:effectLst>
                <a:outerShdw blurRad="38100" dist="25400" dir="5400000" algn="ctr" rotWithShape="0">
                  <a:srgbClr val="6E747A">
                    <a:alpha val="43000"/>
                  </a:srgbClr>
                </a:outerShdw>
              </a:effectLst>
            </a:rPr>
            <a:t>国</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泰</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君</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安</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期</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货</a:t>
          </a:r>
        </a:p>
      </xdr:txBody>
    </xdr:sp>
    <xdr:clientData/>
  </xdr:oneCellAnchor>
  <xdr:oneCellAnchor>
    <xdr:from>
      <xdr:col>2</xdr:col>
      <xdr:colOff>3290570</xdr:colOff>
      <xdr:row>8</xdr:row>
      <xdr:rowOff>571776</xdr:rowOff>
    </xdr:from>
    <xdr:ext cx="2744982" cy="578685"/>
    <xdr:sp macro="" textlink="">
      <xdr:nvSpPr>
        <xdr:cNvPr id="14" name="矩形 73"/>
        <xdr:cNvSpPr/>
      </xdr:nvSpPr>
      <xdr:spPr>
        <a:xfrm rot="19080000">
          <a:off x="7995920" y="5960745"/>
          <a:ext cx="2744470" cy="5784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2800" b="1">
              <a:solidFill>
                <a:schemeClr val="bg2">
                  <a:lumMod val="75000"/>
                  <a:alpha val="11000"/>
                </a:schemeClr>
              </a:solidFill>
              <a:effectLst>
                <a:outerShdw blurRad="38100" dist="25400" dir="5400000" algn="ctr" rotWithShape="0">
                  <a:srgbClr val="6E747A">
                    <a:alpha val="43000"/>
                  </a:srgbClr>
                </a:outerShdw>
              </a:effectLst>
            </a:rPr>
            <a:t>国</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泰</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君</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安</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期</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货</a:t>
          </a:r>
        </a:p>
      </xdr:txBody>
    </xdr:sp>
    <xdr:clientData/>
  </xdr:oneCellAnchor>
  <xdr:oneCellAnchor>
    <xdr:from>
      <xdr:col>5</xdr:col>
      <xdr:colOff>3002929</xdr:colOff>
      <xdr:row>8</xdr:row>
      <xdr:rowOff>780098</xdr:rowOff>
    </xdr:from>
    <xdr:ext cx="2744982" cy="578685"/>
    <xdr:sp macro="" textlink="">
      <xdr:nvSpPr>
        <xdr:cNvPr id="15" name="矩形 74"/>
        <xdr:cNvSpPr/>
      </xdr:nvSpPr>
      <xdr:spPr>
        <a:xfrm rot="19080000">
          <a:off x="22919690" y="6169025"/>
          <a:ext cx="2744470" cy="5784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2800" b="1">
              <a:solidFill>
                <a:schemeClr val="bg2">
                  <a:lumMod val="75000"/>
                  <a:alpha val="11000"/>
                </a:schemeClr>
              </a:solidFill>
              <a:effectLst>
                <a:outerShdw blurRad="38100" dist="25400" dir="5400000" algn="ctr" rotWithShape="0">
                  <a:srgbClr val="6E747A">
                    <a:alpha val="43000"/>
                  </a:srgbClr>
                </a:outerShdw>
              </a:effectLst>
            </a:rPr>
            <a:t>国</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泰</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君</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安</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期</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货</a:t>
          </a:r>
        </a:p>
      </xdr:txBody>
    </xdr:sp>
    <xdr:clientData/>
  </xdr:oneCellAnchor>
  <xdr:oneCellAnchor>
    <xdr:from>
      <xdr:col>2</xdr:col>
      <xdr:colOff>2811224</xdr:colOff>
      <xdr:row>14</xdr:row>
      <xdr:rowOff>112093</xdr:rowOff>
    </xdr:from>
    <xdr:ext cx="2744982" cy="578685"/>
    <xdr:sp macro="" textlink="">
      <xdr:nvSpPr>
        <xdr:cNvPr id="16" name="矩形 75"/>
        <xdr:cNvSpPr/>
      </xdr:nvSpPr>
      <xdr:spPr>
        <a:xfrm rot="19080000">
          <a:off x="7516495" y="15386685"/>
          <a:ext cx="2744470" cy="5784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2800" b="1">
              <a:solidFill>
                <a:schemeClr val="bg2">
                  <a:lumMod val="75000"/>
                  <a:alpha val="11000"/>
                </a:schemeClr>
              </a:solidFill>
              <a:effectLst>
                <a:outerShdw blurRad="38100" dist="25400" dir="5400000" algn="ctr" rotWithShape="0">
                  <a:srgbClr val="6E747A">
                    <a:alpha val="43000"/>
                  </a:srgbClr>
                </a:outerShdw>
              </a:effectLst>
            </a:rPr>
            <a:t>国</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泰</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君</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安</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期</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货</a:t>
          </a:r>
        </a:p>
      </xdr:txBody>
    </xdr:sp>
    <xdr:clientData/>
  </xdr:oneCellAnchor>
  <xdr:oneCellAnchor>
    <xdr:from>
      <xdr:col>5</xdr:col>
      <xdr:colOff>2582618</xdr:colOff>
      <xdr:row>14</xdr:row>
      <xdr:rowOff>213343</xdr:rowOff>
    </xdr:from>
    <xdr:ext cx="2744982" cy="578685"/>
    <xdr:sp macro="" textlink="">
      <xdr:nvSpPr>
        <xdr:cNvPr id="17" name="矩形 76"/>
        <xdr:cNvSpPr/>
      </xdr:nvSpPr>
      <xdr:spPr>
        <a:xfrm rot="19080000">
          <a:off x="22499320" y="15487650"/>
          <a:ext cx="2744470" cy="579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2800" b="1">
              <a:solidFill>
                <a:schemeClr val="bg2">
                  <a:lumMod val="75000"/>
                  <a:alpha val="11000"/>
                </a:schemeClr>
              </a:solidFill>
              <a:effectLst>
                <a:outerShdw blurRad="38100" dist="25400" dir="5400000" algn="ctr" rotWithShape="0">
                  <a:srgbClr val="6E747A">
                    <a:alpha val="43000"/>
                  </a:srgbClr>
                </a:outerShdw>
              </a:effectLst>
            </a:rPr>
            <a:t>国</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泰</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君</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安</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期</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货</a:t>
          </a:r>
        </a:p>
      </xdr:txBody>
    </xdr:sp>
    <xdr:clientData/>
  </xdr:oneCellAnchor>
  <xdr:oneCellAnchor>
    <xdr:from>
      <xdr:col>2</xdr:col>
      <xdr:colOff>2740660</xdr:colOff>
      <xdr:row>16</xdr:row>
      <xdr:rowOff>264612</xdr:rowOff>
    </xdr:from>
    <xdr:ext cx="2744982" cy="578685"/>
    <xdr:sp macro="" textlink="">
      <xdr:nvSpPr>
        <xdr:cNvPr id="18" name="矩形 77"/>
        <xdr:cNvSpPr/>
      </xdr:nvSpPr>
      <xdr:spPr>
        <a:xfrm rot="19080000">
          <a:off x="7446010" y="23754715"/>
          <a:ext cx="2744470" cy="579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2800" b="1">
              <a:solidFill>
                <a:schemeClr val="bg2">
                  <a:lumMod val="75000"/>
                  <a:alpha val="11000"/>
                </a:schemeClr>
              </a:solidFill>
              <a:effectLst>
                <a:outerShdw blurRad="38100" dist="25400" dir="5400000" algn="ctr" rotWithShape="0">
                  <a:srgbClr val="6E747A">
                    <a:alpha val="43000"/>
                  </a:srgbClr>
                </a:outerShdw>
              </a:effectLst>
            </a:rPr>
            <a:t>国</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泰</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君</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安</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期</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货</a:t>
          </a:r>
        </a:p>
      </xdr:txBody>
    </xdr:sp>
    <xdr:clientData/>
  </xdr:oneCellAnchor>
  <xdr:oneCellAnchor>
    <xdr:from>
      <xdr:col>5</xdr:col>
      <xdr:colOff>2513330</xdr:colOff>
      <xdr:row>16</xdr:row>
      <xdr:rowOff>403243</xdr:rowOff>
    </xdr:from>
    <xdr:ext cx="2744982" cy="578685"/>
    <xdr:sp macro="" textlink="">
      <xdr:nvSpPr>
        <xdr:cNvPr id="19" name="矩形 78"/>
        <xdr:cNvSpPr/>
      </xdr:nvSpPr>
      <xdr:spPr>
        <a:xfrm rot="19080000">
          <a:off x="22430105" y="23893780"/>
          <a:ext cx="2744470" cy="5784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2800" b="1">
              <a:solidFill>
                <a:schemeClr val="bg2">
                  <a:lumMod val="75000"/>
                  <a:alpha val="11000"/>
                </a:schemeClr>
              </a:solidFill>
              <a:effectLst>
                <a:outerShdw blurRad="38100" dist="25400" dir="5400000" algn="ctr" rotWithShape="0">
                  <a:srgbClr val="6E747A">
                    <a:alpha val="43000"/>
                  </a:srgbClr>
                </a:outerShdw>
              </a:effectLst>
            </a:rPr>
            <a:t>国</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泰</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君</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安</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期</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货</a:t>
          </a:r>
        </a:p>
      </xdr:txBody>
    </xdr:sp>
    <xdr:clientData/>
  </xdr:oneCellAnchor>
  <xdr:oneCellAnchor>
    <xdr:from>
      <xdr:col>2</xdr:col>
      <xdr:colOff>3290570</xdr:colOff>
      <xdr:row>8</xdr:row>
      <xdr:rowOff>571776</xdr:rowOff>
    </xdr:from>
    <xdr:ext cx="2744982" cy="578685"/>
    <xdr:sp macro="" textlink="">
      <xdr:nvSpPr>
        <xdr:cNvPr id="20" name="矩形 1"/>
        <xdr:cNvSpPr/>
      </xdr:nvSpPr>
      <xdr:spPr>
        <a:xfrm rot="19080000">
          <a:off x="7995920" y="5960745"/>
          <a:ext cx="2744470" cy="5784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2800" b="1">
              <a:solidFill>
                <a:schemeClr val="bg2">
                  <a:lumMod val="75000"/>
                  <a:alpha val="11000"/>
                </a:schemeClr>
              </a:solidFill>
              <a:effectLst>
                <a:outerShdw blurRad="38100" dist="25400" dir="5400000" algn="ctr" rotWithShape="0">
                  <a:srgbClr val="6E747A">
                    <a:alpha val="43000"/>
                  </a:srgbClr>
                </a:outerShdw>
              </a:effectLst>
            </a:rPr>
            <a:t>国</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泰</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君</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安</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期</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货</a:t>
          </a:r>
        </a:p>
      </xdr:txBody>
    </xdr:sp>
    <xdr:clientData/>
  </xdr:oneCellAnchor>
  <xdr:oneCellAnchor>
    <xdr:from>
      <xdr:col>5</xdr:col>
      <xdr:colOff>3002929</xdr:colOff>
      <xdr:row>8</xdr:row>
      <xdr:rowOff>780098</xdr:rowOff>
    </xdr:from>
    <xdr:ext cx="2744982" cy="578685"/>
    <xdr:sp macro="" textlink="">
      <xdr:nvSpPr>
        <xdr:cNvPr id="21" name="矩形 2"/>
        <xdr:cNvSpPr/>
      </xdr:nvSpPr>
      <xdr:spPr>
        <a:xfrm rot="19080000">
          <a:off x="22919690" y="6169025"/>
          <a:ext cx="2744470" cy="5784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2800" b="1">
              <a:solidFill>
                <a:schemeClr val="bg2">
                  <a:lumMod val="75000"/>
                  <a:alpha val="11000"/>
                </a:schemeClr>
              </a:solidFill>
              <a:effectLst>
                <a:outerShdw blurRad="38100" dist="25400" dir="5400000" algn="ctr" rotWithShape="0">
                  <a:srgbClr val="6E747A">
                    <a:alpha val="43000"/>
                  </a:srgbClr>
                </a:outerShdw>
              </a:effectLst>
            </a:rPr>
            <a:t>国</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泰</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君</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安</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期</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货</a:t>
          </a:r>
        </a:p>
      </xdr:txBody>
    </xdr:sp>
    <xdr:clientData/>
  </xdr:oneCellAnchor>
  <xdr:oneCellAnchor>
    <xdr:from>
      <xdr:col>2</xdr:col>
      <xdr:colOff>2811224</xdr:colOff>
      <xdr:row>14</xdr:row>
      <xdr:rowOff>112093</xdr:rowOff>
    </xdr:from>
    <xdr:ext cx="2744982" cy="578685"/>
    <xdr:sp macro="" textlink="">
      <xdr:nvSpPr>
        <xdr:cNvPr id="22" name="矩形 3"/>
        <xdr:cNvSpPr/>
      </xdr:nvSpPr>
      <xdr:spPr>
        <a:xfrm rot="19080000">
          <a:off x="7516495" y="15386685"/>
          <a:ext cx="2744470" cy="5784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2800" b="1">
              <a:solidFill>
                <a:schemeClr val="bg2">
                  <a:lumMod val="75000"/>
                  <a:alpha val="11000"/>
                </a:schemeClr>
              </a:solidFill>
              <a:effectLst>
                <a:outerShdw blurRad="38100" dist="25400" dir="5400000" algn="ctr" rotWithShape="0">
                  <a:srgbClr val="6E747A">
                    <a:alpha val="43000"/>
                  </a:srgbClr>
                </a:outerShdw>
              </a:effectLst>
            </a:rPr>
            <a:t>国</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泰</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君</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安</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期</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货</a:t>
          </a:r>
        </a:p>
      </xdr:txBody>
    </xdr:sp>
    <xdr:clientData/>
  </xdr:oneCellAnchor>
  <xdr:oneCellAnchor>
    <xdr:from>
      <xdr:col>5</xdr:col>
      <xdr:colOff>2582618</xdr:colOff>
      <xdr:row>14</xdr:row>
      <xdr:rowOff>213343</xdr:rowOff>
    </xdr:from>
    <xdr:ext cx="2744982" cy="578685"/>
    <xdr:sp macro="" textlink="">
      <xdr:nvSpPr>
        <xdr:cNvPr id="23" name="矩形 4"/>
        <xdr:cNvSpPr/>
      </xdr:nvSpPr>
      <xdr:spPr>
        <a:xfrm rot="19080000">
          <a:off x="22499320" y="15487650"/>
          <a:ext cx="2744470" cy="579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2800" b="1">
              <a:solidFill>
                <a:schemeClr val="bg2">
                  <a:lumMod val="75000"/>
                  <a:alpha val="11000"/>
                </a:schemeClr>
              </a:solidFill>
              <a:effectLst>
                <a:outerShdw blurRad="38100" dist="25400" dir="5400000" algn="ctr" rotWithShape="0">
                  <a:srgbClr val="6E747A">
                    <a:alpha val="43000"/>
                  </a:srgbClr>
                </a:outerShdw>
              </a:effectLst>
            </a:rPr>
            <a:t>国</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泰</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君</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安</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期</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货</a:t>
          </a:r>
        </a:p>
      </xdr:txBody>
    </xdr:sp>
    <xdr:clientData/>
  </xdr:oneCellAnchor>
  <xdr:oneCellAnchor>
    <xdr:from>
      <xdr:col>2</xdr:col>
      <xdr:colOff>2740660</xdr:colOff>
      <xdr:row>16</xdr:row>
      <xdr:rowOff>264612</xdr:rowOff>
    </xdr:from>
    <xdr:ext cx="2744982" cy="578685"/>
    <xdr:sp macro="" textlink="">
      <xdr:nvSpPr>
        <xdr:cNvPr id="24" name="矩形 5"/>
        <xdr:cNvSpPr/>
      </xdr:nvSpPr>
      <xdr:spPr>
        <a:xfrm rot="19080000">
          <a:off x="7446010" y="23754715"/>
          <a:ext cx="2744470" cy="579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2800" b="1">
              <a:solidFill>
                <a:schemeClr val="bg2">
                  <a:lumMod val="75000"/>
                  <a:alpha val="11000"/>
                </a:schemeClr>
              </a:solidFill>
              <a:effectLst>
                <a:outerShdw blurRad="38100" dist="25400" dir="5400000" algn="ctr" rotWithShape="0">
                  <a:srgbClr val="6E747A">
                    <a:alpha val="43000"/>
                  </a:srgbClr>
                </a:outerShdw>
              </a:effectLst>
            </a:rPr>
            <a:t>国</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泰</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君</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安</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期</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货</a:t>
          </a:r>
        </a:p>
      </xdr:txBody>
    </xdr:sp>
    <xdr:clientData/>
  </xdr:oneCellAnchor>
  <xdr:oneCellAnchor>
    <xdr:from>
      <xdr:col>5</xdr:col>
      <xdr:colOff>2513330</xdr:colOff>
      <xdr:row>16</xdr:row>
      <xdr:rowOff>403243</xdr:rowOff>
    </xdr:from>
    <xdr:ext cx="2744982" cy="578685"/>
    <xdr:sp macro="" textlink="">
      <xdr:nvSpPr>
        <xdr:cNvPr id="25" name="矩形 6"/>
        <xdr:cNvSpPr/>
      </xdr:nvSpPr>
      <xdr:spPr>
        <a:xfrm rot="19080000">
          <a:off x="22430105" y="23893780"/>
          <a:ext cx="2744470" cy="5784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2800" b="1">
              <a:solidFill>
                <a:schemeClr val="bg2">
                  <a:lumMod val="75000"/>
                  <a:alpha val="11000"/>
                </a:schemeClr>
              </a:solidFill>
              <a:effectLst>
                <a:outerShdw blurRad="38100" dist="25400" dir="5400000" algn="ctr" rotWithShape="0">
                  <a:srgbClr val="6E747A">
                    <a:alpha val="43000"/>
                  </a:srgbClr>
                </a:outerShdw>
              </a:effectLst>
            </a:rPr>
            <a:t>国</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泰</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君</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安</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期</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货</a:t>
          </a:r>
        </a:p>
      </xdr:txBody>
    </xdr:sp>
    <xdr:clientData/>
  </xdr:oneCellAnchor>
</xdr:wsDr>
</file>

<file path=xl/drawings/drawing9.xml><?xml version="1.0" encoding="utf-8"?>
<xdr:wsDr xmlns:xdr="http://schemas.openxmlformats.org/drawingml/2006/spreadsheetDrawing" xmlns:a="http://schemas.openxmlformats.org/drawingml/2006/main">
  <xdr:oneCellAnchor>
    <xdr:from>
      <xdr:col>6</xdr:col>
      <xdr:colOff>1013424</xdr:colOff>
      <xdr:row>8</xdr:row>
      <xdr:rowOff>343866</xdr:rowOff>
    </xdr:from>
    <xdr:ext cx="3476593" cy="717632"/>
    <xdr:sp macro="" textlink="">
      <xdr:nvSpPr>
        <xdr:cNvPr id="2" name="矩形 1"/>
        <xdr:cNvSpPr/>
      </xdr:nvSpPr>
      <xdr:spPr>
        <a:xfrm rot="19620000">
          <a:off x="9023350" y="3725545"/>
          <a:ext cx="3476625" cy="717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3600" b="1">
              <a:solidFill>
                <a:schemeClr val="bg2">
                  <a:lumMod val="75000"/>
                  <a:alpha val="11000"/>
                </a:schemeClr>
              </a:solidFill>
              <a:effectLst>
                <a:outerShdw blurRad="38100" dist="25400" dir="5400000" algn="ctr" rotWithShape="0">
                  <a:srgbClr val="6E747A">
                    <a:alpha val="43000"/>
                  </a:srgbClr>
                </a:outerShdw>
              </a:effectLst>
            </a:rPr>
            <a:t>国</a:t>
          </a:r>
          <a:r>
            <a:rPr lang="en-US" altLang="zh-CN" sz="3600" b="1">
              <a:solidFill>
                <a:schemeClr val="bg2">
                  <a:lumMod val="75000"/>
                  <a:alpha val="11000"/>
                </a:schemeClr>
              </a:solidFill>
              <a:effectLst>
                <a:outerShdw blurRad="38100" dist="25400" dir="5400000" algn="ctr" rotWithShape="0">
                  <a:srgbClr val="6E747A">
                    <a:alpha val="43000"/>
                  </a:srgbClr>
                </a:outerShdw>
              </a:effectLst>
            </a:rPr>
            <a:t> </a:t>
          </a:r>
          <a:r>
            <a:rPr lang="zh-CN" altLang="en-US" sz="3600" b="1">
              <a:solidFill>
                <a:schemeClr val="bg2">
                  <a:lumMod val="75000"/>
                  <a:alpha val="11000"/>
                </a:schemeClr>
              </a:solidFill>
              <a:effectLst>
                <a:outerShdw blurRad="38100" dist="25400" dir="5400000" algn="ctr" rotWithShape="0">
                  <a:srgbClr val="6E747A">
                    <a:alpha val="43000"/>
                  </a:srgbClr>
                </a:outerShdw>
              </a:effectLst>
            </a:rPr>
            <a:t>泰</a:t>
          </a:r>
          <a:r>
            <a:rPr lang="en-US" altLang="zh-CN" sz="3600" b="1">
              <a:solidFill>
                <a:schemeClr val="bg2">
                  <a:lumMod val="75000"/>
                  <a:alpha val="11000"/>
                </a:schemeClr>
              </a:solidFill>
              <a:effectLst>
                <a:outerShdw blurRad="38100" dist="25400" dir="5400000" algn="ctr" rotWithShape="0">
                  <a:srgbClr val="6E747A">
                    <a:alpha val="43000"/>
                  </a:srgbClr>
                </a:outerShdw>
              </a:effectLst>
            </a:rPr>
            <a:t> </a:t>
          </a:r>
          <a:r>
            <a:rPr lang="zh-CN" altLang="en-US" sz="3600" b="1">
              <a:solidFill>
                <a:schemeClr val="bg2">
                  <a:lumMod val="75000"/>
                  <a:alpha val="11000"/>
                </a:schemeClr>
              </a:solidFill>
              <a:effectLst>
                <a:outerShdw blurRad="38100" dist="25400" dir="5400000" algn="ctr" rotWithShape="0">
                  <a:srgbClr val="6E747A">
                    <a:alpha val="43000"/>
                  </a:srgbClr>
                </a:outerShdw>
              </a:effectLst>
            </a:rPr>
            <a:t>君</a:t>
          </a:r>
          <a:r>
            <a:rPr lang="en-US" altLang="zh-CN" sz="3600" b="1">
              <a:solidFill>
                <a:schemeClr val="bg2">
                  <a:lumMod val="75000"/>
                  <a:alpha val="11000"/>
                </a:schemeClr>
              </a:solidFill>
              <a:effectLst>
                <a:outerShdw blurRad="38100" dist="25400" dir="5400000" algn="ctr" rotWithShape="0">
                  <a:srgbClr val="6E747A">
                    <a:alpha val="43000"/>
                  </a:srgbClr>
                </a:outerShdw>
              </a:effectLst>
            </a:rPr>
            <a:t> </a:t>
          </a:r>
          <a:r>
            <a:rPr lang="zh-CN" altLang="en-US" sz="3600" b="1">
              <a:solidFill>
                <a:schemeClr val="bg2">
                  <a:lumMod val="75000"/>
                  <a:alpha val="11000"/>
                </a:schemeClr>
              </a:solidFill>
              <a:effectLst>
                <a:outerShdw blurRad="38100" dist="25400" dir="5400000" algn="ctr" rotWithShape="0">
                  <a:srgbClr val="6E747A">
                    <a:alpha val="43000"/>
                  </a:srgbClr>
                </a:outerShdw>
              </a:effectLst>
            </a:rPr>
            <a:t>安</a:t>
          </a:r>
          <a:r>
            <a:rPr lang="en-US" altLang="zh-CN" sz="3600" b="1">
              <a:solidFill>
                <a:schemeClr val="bg2">
                  <a:lumMod val="75000"/>
                  <a:alpha val="11000"/>
                </a:schemeClr>
              </a:solidFill>
              <a:effectLst>
                <a:outerShdw blurRad="38100" dist="25400" dir="5400000" algn="ctr" rotWithShape="0">
                  <a:srgbClr val="6E747A">
                    <a:alpha val="43000"/>
                  </a:srgbClr>
                </a:outerShdw>
              </a:effectLst>
            </a:rPr>
            <a:t> </a:t>
          </a:r>
          <a:r>
            <a:rPr lang="zh-CN" altLang="en-US" sz="3600" b="1">
              <a:solidFill>
                <a:schemeClr val="bg2">
                  <a:lumMod val="75000"/>
                  <a:alpha val="11000"/>
                </a:schemeClr>
              </a:solidFill>
              <a:effectLst>
                <a:outerShdw blurRad="38100" dist="25400" dir="5400000" algn="ctr" rotWithShape="0">
                  <a:srgbClr val="6E747A">
                    <a:alpha val="43000"/>
                  </a:srgbClr>
                </a:outerShdw>
              </a:effectLst>
            </a:rPr>
            <a:t>期</a:t>
          </a:r>
          <a:r>
            <a:rPr lang="en-US" altLang="zh-CN" sz="3600" b="1">
              <a:solidFill>
                <a:schemeClr val="bg2">
                  <a:lumMod val="75000"/>
                  <a:alpha val="11000"/>
                </a:schemeClr>
              </a:solidFill>
              <a:effectLst>
                <a:outerShdw blurRad="38100" dist="25400" dir="5400000" algn="ctr" rotWithShape="0">
                  <a:srgbClr val="6E747A">
                    <a:alpha val="43000"/>
                  </a:srgbClr>
                </a:outerShdw>
              </a:effectLst>
            </a:rPr>
            <a:t> </a:t>
          </a:r>
          <a:r>
            <a:rPr lang="zh-CN" altLang="en-US" sz="3600" b="1">
              <a:solidFill>
                <a:schemeClr val="bg2">
                  <a:lumMod val="75000"/>
                  <a:alpha val="11000"/>
                </a:schemeClr>
              </a:solidFill>
              <a:effectLst>
                <a:outerShdw blurRad="38100" dist="25400" dir="5400000" algn="ctr" rotWithShape="0">
                  <a:srgbClr val="6E747A">
                    <a:alpha val="43000"/>
                  </a:srgbClr>
                </a:outerShdw>
              </a:effectLst>
            </a:rPr>
            <a:t>货</a:t>
          </a:r>
        </a:p>
      </xdr:txBody>
    </xdr:sp>
    <xdr:clientData/>
  </xdr:oneCellAnchor>
  <xdr:oneCellAnchor>
    <xdr:from>
      <xdr:col>14</xdr:col>
      <xdr:colOff>396895</xdr:colOff>
      <xdr:row>9</xdr:row>
      <xdr:rowOff>21493</xdr:rowOff>
    </xdr:from>
    <xdr:ext cx="3476593" cy="717632"/>
    <xdr:sp macro="" textlink="">
      <xdr:nvSpPr>
        <xdr:cNvPr id="3" name="矩形 2"/>
        <xdr:cNvSpPr/>
      </xdr:nvSpPr>
      <xdr:spPr>
        <a:xfrm rot="19620000">
          <a:off x="23933150" y="3860165"/>
          <a:ext cx="3475990" cy="717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3600" b="1">
              <a:solidFill>
                <a:schemeClr val="bg2">
                  <a:lumMod val="75000"/>
                  <a:alpha val="11000"/>
                </a:schemeClr>
              </a:solidFill>
              <a:effectLst>
                <a:outerShdw blurRad="38100" dist="25400" dir="5400000" algn="ctr" rotWithShape="0">
                  <a:srgbClr val="6E747A">
                    <a:alpha val="43000"/>
                  </a:srgbClr>
                </a:outerShdw>
              </a:effectLst>
            </a:rPr>
            <a:t>国</a:t>
          </a:r>
          <a:r>
            <a:rPr lang="en-US" altLang="zh-CN" sz="3600" b="1">
              <a:solidFill>
                <a:schemeClr val="bg2">
                  <a:lumMod val="75000"/>
                  <a:alpha val="11000"/>
                </a:schemeClr>
              </a:solidFill>
              <a:effectLst>
                <a:outerShdw blurRad="38100" dist="25400" dir="5400000" algn="ctr" rotWithShape="0">
                  <a:srgbClr val="6E747A">
                    <a:alpha val="43000"/>
                  </a:srgbClr>
                </a:outerShdw>
              </a:effectLst>
            </a:rPr>
            <a:t> </a:t>
          </a:r>
          <a:r>
            <a:rPr lang="zh-CN" altLang="en-US" sz="3600" b="1">
              <a:solidFill>
                <a:schemeClr val="bg2">
                  <a:lumMod val="75000"/>
                  <a:alpha val="11000"/>
                </a:schemeClr>
              </a:solidFill>
              <a:effectLst>
                <a:outerShdw blurRad="38100" dist="25400" dir="5400000" algn="ctr" rotWithShape="0">
                  <a:srgbClr val="6E747A">
                    <a:alpha val="43000"/>
                  </a:srgbClr>
                </a:outerShdw>
              </a:effectLst>
            </a:rPr>
            <a:t>泰</a:t>
          </a:r>
          <a:r>
            <a:rPr lang="en-US" altLang="zh-CN" sz="3600" b="1">
              <a:solidFill>
                <a:schemeClr val="bg2">
                  <a:lumMod val="75000"/>
                  <a:alpha val="11000"/>
                </a:schemeClr>
              </a:solidFill>
              <a:effectLst>
                <a:outerShdw blurRad="38100" dist="25400" dir="5400000" algn="ctr" rotWithShape="0">
                  <a:srgbClr val="6E747A">
                    <a:alpha val="43000"/>
                  </a:srgbClr>
                </a:outerShdw>
              </a:effectLst>
            </a:rPr>
            <a:t> </a:t>
          </a:r>
          <a:r>
            <a:rPr lang="zh-CN" altLang="en-US" sz="3600" b="1">
              <a:solidFill>
                <a:schemeClr val="bg2">
                  <a:lumMod val="75000"/>
                  <a:alpha val="11000"/>
                </a:schemeClr>
              </a:solidFill>
              <a:effectLst>
                <a:outerShdw blurRad="38100" dist="25400" dir="5400000" algn="ctr" rotWithShape="0">
                  <a:srgbClr val="6E747A">
                    <a:alpha val="43000"/>
                  </a:srgbClr>
                </a:outerShdw>
              </a:effectLst>
            </a:rPr>
            <a:t>君</a:t>
          </a:r>
          <a:r>
            <a:rPr lang="en-US" altLang="zh-CN" sz="3600" b="1">
              <a:solidFill>
                <a:schemeClr val="bg2">
                  <a:lumMod val="75000"/>
                  <a:alpha val="11000"/>
                </a:schemeClr>
              </a:solidFill>
              <a:effectLst>
                <a:outerShdw blurRad="38100" dist="25400" dir="5400000" algn="ctr" rotWithShape="0">
                  <a:srgbClr val="6E747A">
                    <a:alpha val="43000"/>
                  </a:srgbClr>
                </a:outerShdw>
              </a:effectLst>
            </a:rPr>
            <a:t> </a:t>
          </a:r>
          <a:r>
            <a:rPr lang="zh-CN" altLang="en-US" sz="3600" b="1">
              <a:solidFill>
                <a:schemeClr val="bg2">
                  <a:lumMod val="75000"/>
                  <a:alpha val="11000"/>
                </a:schemeClr>
              </a:solidFill>
              <a:effectLst>
                <a:outerShdw blurRad="38100" dist="25400" dir="5400000" algn="ctr" rotWithShape="0">
                  <a:srgbClr val="6E747A">
                    <a:alpha val="43000"/>
                  </a:srgbClr>
                </a:outerShdw>
              </a:effectLst>
            </a:rPr>
            <a:t>安</a:t>
          </a:r>
          <a:r>
            <a:rPr lang="en-US" altLang="zh-CN" sz="3600" b="1">
              <a:solidFill>
                <a:schemeClr val="bg2">
                  <a:lumMod val="75000"/>
                  <a:alpha val="11000"/>
                </a:schemeClr>
              </a:solidFill>
              <a:effectLst>
                <a:outerShdw blurRad="38100" dist="25400" dir="5400000" algn="ctr" rotWithShape="0">
                  <a:srgbClr val="6E747A">
                    <a:alpha val="43000"/>
                  </a:srgbClr>
                </a:outerShdw>
              </a:effectLst>
            </a:rPr>
            <a:t> </a:t>
          </a:r>
          <a:r>
            <a:rPr lang="zh-CN" altLang="en-US" sz="3600" b="1">
              <a:solidFill>
                <a:schemeClr val="bg2">
                  <a:lumMod val="75000"/>
                  <a:alpha val="11000"/>
                </a:schemeClr>
              </a:solidFill>
              <a:effectLst>
                <a:outerShdw blurRad="38100" dist="25400" dir="5400000" algn="ctr" rotWithShape="0">
                  <a:srgbClr val="6E747A">
                    <a:alpha val="43000"/>
                  </a:srgbClr>
                </a:outerShdw>
              </a:effectLst>
            </a:rPr>
            <a:t>期</a:t>
          </a:r>
          <a:r>
            <a:rPr lang="en-US" altLang="zh-CN" sz="3600" b="1">
              <a:solidFill>
                <a:schemeClr val="bg2">
                  <a:lumMod val="75000"/>
                  <a:alpha val="11000"/>
                </a:schemeClr>
              </a:solidFill>
              <a:effectLst>
                <a:outerShdw blurRad="38100" dist="25400" dir="5400000" algn="ctr" rotWithShape="0">
                  <a:srgbClr val="6E747A">
                    <a:alpha val="43000"/>
                  </a:srgbClr>
                </a:outerShdw>
              </a:effectLst>
            </a:rPr>
            <a:t> </a:t>
          </a:r>
          <a:r>
            <a:rPr lang="zh-CN" altLang="en-US" sz="3600" b="1">
              <a:solidFill>
                <a:schemeClr val="bg2">
                  <a:lumMod val="75000"/>
                  <a:alpha val="11000"/>
                </a:schemeClr>
              </a:solidFill>
              <a:effectLst>
                <a:outerShdw blurRad="38100" dist="25400" dir="5400000" algn="ctr" rotWithShape="0">
                  <a:srgbClr val="6E747A">
                    <a:alpha val="43000"/>
                  </a:srgbClr>
                </a:outerShdw>
              </a:effectLst>
            </a:rPr>
            <a:t>货</a:t>
          </a:r>
        </a:p>
      </xdr:txBody>
    </xdr:sp>
    <xdr:clientData/>
  </xdr:oneCellAnchor>
  <xdr:oneCellAnchor>
    <xdr:from>
      <xdr:col>6</xdr:col>
      <xdr:colOff>962025</xdr:colOff>
      <xdr:row>17</xdr:row>
      <xdr:rowOff>1221552</xdr:rowOff>
    </xdr:from>
    <xdr:ext cx="3476593" cy="717632"/>
    <xdr:sp macro="" textlink="">
      <xdr:nvSpPr>
        <xdr:cNvPr id="4" name="矩形 3"/>
        <xdr:cNvSpPr/>
      </xdr:nvSpPr>
      <xdr:spPr>
        <a:xfrm rot="19620000">
          <a:off x="8972550" y="11376025"/>
          <a:ext cx="3475990" cy="717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3600" b="1">
              <a:solidFill>
                <a:schemeClr val="bg2">
                  <a:lumMod val="75000"/>
                  <a:alpha val="11000"/>
                </a:schemeClr>
              </a:solidFill>
              <a:effectLst>
                <a:outerShdw blurRad="38100" dist="25400" dir="5400000" algn="ctr" rotWithShape="0">
                  <a:srgbClr val="6E747A">
                    <a:alpha val="43000"/>
                  </a:srgbClr>
                </a:outerShdw>
              </a:effectLst>
            </a:rPr>
            <a:t>国</a:t>
          </a:r>
          <a:r>
            <a:rPr lang="en-US" altLang="zh-CN" sz="3600" b="1">
              <a:solidFill>
                <a:schemeClr val="bg2">
                  <a:lumMod val="75000"/>
                  <a:alpha val="11000"/>
                </a:schemeClr>
              </a:solidFill>
              <a:effectLst>
                <a:outerShdw blurRad="38100" dist="25400" dir="5400000" algn="ctr" rotWithShape="0">
                  <a:srgbClr val="6E747A">
                    <a:alpha val="43000"/>
                  </a:srgbClr>
                </a:outerShdw>
              </a:effectLst>
            </a:rPr>
            <a:t> </a:t>
          </a:r>
          <a:r>
            <a:rPr lang="zh-CN" altLang="en-US" sz="3600" b="1">
              <a:solidFill>
                <a:schemeClr val="bg2">
                  <a:lumMod val="75000"/>
                  <a:alpha val="11000"/>
                </a:schemeClr>
              </a:solidFill>
              <a:effectLst>
                <a:outerShdw blurRad="38100" dist="25400" dir="5400000" algn="ctr" rotWithShape="0">
                  <a:srgbClr val="6E747A">
                    <a:alpha val="43000"/>
                  </a:srgbClr>
                </a:outerShdw>
              </a:effectLst>
            </a:rPr>
            <a:t>泰</a:t>
          </a:r>
          <a:r>
            <a:rPr lang="en-US" altLang="zh-CN" sz="3600" b="1">
              <a:solidFill>
                <a:schemeClr val="bg2">
                  <a:lumMod val="75000"/>
                  <a:alpha val="11000"/>
                </a:schemeClr>
              </a:solidFill>
              <a:effectLst>
                <a:outerShdw blurRad="38100" dist="25400" dir="5400000" algn="ctr" rotWithShape="0">
                  <a:srgbClr val="6E747A">
                    <a:alpha val="43000"/>
                  </a:srgbClr>
                </a:outerShdw>
              </a:effectLst>
            </a:rPr>
            <a:t> </a:t>
          </a:r>
          <a:r>
            <a:rPr lang="zh-CN" altLang="en-US" sz="3600" b="1">
              <a:solidFill>
                <a:schemeClr val="bg2">
                  <a:lumMod val="75000"/>
                  <a:alpha val="11000"/>
                </a:schemeClr>
              </a:solidFill>
              <a:effectLst>
                <a:outerShdw blurRad="38100" dist="25400" dir="5400000" algn="ctr" rotWithShape="0">
                  <a:srgbClr val="6E747A">
                    <a:alpha val="43000"/>
                  </a:srgbClr>
                </a:outerShdw>
              </a:effectLst>
            </a:rPr>
            <a:t>君</a:t>
          </a:r>
          <a:r>
            <a:rPr lang="en-US" altLang="zh-CN" sz="3600" b="1">
              <a:solidFill>
                <a:schemeClr val="bg2">
                  <a:lumMod val="75000"/>
                  <a:alpha val="11000"/>
                </a:schemeClr>
              </a:solidFill>
              <a:effectLst>
                <a:outerShdw blurRad="38100" dist="25400" dir="5400000" algn="ctr" rotWithShape="0">
                  <a:srgbClr val="6E747A">
                    <a:alpha val="43000"/>
                  </a:srgbClr>
                </a:outerShdw>
              </a:effectLst>
            </a:rPr>
            <a:t> </a:t>
          </a:r>
          <a:r>
            <a:rPr lang="zh-CN" altLang="en-US" sz="3600" b="1">
              <a:solidFill>
                <a:schemeClr val="bg2">
                  <a:lumMod val="75000"/>
                  <a:alpha val="11000"/>
                </a:schemeClr>
              </a:solidFill>
              <a:effectLst>
                <a:outerShdw blurRad="38100" dist="25400" dir="5400000" algn="ctr" rotWithShape="0">
                  <a:srgbClr val="6E747A">
                    <a:alpha val="43000"/>
                  </a:srgbClr>
                </a:outerShdw>
              </a:effectLst>
            </a:rPr>
            <a:t>安</a:t>
          </a:r>
          <a:r>
            <a:rPr lang="en-US" altLang="zh-CN" sz="3600" b="1">
              <a:solidFill>
                <a:schemeClr val="bg2">
                  <a:lumMod val="75000"/>
                  <a:alpha val="11000"/>
                </a:schemeClr>
              </a:solidFill>
              <a:effectLst>
                <a:outerShdw blurRad="38100" dist="25400" dir="5400000" algn="ctr" rotWithShape="0">
                  <a:srgbClr val="6E747A">
                    <a:alpha val="43000"/>
                  </a:srgbClr>
                </a:outerShdw>
              </a:effectLst>
            </a:rPr>
            <a:t> </a:t>
          </a:r>
          <a:r>
            <a:rPr lang="zh-CN" altLang="en-US" sz="3600" b="1">
              <a:solidFill>
                <a:schemeClr val="bg2">
                  <a:lumMod val="75000"/>
                  <a:alpha val="11000"/>
                </a:schemeClr>
              </a:solidFill>
              <a:effectLst>
                <a:outerShdw blurRad="38100" dist="25400" dir="5400000" algn="ctr" rotWithShape="0">
                  <a:srgbClr val="6E747A">
                    <a:alpha val="43000"/>
                  </a:srgbClr>
                </a:outerShdw>
              </a:effectLst>
            </a:rPr>
            <a:t>期</a:t>
          </a:r>
          <a:r>
            <a:rPr lang="en-US" altLang="zh-CN" sz="3600" b="1">
              <a:solidFill>
                <a:schemeClr val="bg2">
                  <a:lumMod val="75000"/>
                  <a:alpha val="11000"/>
                </a:schemeClr>
              </a:solidFill>
              <a:effectLst>
                <a:outerShdw blurRad="38100" dist="25400" dir="5400000" algn="ctr" rotWithShape="0">
                  <a:srgbClr val="6E747A">
                    <a:alpha val="43000"/>
                  </a:srgbClr>
                </a:outerShdw>
              </a:effectLst>
            </a:rPr>
            <a:t> </a:t>
          </a:r>
          <a:r>
            <a:rPr lang="zh-CN" altLang="en-US" sz="3600" b="1">
              <a:solidFill>
                <a:schemeClr val="bg2">
                  <a:lumMod val="75000"/>
                  <a:alpha val="11000"/>
                </a:schemeClr>
              </a:solidFill>
              <a:effectLst>
                <a:outerShdw blurRad="38100" dist="25400" dir="5400000" algn="ctr" rotWithShape="0">
                  <a:srgbClr val="6E747A">
                    <a:alpha val="43000"/>
                  </a:srgbClr>
                </a:outerShdw>
              </a:effectLst>
            </a:rPr>
            <a:t>货</a:t>
          </a:r>
        </a:p>
      </xdr:txBody>
    </xdr:sp>
    <xdr:clientData/>
  </xdr:oneCellAnchor>
  <xdr:oneCellAnchor>
    <xdr:from>
      <xdr:col>14</xdr:col>
      <xdr:colOff>258439</xdr:colOff>
      <xdr:row>17</xdr:row>
      <xdr:rowOff>1221552</xdr:rowOff>
    </xdr:from>
    <xdr:ext cx="3476593" cy="717632"/>
    <xdr:sp macro="" textlink="">
      <xdr:nvSpPr>
        <xdr:cNvPr id="5" name="矩形 4"/>
        <xdr:cNvSpPr/>
      </xdr:nvSpPr>
      <xdr:spPr>
        <a:xfrm rot="19620000">
          <a:off x="23794085" y="11376025"/>
          <a:ext cx="3476625" cy="717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3600" b="1">
              <a:solidFill>
                <a:schemeClr val="bg2">
                  <a:lumMod val="75000"/>
                  <a:alpha val="11000"/>
                </a:schemeClr>
              </a:solidFill>
              <a:effectLst>
                <a:outerShdw blurRad="38100" dist="25400" dir="5400000" algn="ctr" rotWithShape="0">
                  <a:srgbClr val="6E747A">
                    <a:alpha val="43000"/>
                  </a:srgbClr>
                </a:outerShdw>
              </a:effectLst>
            </a:rPr>
            <a:t>国</a:t>
          </a:r>
          <a:r>
            <a:rPr lang="en-US" altLang="zh-CN" sz="3600" b="1">
              <a:solidFill>
                <a:schemeClr val="bg2">
                  <a:lumMod val="75000"/>
                  <a:alpha val="11000"/>
                </a:schemeClr>
              </a:solidFill>
              <a:effectLst>
                <a:outerShdw blurRad="38100" dist="25400" dir="5400000" algn="ctr" rotWithShape="0">
                  <a:srgbClr val="6E747A">
                    <a:alpha val="43000"/>
                  </a:srgbClr>
                </a:outerShdw>
              </a:effectLst>
            </a:rPr>
            <a:t> </a:t>
          </a:r>
          <a:r>
            <a:rPr lang="zh-CN" altLang="en-US" sz="3600" b="1">
              <a:solidFill>
                <a:schemeClr val="bg2">
                  <a:lumMod val="75000"/>
                  <a:alpha val="11000"/>
                </a:schemeClr>
              </a:solidFill>
              <a:effectLst>
                <a:outerShdw blurRad="38100" dist="25400" dir="5400000" algn="ctr" rotWithShape="0">
                  <a:srgbClr val="6E747A">
                    <a:alpha val="43000"/>
                  </a:srgbClr>
                </a:outerShdw>
              </a:effectLst>
            </a:rPr>
            <a:t>泰</a:t>
          </a:r>
          <a:r>
            <a:rPr lang="en-US" altLang="zh-CN" sz="3600" b="1">
              <a:solidFill>
                <a:schemeClr val="bg2">
                  <a:lumMod val="75000"/>
                  <a:alpha val="11000"/>
                </a:schemeClr>
              </a:solidFill>
              <a:effectLst>
                <a:outerShdw blurRad="38100" dist="25400" dir="5400000" algn="ctr" rotWithShape="0">
                  <a:srgbClr val="6E747A">
                    <a:alpha val="43000"/>
                  </a:srgbClr>
                </a:outerShdw>
              </a:effectLst>
            </a:rPr>
            <a:t> </a:t>
          </a:r>
          <a:r>
            <a:rPr lang="zh-CN" altLang="en-US" sz="3600" b="1">
              <a:solidFill>
                <a:schemeClr val="bg2">
                  <a:lumMod val="75000"/>
                  <a:alpha val="11000"/>
                </a:schemeClr>
              </a:solidFill>
              <a:effectLst>
                <a:outerShdw blurRad="38100" dist="25400" dir="5400000" algn="ctr" rotWithShape="0">
                  <a:srgbClr val="6E747A">
                    <a:alpha val="43000"/>
                  </a:srgbClr>
                </a:outerShdw>
              </a:effectLst>
            </a:rPr>
            <a:t>君</a:t>
          </a:r>
          <a:r>
            <a:rPr lang="en-US" altLang="zh-CN" sz="3600" b="1">
              <a:solidFill>
                <a:schemeClr val="bg2">
                  <a:lumMod val="75000"/>
                  <a:alpha val="11000"/>
                </a:schemeClr>
              </a:solidFill>
              <a:effectLst>
                <a:outerShdw blurRad="38100" dist="25400" dir="5400000" algn="ctr" rotWithShape="0">
                  <a:srgbClr val="6E747A">
                    <a:alpha val="43000"/>
                  </a:srgbClr>
                </a:outerShdw>
              </a:effectLst>
            </a:rPr>
            <a:t> </a:t>
          </a:r>
          <a:r>
            <a:rPr lang="zh-CN" altLang="en-US" sz="3600" b="1">
              <a:solidFill>
                <a:schemeClr val="bg2">
                  <a:lumMod val="75000"/>
                  <a:alpha val="11000"/>
                </a:schemeClr>
              </a:solidFill>
              <a:effectLst>
                <a:outerShdw blurRad="38100" dist="25400" dir="5400000" algn="ctr" rotWithShape="0">
                  <a:srgbClr val="6E747A">
                    <a:alpha val="43000"/>
                  </a:srgbClr>
                </a:outerShdw>
              </a:effectLst>
            </a:rPr>
            <a:t>安</a:t>
          </a:r>
          <a:r>
            <a:rPr lang="en-US" altLang="zh-CN" sz="3600" b="1">
              <a:solidFill>
                <a:schemeClr val="bg2">
                  <a:lumMod val="75000"/>
                  <a:alpha val="11000"/>
                </a:schemeClr>
              </a:solidFill>
              <a:effectLst>
                <a:outerShdw blurRad="38100" dist="25400" dir="5400000" algn="ctr" rotWithShape="0">
                  <a:srgbClr val="6E747A">
                    <a:alpha val="43000"/>
                  </a:srgbClr>
                </a:outerShdw>
              </a:effectLst>
            </a:rPr>
            <a:t> </a:t>
          </a:r>
          <a:r>
            <a:rPr lang="zh-CN" altLang="en-US" sz="3600" b="1">
              <a:solidFill>
                <a:schemeClr val="bg2">
                  <a:lumMod val="75000"/>
                  <a:alpha val="11000"/>
                </a:schemeClr>
              </a:solidFill>
              <a:effectLst>
                <a:outerShdw blurRad="38100" dist="25400" dir="5400000" algn="ctr" rotWithShape="0">
                  <a:srgbClr val="6E747A">
                    <a:alpha val="43000"/>
                  </a:srgbClr>
                </a:outerShdw>
              </a:effectLst>
            </a:rPr>
            <a:t>期</a:t>
          </a:r>
          <a:r>
            <a:rPr lang="en-US" altLang="zh-CN" sz="3600" b="1">
              <a:solidFill>
                <a:schemeClr val="bg2">
                  <a:lumMod val="75000"/>
                  <a:alpha val="11000"/>
                </a:schemeClr>
              </a:solidFill>
              <a:effectLst>
                <a:outerShdw blurRad="38100" dist="25400" dir="5400000" algn="ctr" rotWithShape="0">
                  <a:srgbClr val="6E747A">
                    <a:alpha val="43000"/>
                  </a:srgbClr>
                </a:outerShdw>
              </a:effectLst>
            </a:rPr>
            <a:t> </a:t>
          </a:r>
          <a:r>
            <a:rPr lang="zh-CN" altLang="en-US" sz="3600" b="1">
              <a:solidFill>
                <a:schemeClr val="bg2">
                  <a:lumMod val="75000"/>
                  <a:alpha val="11000"/>
                </a:schemeClr>
              </a:solidFill>
              <a:effectLst>
                <a:outerShdw blurRad="38100" dist="25400" dir="5400000" algn="ctr" rotWithShape="0">
                  <a:srgbClr val="6E747A">
                    <a:alpha val="43000"/>
                  </a:srgbClr>
                </a:outerShdw>
              </a:effectLst>
            </a:rPr>
            <a:t>货</a:t>
          </a:r>
        </a:p>
      </xdr:txBody>
    </xdr:sp>
    <xdr:clientData/>
  </xdr:oneCellAnchor>
  <xdr:oneCellAnchor>
    <xdr:from>
      <xdr:col>6</xdr:col>
      <xdr:colOff>1158271</xdr:colOff>
      <xdr:row>30</xdr:row>
      <xdr:rowOff>607841</xdr:rowOff>
    </xdr:from>
    <xdr:ext cx="3476593" cy="717632"/>
    <xdr:sp macro="" textlink="">
      <xdr:nvSpPr>
        <xdr:cNvPr id="6" name="矩形 5"/>
        <xdr:cNvSpPr/>
      </xdr:nvSpPr>
      <xdr:spPr>
        <a:xfrm rot="19620000">
          <a:off x="9168765" y="21387435"/>
          <a:ext cx="3475990" cy="717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3600" b="1">
              <a:solidFill>
                <a:schemeClr val="bg2">
                  <a:lumMod val="75000"/>
                  <a:alpha val="11000"/>
                </a:schemeClr>
              </a:solidFill>
              <a:effectLst>
                <a:outerShdw blurRad="38100" dist="25400" dir="5400000" algn="ctr" rotWithShape="0">
                  <a:srgbClr val="6E747A">
                    <a:alpha val="43000"/>
                  </a:srgbClr>
                </a:outerShdw>
              </a:effectLst>
            </a:rPr>
            <a:t>国</a:t>
          </a:r>
          <a:r>
            <a:rPr lang="en-US" altLang="zh-CN" sz="3600" b="1">
              <a:solidFill>
                <a:schemeClr val="bg2">
                  <a:lumMod val="75000"/>
                  <a:alpha val="11000"/>
                </a:schemeClr>
              </a:solidFill>
              <a:effectLst>
                <a:outerShdw blurRad="38100" dist="25400" dir="5400000" algn="ctr" rotWithShape="0">
                  <a:srgbClr val="6E747A">
                    <a:alpha val="43000"/>
                  </a:srgbClr>
                </a:outerShdw>
              </a:effectLst>
            </a:rPr>
            <a:t> </a:t>
          </a:r>
          <a:r>
            <a:rPr lang="zh-CN" altLang="en-US" sz="3600" b="1">
              <a:solidFill>
                <a:schemeClr val="bg2">
                  <a:lumMod val="75000"/>
                  <a:alpha val="11000"/>
                </a:schemeClr>
              </a:solidFill>
              <a:effectLst>
                <a:outerShdw blurRad="38100" dist="25400" dir="5400000" algn="ctr" rotWithShape="0">
                  <a:srgbClr val="6E747A">
                    <a:alpha val="43000"/>
                  </a:srgbClr>
                </a:outerShdw>
              </a:effectLst>
            </a:rPr>
            <a:t>泰</a:t>
          </a:r>
          <a:r>
            <a:rPr lang="en-US" altLang="zh-CN" sz="3600" b="1">
              <a:solidFill>
                <a:schemeClr val="bg2">
                  <a:lumMod val="75000"/>
                  <a:alpha val="11000"/>
                </a:schemeClr>
              </a:solidFill>
              <a:effectLst>
                <a:outerShdw blurRad="38100" dist="25400" dir="5400000" algn="ctr" rotWithShape="0">
                  <a:srgbClr val="6E747A">
                    <a:alpha val="43000"/>
                  </a:srgbClr>
                </a:outerShdw>
              </a:effectLst>
            </a:rPr>
            <a:t> </a:t>
          </a:r>
          <a:r>
            <a:rPr lang="zh-CN" altLang="en-US" sz="3600" b="1">
              <a:solidFill>
                <a:schemeClr val="bg2">
                  <a:lumMod val="75000"/>
                  <a:alpha val="11000"/>
                </a:schemeClr>
              </a:solidFill>
              <a:effectLst>
                <a:outerShdw blurRad="38100" dist="25400" dir="5400000" algn="ctr" rotWithShape="0">
                  <a:srgbClr val="6E747A">
                    <a:alpha val="43000"/>
                  </a:srgbClr>
                </a:outerShdw>
              </a:effectLst>
            </a:rPr>
            <a:t>君</a:t>
          </a:r>
          <a:r>
            <a:rPr lang="en-US" altLang="zh-CN" sz="3600" b="1">
              <a:solidFill>
                <a:schemeClr val="bg2">
                  <a:lumMod val="75000"/>
                  <a:alpha val="11000"/>
                </a:schemeClr>
              </a:solidFill>
              <a:effectLst>
                <a:outerShdw blurRad="38100" dist="25400" dir="5400000" algn="ctr" rotWithShape="0">
                  <a:srgbClr val="6E747A">
                    <a:alpha val="43000"/>
                  </a:srgbClr>
                </a:outerShdw>
              </a:effectLst>
            </a:rPr>
            <a:t> </a:t>
          </a:r>
          <a:r>
            <a:rPr lang="zh-CN" altLang="en-US" sz="3600" b="1">
              <a:solidFill>
                <a:schemeClr val="bg2">
                  <a:lumMod val="75000"/>
                  <a:alpha val="11000"/>
                </a:schemeClr>
              </a:solidFill>
              <a:effectLst>
                <a:outerShdw blurRad="38100" dist="25400" dir="5400000" algn="ctr" rotWithShape="0">
                  <a:srgbClr val="6E747A">
                    <a:alpha val="43000"/>
                  </a:srgbClr>
                </a:outerShdw>
              </a:effectLst>
            </a:rPr>
            <a:t>安</a:t>
          </a:r>
          <a:r>
            <a:rPr lang="en-US" altLang="zh-CN" sz="3600" b="1">
              <a:solidFill>
                <a:schemeClr val="bg2">
                  <a:lumMod val="75000"/>
                  <a:alpha val="11000"/>
                </a:schemeClr>
              </a:solidFill>
              <a:effectLst>
                <a:outerShdw blurRad="38100" dist="25400" dir="5400000" algn="ctr" rotWithShape="0">
                  <a:srgbClr val="6E747A">
                    <a:alpha val="43000"/>
                  </a:srgbClr>
                </a:outerShdw>
              </a:effectLst>
            </a:rPr>
            <a:t> </a:t>
          </a:r>
          <a:r>
            <a:rPr lang="zh-CN" altLang="en-US" sz="3600" b="1">
              <a:solidFill>
                <a:schemeClr val="bg2">
                  <a:lumMod val="75000"/>
                  <a:alpha val="11000"/>
                </a:schemeClr>
              </a:solidFill>
              <a:effectLst>
                <a:outerShdw blurRad="38100" dist="25400" dir="5400000" algn="ctr" rotWithShape="0">
                  <a:srgbClr val="6E747A">
                    <a:alpha val="43000"/>
                  </a:srgbClr>
                </a:outerShdw>
              </a:effectLst>
            </a:rPr>
            <a:t>期</a:t>
          </a:r>
          <a:r>
            <a:rPr lang="en-US" altLang="zh-CN" sz="3600" b="1">
              <a:solidFill>
                <a:schemeClr val="bg2">
                  <a:lumMod val="75000"/>
                  <a:alpha val="11000"/>
                </a:schemeClr>
              </a:solidFill>
              <a:effectLst>
                <a:outerShdw blurRad="38100" dist="25400" dir="5400000" algn="ctr" rotWithShape="0">
                  <a:srgbClr val="6E747A">
                    <a:alpha val="43000"/>
                  </a:srgbClr>
                </a:outerShdw>
              </a:effectLst>
            </a:rPr>
            <a:t> </a:t>
          </a:r>
          <a:r>
            <a:rPr lang="zh-CN" altLang="en-US" sz="3600" b="1">
              <a:solidFill>
                <a:schemeClr val="bg2">
                  <a:lumMod val="75000"/>
                  <a:alpha val="11000"/>
                </a:schemeClr>
              </a:solidFill>
              <a:effectLst>
                <a:outerShdw blurRad="38100" dist="25400" dir="5400000" algn="ctr" rotWithShape="0">
                  <a:srgbClr val="6E747A">
                    <a:alpha val="43000"/>
                  </a:srgbClr>
                </a:outerShdw>
              </a:effectLst>
            </a:rPr>
            <a:t>货</a:t>
          </a:r>
        </a:p>
      </xdr:txBody>
    </xdr:sp>
    <xdr:clientData/>
  </xdr:oneCellAnchor>
  <xdr:oneCellAnchor>
    <xdr:from>
      <xdr:col>14</xdr:col>
      <xdr:colOff>473107</xdr:colOff>
      <xdr:row>30</xdr:row>
      <xdr:rowOff>607841</xdr:rowOff>
    </xdr:from>
    <xdr:ext cx="3476593" cy="717632"/>
    <xdr:sp macro="" textlink="">
      <xdr:nvSpPr>
        <xdr:cNvPr id="7" name="矩形 6"/>
        <xdr:cNvSpPr/>
      </xdr:nvSpPr>
      <xdr:spPr>
        <a:xfrm rot="19620000">
          <a:off x="24009350" y="21387435"/>
          <a:ext cx="3476625" cy="717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3600" b="1">
              <a:solidFill>
                <a:schemeClr val="bg2">
                  <a:lumMod val="75000"/>
                  <a:alpha val="11000"/>
                </a:schemeClr>
              </a:solidFill>
              <a:effectLst>
                <a:outerShdw blurRad="38100" dist="25400" dir="5400000" algn="ctr" rotWithShape="0">
                  <a:srgbClr val="6E747A">
                    <a:alpha val="43000"/>
                  </a:srgbClr>
                </a:outerShdw>
              </a:effectLst>
            </a:rPr>
            <a:t>国</a:t>
          </a:r>
          <a:r>
            <a:rPr lang="en-US" altLang="zh-CN" sz="3600" b="1">
              <a:solidFill>
                <a:schemeClr val="bg2">
                  <a:lumMod val="75000"/>
                  <a:alpha val="11000"/>
                </a:schemeClr>
              </a:solidFill>
              <a:effectLst>
                <a:outerShdw blurRad="38100" dist="25400" dir="5400000" algn="ctr" rotWithShape="0">
                  <a:srgbClr val="6E747A">
                    <a:alpha val="43000"/>
                  </a:srgbClr>
                </a:outerShdw>
              </a:effectLst>
            </a:rPr>
            <a:t> </a:t>
          </a:r>
          <a:r>
            <a:rPr lang="zh-CN" altLang="en-US" sz="3600" b="1">
              <a:solidFill>
                <a:schemeClr val="bg2">
                  <a:lumMod val="75000"/>
                  <a:alpha val="11000"/>
                </a:schemeClr>
              </a:solidFill>
              <a:effectLst>
                <a:outerShdw blurRad="38100" dist="25400" dir="5400000" algn="ctr" rotWithShape="0">
                  <a:srgbClr val="6E747A">
                    <a:alpha val="43000"/>
                  </a:srgbClr>
                </a:outerShdw>
              </a:effectLst>
            </a:rPr>
            <a:t>泰</a:t>
          </a:r>
          <a:r>
            <a:rPr lang="en-US" altLang="zh-CN" sz="3600" b="1">
              <a:solidFill>
                <a:schemeClr val="bg2">
                  <a:lumMod val="75000"/>
                  <a:alpha val="11000"/>
                </a:schemeClr>
              </a:solidFill>
              <a:effectLst>
                <a:outerShdw blurRad="38100" dist="25400" dir="5400000" algn="ctr" rotWithShape="0">
                  <a:srgbClr val="6E747A">
                    <a:alpha val="43000"/>
                  </a:srgbClr>
                </a:outerShdw>
              </a:effectLst>
            </a:rPr>
            <a:t> </a:t>
          </a:r>
          <a:r>
            <a:rPr lang="zh-CN" altLang="en-US" sz="3600" b="1">
              <a:solidFill>
                <a:schemeClr val="bg2">
                  <a:lumMod val="75000"/>
                  <a:alpha val="11000"/>
                </a:schemeClr>
              </a:solidFill>
              <a:effectLst>
                <a:outerShdw blurRad="38100" dist="25400" dir="5400000" algn="ctr" rotWithShape="0">
                  <a:srgbClr val="6E747A">
                    <a:alpha val="43000"/>
                  </a:srgbClr>
                </a:outerShdw>
              </a:effectLst>
            </a:rPr>
            <a:t>君</a:t>
          </a:r>
          <a:r>
            <a:rPr lang="en-US" altLang="zh-CN" sz="3600" b="1">
              <a:solidFill>
                <a:schemeClr val="bg2">
                  <a:lumMod val="75000"/>
                  <a:alpha val="11000"/>
                </a:schemeClr>
              </a:solidFill>
              <a:effectLst>
                <a:outerShdw blurRad="38100" dist="25400" dir="5400000" algn="ctr" rotWithShape="0">
                  <a:srgbClr val="6E747A">
                    <a:alpha val="43000"/>
                  </a:srgbClr>
                </a:outerShdw>
              </a:effectLst>
            </a:rPr>
            <a:t> </a:t>
          </a:r>
          <a:r>
            <a:rPr lang="zh-CN" altLang="en-US" sz="3600" b="1">
              <a:solidFill>
                <a:schemeClr val="bg2">
                  <a:lumMod val="75000"/>
                  <a:alpha val="11000"/>
                </a:schemeClr>
              </a:solidFill>
              <a:effectLst>
                <a:outerShdw blurRad="38100" dist="25400" dir="5400000" algn="ctr" rotWithShape="0">
                  <a:srgbClr val="6E747A">
                    <a:alpha val="43000"/>
                  </a:srgbClr>
                </a:outerShdw>
              </a:effectLst>
            </a:rPr>
            <a:t>安</a:t>
          </a:r>
          <a:r>
            <a:rPr lang="en-US" altLang="zh-CN" sz="3600" b="1">
              <a:solidFill>
                <a:schemeClr val="bg2">
                  <a:lumMod val="75000"/>
                  <a:alpha val="11000"/>
                </a:schemeClr>
              </a:solidFill>
              <a:effectLst>
                <a:outerShdw blurRad="38100" dist="25400" dir="5400000" algn="ctr" rotWithShape="0">
                  <a:srgbClr val="6E747A">
                    <a:alpha val="43000"/>
                  </a:srgbClr>
                </a:outerShdw>
              </a:effectLst>
            </a:rPr>
            <a:t> </a:t>
          </a:r>
          <a:r>
            <a:rPr lang="zh-CN" altLang="en-US" sz="3600" b="1">
              <a:solidFill>
                <a:schemeClr val="bg2">
                  <a:lumMod val="75000"/>
                  <a:alpha val="11000"/>
                </a:schemeClr>
              </a:solidFill>
              <a:effectLst>
                <a:outerShdw blurRad="38100" dist="25400" dir="5400000" algn="ctr" rotWithShape="0">
                  <a:srgbClr val="6E747A">
                    <a:alpha val="43000"/>
                  </a:srgbClr>
                </a:outerShdw>
              </a:effectLst>
            </a:rPr>
            <a:t>期</a:t>
          </a:r>
          <a:r>
            <a:rPr lang="en-US" altLang="zh-CN" sz="3600" b="1">
              <a:solidFill>
                <a:schemeClr val="bg2">
                  <a:lumMod val="75000"/>
                  <a:alpha val="11000"/>
                </a:schemeClr>
              </a:solidFill>
              <a:effectLst>
                <a:outerShdw blurRad="38100" dist="25400" dir="5400000" algn="ctr" rotWithShape="0">
                  <a:srgbClr val="6E747A">
                    <a:alpha val="43000"/>
                  </a:srgbClr>
                </a:outerShdw>
              </a:effectLst>
            </a:rPr>
            <a:t> </a:t>
          </a:r>
          <a:r>
            <a:rPr lang="zh-CN" altLang="en-US" sz="3600" b="1">
              <a:solidFill>
                <a:schemeClr val="bg2">
                  <a:lumMod val="75000"/>
                  <a:alpha val="11000"/>
                </a:schemeClr>
              </a:solidFill>
              <a:effectLst>
                <a:outerShdw blurRad="38100" dist="25400" dir="5400000" algn="ctr" rotWithShape="0">
                  <a:srgbClr val="6E747A">
                    <a:alpha val="43000"/>
                  </a:srgbClr>
                </a:outerShdw>
              </a:effectLst>
            </a:rPr>
            <a:t>货</a:t>
          </a:r>
        </a:p>
      </xdr:txBody>
    </xdr:sp>
    <xdr:clientData/>
  </xdr:oneCellAnchor>
  <xdr:oneCellAnchor>
    <xdr:from>
      <xdr:col>5</xdr:col>
      <xdr:colOff>1177966</xdr:colOff>
      <xdr:row>40</xdr:row>
      <xdr:rowOff>485731</xdr:rowOff>
    </xdr:from>
    <xdr:ext cx="3476593" cy="717632"/>
    <xdr:sp macro="" textlink="">
      <xdr:nvSpPr>
        <xdr:cNvPr id="8" name="矩形 7"/>
        <xdr:cNvSpPr/>
      </xdr:nvSpPr>
      <xdr:spPr>
        <a:xfrm rot="19620000">
          <a:off x="6988175" y="31245810"/>
          <a:ext cx="3476625" cy="7181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3600" b="1">
              <a:solidFill>
                <a:schemeClr val="bg2">
                  <a:lumMod val="75000"/>
                  <a:alpha val="11000"/>
                </a:schemeClr>
              </a:solidFill>
              <a:effectLst>
                <a:outerShdw blurRad="38100" dist="25400" dir="5400000" algn="ctr" rotWithShape="0">
                  <a:srgbClr val="6E747A">
                    <a:alpha val="43000"/>
                  </a:srgbClr>
                </a:outerShdw>
              </a:effectLst>
            </a:rPr>
            <a:t>国</a:t>
          </a:r>
          <a:r>
            <a:rPr lang="en-US" altLang="zh-CN" sz="3600" b="1">
              <a:solidFill>
                <a:schemeClr val="bg2">
                  <a:lumMod val="75000"/>
                  <a:alpha val="11000"/>
                </a:schemeClr>
              </a:solidFill>
              <a:effectLst>
                <a:outerShdw blurRad="38100" dist="25400" dir="5400000" algn="ctr" rotWithShape="0">
                  <a:srgbClr val="6E747A">
                    <a:alpha val="43000"/>
                  </a:srgbClr>
                </a:outerShdw>
              </a:effectLst>
            </a:rPr>
            <a:t> </a:t>
          </a:r>
          <a:r>
            <a:rPr lang="zh-CN" altLang="en-US" sz="3600" b="1">
              <a:solidFill>
                <a:schemeClr val="bg2">
                  <a:lumMod val="75000"/>
                  <a:alpha val="11000"/>
                </a:schemeClr>
              </a:solidFill>
              <a:effectLst>
                <a:outerShdw blurRad="38100" dist="25400" dir="5400000" algn="ctr" rotWithShape="0">
                  <a:srgbClr val="6E747A">
                    <a:alpha val="43000"/>
                  </a:srgbClr>
                </a:outerShdw>
              </a:effectLst>
            </a:rPr>
            <a:t>泰</a:t>
          </a:r>
          <a:r>
            <a:rPr lang="en-US" altLang="zh-CN" sz="3600" b="1">
              <a:solidFill>
                <a:schemeClr val="bg2">
                  <a:lumMod val="75000"/>
                  <a:alpha val="11000"/>
                </a:schemeClr>
              </a:solidFill>
              <a:effectLst>
                <a:outerShdw blurRad="38100" dist="25400" dir="5400000" algn="ctr" rotWithShape="0">
                  <a:srgbClr val="6E747A">
                    <a:alpha val="43000"/>
                  </a:srgbClr>
                </a:outerShdw>
              </a:effectLst>
            </a:rPr>
            <a:t> </a:t>
          </a:r>
          <a:r>
            <a:rPr lang="zh-CN" altLang="en-US" sz="3600" b="1">
              <a:solidFill>
                <a:schemeClr val="bg2">
                  <a:lumMod val="75000"/>
                  <a:alpha val="11000"/>
                </a:schemeClr>
              </a:solidFill>
              <a:effectLst>
                <a:outerShdw blurRad="38100" dist="25400" dir="5400000" algn="ctr" rotWithShape="0">
                  <a:srgbClr val="6E747A">
                    <a:alpha val="43000"/>
                  </a:srgbClr>
                </a:outerShdw>
              </a:effectLst>
            </a:rPr>
            <a:t>君</a:t>
          </a:r>
          <a:r>
            <a:rPr lang="en-US" altLang="zh-CN" sz="3600" b="1">
              <a:solidFill>
                <a:schemeClr val="bg2">
                  <a:lumMod val="75000"/>
                  <a:alpha val="11000"/>
                </a:schemeClr>
              </a:solidFill>
              <a:effectLst>
                <a:outerShdw blurRad="38100" dist="25400" dir="5400000" algn="ctr" rotWithShape="0">
                  <a:srgbClr val="6E747A">
                    <a:alpha val="43000"/>
                  </a:srgbClr>
                </a:outerShdw>
              </a:effectLst>
            </a:rPr>
            <a:t> </a:t>
          </a:r>
          <a:r>
            <a:rPr lang="zh-CN" altLang="en-US" sz="3600" b="1">
              <a:solidFill>
                <a:schemeClr val="bg2">
                  <a:lumMod val="75000"/>
                  <a:alpha val="11000"/>
                </a:schemeClr>
              </a:solidFill>
              <a:effectLst>
                <a:outerShdw blurRad="38100" dist="25400" dir="5400000" algn="ctr" rotWithShape="0">
                  <a:srgbClr val="6E747A">
                    <a:alpha val="43000"/>
                  </a:srgbClr>
                </a:outerShdw>
              </a:effectLst>
            </a:rPr>
            <a:t>安</a:t>
          </a:r>
          <a:r>
            <a:rPr lang="en-US" altLang="zh-CN" sz="3600" b="1">
              <a:solidFill>
                <a:schemeClr val="bg2">
                  <a:lumMod val="75000"/>
                  <a:alpha val="11000"/>
                </a:schemeClr>
              </a:solidFill>
              <a:effectLst>
                <a:outerShdw blurRad="38100" dist="25400" dir="5400000" algn="ctr" rotWithShape="0">
                  <a:srgbClr val="6E747A">
                    <a:alpha val="43000"/>
                  </a:srgbClr>
                </a:outerShdw>
              </a:effectLst>
            </a:rPr>
            <a:t> </a:t>
          </a:r>
          <a:r>
            <a:rPr lang="zh-CN" altLang="en-US" sz="3600" b="1">
              <a:solidFill>
                <a:schemeClr val="bg2">
                  <a:lumMod val="75000"/>
                  <a:alpha val="11000"/>
                </a:schemeClr>
              </a:solidFill>
              <a:effectLst>
                <a:outerShdw blurRad="38100" dist="25400" dir="5400000" algn="ctr" rotWithShape="0">
                  <a:srgbClr val="6E747A">
                    <a:alpha val="43000"/>
                  </a:srgbClr>
                </a:outerShdw>
              </a:effectLst>
            </a:rPr>
            <a:t>期</a:t>
          </a:r>
          <a:r>
            <a:rPr lang="en-US" altLang="zh-CN" sz="3600" b="1">
              <a:solidFill>
                <a:schemeClr val="bg2">
                  <a:lumMod val="75000"/>
                  <a:alpha val="11000"/>
                </a:schemeClr>
              </a:solidFill>
              <a:effectLst>
                <a:outerShdw blurRad="38100" dist="25400" dir="5400000" algn="ctr" rotWithShape="0">
                  <a:srgbClr val="6E747A">
                    <a:alpha val="43000"/>
                  </a:srgbClr>
                </a:outerShdw>
              </a:effectLst>
            </a:rPr>
            <a:t> </a:t>
          </a:r>
          <a:r>
            <a:rPr lang="zh-CN" altLang="en-US" sz="3600" b="1">
              <a:solidFill>
                <a:schemeClr val="bg2">
                  <a:lumMod val="75000"/>
                  <a:alpha val="11000"/>
                </a:schemeClr>
              </a:solidFill>
              <a:effectLst>
                <a:outerShdw blurRad="38100" dist="25400" dir="5400000" algn="ctr" rotWithShape="0">
                  <a:srgbClr val="6E747A">
                    <a:alpha val="43000"/>
                  </a:srgbClr>
                </a:outerShdw>
              </a:effectLst>
            </a:rPr>
            <a:t>货</a:t>
          </a:r>
        </a:p>
      </xdr:txBody>
    </xdr:sp>
    <xdr:clientData/>
  </xdr:oneCellAnchor>
  <xdr:oneCellAnchor>
    <xdr:from>
      <xdr:col>13</xdr:col>
      <xdr:colOff>419727</xdr:colOff>
      <xdr:row>40</xdr:row>
      <xdr:rowOff>485731</xdr:rowOff>
    </xdr:from>
    <xdr:ext cx="3476593" cy="717632"/>
    <xdr:sp macro="" textlink="">
      <xdr:nvSpPr>
        <xdr:cNvPr id="9" name="矩形 8"/>
        <xdr:cNvSpPr/>
      </xdr:nvSpPr>
      <xdr:spPr>
        <a:xfrm rot="19620000">
          <a:off x="22459950" y="31245810"/>
          <a:ext cx="3476625" cy="7181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3600" b="1">
              <a:solidFill>
                <a:schemeClr val="bg2">
                  <a:lumMod val="75000"/>
                  <a:alpha val="11000"/>
                </a:schemeClr>
              </a:solidFill>
              <a:effectLst>
                <a:outerShdw blurRad="38100" dist="25400" dir="5400000" algn="ctr" rotWithShape="0">
                  <a:srgbClr val="6E747A">
                    <a:alpha val="43000"/>
                  </a:srgbClr>
                </a:outerShdw>
              </a:effectLst>
            </a:rPr>
            <a:t>国</a:t>
          </a:r>
          <a:r>
            <a:rPr lang="en-US" altLang="zh-CN" sz="3600" b="1">
              <a:solidFill>
                <a:schemeClr val="bg2">
                  <a:lumMod val="75000"/>
                  <a:alpha val="11000"/>
                </a:schemeClr>
              </a:solidFill>
              <a:effectLst>
                <a:outerShdw blurRad="38100" dist="25400" dir="5400000" algn="ctr" rotWithShape="0">
                  <a:srgbClr val="6E747A">
                    <a:alpha val="43000"/>
                  </a:srgbClr>
                </a:outerShdw>
              </a:effectLst>
            </a:rPr>
            <a:t> </a:t>
          </a:r>
          <a:r>
            <a:rPr lang="zh-CN" altLang="en-US" sz="3600" b="1">
              <a:solidFill>
                <a:schemeClr val="bg2">
                  <a:lumMod val="75000"/>
                  <a:alpha val="11000"/>
                </a:schemeClr>
              </a:solidFill>
              <a:effectLst>
                <a:outerShdw blurRad="38100" dist="25400" dir="5400000" algn="ctr" rotWithShape="0">
                  <a:srgbClr val="6E747A">
                    <a:alpha val="43000"/>
                  </a:srgbClr>
                </a:outerShdw>
              </a:effectLst>
            </a:rPr>
            <a:t>泰</a:t>
          </a:r>
          <a:r>
            <a:rPr lang="en-US" altLang="zh-CN" sz="3600" b="1">
              <a:solidFill>
                <a:schemeClr val="bg2">
                  <a:lumMod val="75000"/>
                  <a:alpha val="11000"/>
                </a:schemeClr>
              </a:solidFill>
              <a:effectLst>
                <a:outerShdw blurRad="38100" dist="25400" dir="5400000" algn="ctr" rotWithShape="0">
                  <a:srgbClr val="6E747A">
                    <a:alpha val="43000"/>
                  </a:srgbClr>
                </a:outerShdw>
              </a:effectLst>
            </a:rPr>
            <a:t> </a:t>
          </a:r>
          <a:r>
            <a:rPr lang="zh-CN" altLang="en-US" sz="3600" b="1">
              <a:solidFill>
                <a:schemeClr val="bg2">
                  <a:lumMod val="75000"/>
                  <a:alpha val="11000"/>
                </a:schemeClr>
              </a:solidFill>
              <a:effectLst>
                <a:outerShdw blurRad="38100" dist="25400" dir="5400000" algn="ctr" rotWithShape="0">
                  <a:srgbClr val="6E747A">
                    <a:alpha val="43000"/>
                  </a:srgbClr>
                </a:outerShdw>
              </a:effectLst>
            </a:rPr>
            <a:t>君</a:t>
          </a:r>
          <a:r>
            <a:rPr lang="en-US" altLang="zh-CN" sz="3600" b="1">
              <a:solidFill>
                <a:schemeClr val="bg2">
                  <a:lumMod val="75000"/>
                  <a:alpha val="11000"/>
                </a:schemeClr>
              </a:solidFill>
              <a:effectLst>
                <a:outerShdw blurRad="38100" dist="25400" dir="5400000" algn="ctr" rotWithShape="0">
                  <a:srgbClr val="6E747A">
                    <a:alpha val="43000"/>
                  </a:srgbClr>
                </a:outerShdw>
              </a:effectLst>
            </a:rPr>
            <a:t> </a:t>
          </a:r>
          <a:r>
            <a:rPr lang="zh-CN" altLang="en-US" sz="3600" b="1">
              <a:solidFill>
                <a:schemeClr val="bg2">
                  <a:lumMod val="75000"/>
                  <a:alpha val="11000"/>
                </a:schemeClr>
              </a:solidFill>
              <a:effectLst>
                <a:outerShdw blurRad="38100" dist="25400" dir="5400000" algn="ctr" rotWithShape="0">
                  <a:srgbClr val="6E747A">
                    <a:alpha val="43000"/>
                  </a:srgbClr>
                </a:outerShdw>
              </a:effectLst>
            </a:rPr>
            <a:t>安</a:t>
          </a:r>
          <a:r>
            <a:rPr lang="en-US" altLang="zh-CN" sz="3600" b="1">
              <a:solidFill>
                <a:schemeClr val="bg2">
                  <a:lumMod val="75000"/>
                  <a:alpha val="11000"/>
                </a:schemeClr>
              </a:solidFill>
              <a:effectLst>
                <a:outerShdw blurRad="38100" dist="25400" dir="5400000" algn="ctr" rotWithShape="0">
                  <a:srgbClr val="6E747A">
                    <a:alpha val="43000"/>
                  </a:srgbClr>
                </a:outerShdw>
              </a:effectLst>
            </a:rPr>
            <a:t> </a:t>
          </a:r>
          <a:r>
            <a:rPr lang="zh-CN" altLang="en-US" sz="3600" b="1">
              <a:solidFill>
                <a:schemeClr val="bg2">
                  <a:lumMod val="75000"/>
                  <a:alpha val="11000"/>
                </a:schemeClr>
              </a:solidFill>
              <a:effectLst>
                <a:outerShdw blurRad="38100" dist="25400" dir="5400000" algn="ctr" rotWithShape="0">
                  <a:srgbClr val="6E747A">
                    <a:alpha val="43000"/>
                  </a:srgbClr>
                </a:outerShdw>
              </a:effectLst>
            </a:rPr>
            <a:t>期</a:t>
          </a:r>
          <a:r>
            <a:rPr lang="en-US" altLang="zh-CN" sz="3600" b="1">
              <a:solidFill>
                <a:schemeClr val="bg2">
                  <a:lumMod val="75000"/>
                  <a:alpha val="11000"/>
                </a:schemeClr>
              </a:solidFill>
              <a:effectLst>
                <a:outerShdw blurRad="38100" dist="25400" dir="5400000" algn="ctr" rotWithShape="0">
                  <a:srgbClr val="6E747A">
                    <a:alpha val="43000"/>
                  </a:srgbClr>
                </a:outerShdw>
              </a:effectLst>
            </a:rPr>
            <a:t> </a:t>
          </a:r>
          <a:r>
            <a:rPr lang="zh-CN" altLang="en-US" sz="3600" b="1">
              <a:solidFill>
                <a:schemeClr val="bg2">
                  <a:lumMod val="75000"/>
                  <a:alpha val="11000"/>
                </a:schemeClr>
              </a:solidFill>
              <a:effectLst>
                <a:outerShdw blurRad="38100" dist="25400" dir="5400000" algn="ctr" rotWithShape="0">
                  <a:srgbClr val="6E747A">
                    <a:alpha val="43000"/>
                  </a:srgbClr>
                </a:outerShdw>
              </a:effectLst>
            </a:rPr>
            <a:t>货</a:t>
          </a:r>
        </a:p>
      </xdr:txBody>
    </xdr:sp>
    <xdr:clientData/>
  </xdr:oneCellAnchor>
  <xdr:oneCellAnchor>
    <xdr:from>
      <xdr:col>5</xdr:col>
      <xdr:colOff>964537</xdr:colOff>
      <xdr:row>50</xdr:row>
      <xdr:rowOff>783131</xdr:rowOff>
    </xdr:from>
    <xdr:ext cx="3476593" cy="717632"/>
    <xdr:sp macro="" textlink="">
      <xdr:nvSpPr>
        <xdr:cNvPr id="10" name="矩形 9"/>
        <xdr:cNvSpPr/>
      </xdr:nvSpPr>
      <xdr:spPr>
        <a:xfrm rot="19620000">
          <a:off x="6774180" y="39832915"/>
          <a:ext cx="3476625" cy="717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3600" b="1">
              <a:solidFill>
                <a:schemeClr val="bg2">
                  <a:lumMod val="75000"/>
                  <a:alpha val="11000"/>
                </a:schemeClr>
              </a:solidFill>
              <a:effectLst>
                <a:outerShdw blurRad="38100" dist="25400" dir="5400000" algn="ctr" rotWithShape="0">
                  <a:srgbClr val="6E747A">
                    <a:alpha val="43000"/>
                  </a:srgbClr>
                </a:outerShdw>
              </a:effectLst>
            </a:rPr>
            <a:t>国</a:t>
          </a:r>
          <a:r>
            <a:rPr lang="en-US" altLang="zh-CN" sz="3600" b="1">
              <a:solidFill>
                <a:schemeClr val="bg2">
                  <a:lumMod val="75000"/>
                  <a:alpha val="11000"/>
                </a:schemeClr>
              </a:solidFill>
              <a:effectLst>
                <a:outerShdw blurRad="38100" dist="25400" dir="5400000" algn="ctr" rotWithShape="0">
                  <a:srgbClr val="6E747A">
                    <a:alpha val="43000"/>
                  </a:srgbClr>
                </a:outerShdw>
              </a:effectLst>
            </a:rPr>
            <a:t> </a:t>
          </a:r>
          <a:r>
            <a:rPr lang="zh-CN" altLang="en-US" sz="3600" b="1">
              <a:solidFill>
                <a:schemeClr val="bg2">
                  <a:lumMod val="75000"/>
                  <a:alpha val="11000"/>
                </a:schemeClr>
              </a:solidFill>
              <a:effectLst>
                <a:outerShdw blurRad="38100" dist="25400" dir="5400000" algn="ctr" rotWithShape="0">
                  <a:srgbClr val="6E747A">
                    <a:alpha val="43000"/>
                  </a:srgbClr>
                </a:outerShdw>
              </a:effectLst>
            </a:rPr>
            <a:t>泰</a:t>
          </a:r>
          <a:r>
            <a:rPr lang="en-US" altLang="zh-CN" sz="3600" b="1">
              <a:solidFill>
                <a:schemeClr val="bg2">
                  <a:lumMod val="75000"/>
                  <a:alpha val="11000"/>
                </a:schemeClr>
              </a:solidFill>
              <a:effectLst>
                <a:outerShdw blurRad="38100" dist="25400" dir="5400000" algn="ctr" rotWithShape="0">
                  <a:srgbClr val="6E747A">
                    <a:alpha val="43000"/>
                  </a:srgbClr>
                </a:outerShdw>
              </a:effectLst>
            </a:rPr>
            <a:t> </a:t>
          </a:r>
          <a:r>
            <a:rPr lang="zh-CN" altLang="en-US" sz="3600" b="1">
              <a:solidFill>
                <a:schemeClr val="bg2">
                  <a:lumMod val="75000"/>
                  <a:alpha val="11000"/>
                </a:schemeClr>
              </a:solidFill>
              <a:effectLst>
                <a:outerShdw blurRad="38100" dist="25400" dir="5400000" algn="ctr" rotWithShape="0">
                  <a:srgbClr val="6E747A">
                    <a:alpha val="43000"/>
                  </a:srgbClr>
                </a:outerShdw>
              </a:effectLst>
            </a:rPr>
            <a:t>君</a:t>
          </a:r>
          <a:r>
            <a:rPr lang="en-US" altLang="zh-CN" sz="3600" b="1">
              <a:solidFill>
                <a:schemeClr val="bg2">
                  <a:lumMod val="75000"/>
                  <a:alpha val="11000"/>
                </a:schemeClr>
              </a:solidFill>
              <a:effectLst>
                <a:outerShdw blurRad="38100" dist="25400" dir="5400000" algn="ctr" rotWithShape="0">
                  <a:srgbClr val="6E747A">
                    <a:alpha val="43000"/>
                  </a:srgbClr>
                </a:outerShdw>
              </a:effectLst>
            </a:rPr>
            <a:t> </a:t>
          </a:r>
          <a:r>
            <a:rPr lang="zh-CN" altLang="en-US" sz="3600" b="1">
              <a:solidFill>
                <a:schemeClr val="bg2">
                  <a:lumMod val="75000"/>
                  <a:alpha val="11000"/>
                </a:schemeClr>
              </a:solidFill>
              <a:effectLst>
                <a:outerShdw blurRad="38100" dist="25400" dir="5400000" algn="ctr" rotWithShape="0">
                  <a:srgbClr val="6E747A">
                    <a:alpha val="43000"/>
                  </a:srgbClr>
                </a:outerShdw>
              </a:effectLst>
            </a:rPr>
            <a:t>安</a:t>
          </a:r>
          <a:r>
            <a:rPr lang="en-US" altLang="zh-CN" sz="3600" b="1">
              <a:solidFill>
                <a:schemeClr val="bg2">
                  <a:lumMod val="75000"/>
                  <a:alpha val="11000"/>
                </a:schemeClr>
              </a:solidFill>
              <a:effectLst>
                <a:outerShdw blurRad="38100" dist="25400" dir="5400000" algn="ctr" rotWithShape="0">
                  <a:srgbClr val="6E747A">
                    <a:alpha val="43000"/>
                  </a:srgbClr>
                </a:outerShdw>
              </a:effectLst>
            </a:rPr>
            <a:t> </a:t>
          </a:r>
          <a:r>
            <a:rPr lang="zh-CN" altLang="en-US" sz="3600" b="1">
              <a:solidFill>
                <a:schemeClr val="bg2">
                  <a:lumMod val="75000"/>
                  <a:alpha val="11000"/>
                </a:schemeClr>
              </a:solidFill>
              <a:effectLst>
                <a:outerShdw blurRad="38100" dist="25400" dir="5400000" algn="ctr" rotWithShape="0">
                  <a:srgbClr val="6E747A">
                    <a:alpha val="43000"/>
                  </a:srgbClr>
                </a:outerShdw>
              </a:effectLst>
            </a:rPr>
            <a:t>期</a:t>
          </a:r>
          <a:r>
            <a:rPr lang="en-US" altLang="zh-CN" sz="3600" b="1">
              <a:solidFill>
                <a:schemeClr val="bg2">
                  <a:lumMod val="75000"/>
                  <a:alpha val="11000"/>
                </a:schemeClr>
              </a:solidFill>
              <a:effectLst>
                <a:outerShdw blurRad="38100" dist="25400" dir="5400000" algn="ctr" rotWithShape="0">
                  <a:srgbClr val="6E747A">
                    <a:alpha val="43000"/>
                  </a:srgbClr>
                </a:outerShdw>
              </a:effectLst>
            </a:rPr>
            <a:t> </a:t>
          </a:r>
          <a:r>
            <a:rPr lang="zh-CN" altLang="en-US" sz="3600" b="1">
              <a:solidFill>
                <a:schemeClr val="bg2">
                  <a:lumMod val="75000"/>
                  <a:alpha val="11000"/>
                </a:schemeClr>
              </a:solidFill>
              <a:effectLst>
                <a:outerShdw blurRad="38100" dist="25400" dir="5400000" algn="ctr" rotWithShape="0">
                  <a:srgbClr val="6E747A">
                    <a:alpha val="43000"/>
                  </a:srgbClr>
                </a:outerShdw>
              </a:effectLst>
            </a:rPr>
            <a:t>货</a:t>
          </a:r>
        </a:p>
      </xdr:txBody>
    </xdr:sp>
    <xdr:clientData/>
  </xdr:oneCellAnchor>
  <xdr:oneCellAnchor>
    <xdr:from>
      <xdr:col>13</xdr:col>
      <xdr:colOff>243144</xdr:colOff>
      <xdr:row>50</xdr:row>
      <xdr:rowOff>783140</xdr:rowOff>
    </xdr:from>
    <xdr:ext cx="3476593" cy="717632"/>
    <xdr:sp macro="" textlink="">
      <xdr:nvSpPr>
        <xdr:cNvPr id="11" name="矩形 10"/>
        <xdr:cNvSpPr/>
      </xdr:nvSpPr>
      <xdr:spPr>
        <a:xfrm rot="19620000">
          <a:off x="22283420" y="39832915"/>
          <a:ext cx="3476625" cy="717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3600" b="1">
              <a:solidFill>
                <a:schemeClr val="bg2">
                  <a:lumMod val="75000"/>
                  <a:alpha val="11000"/>
                </a:schemeClr>
              </a:solidFill>
              <a:effectLst>
                <a:outerShdw blurRad="38100" dist="25400" dir="5400000" algn="ctr" rotWithShape="0">
                  <a:srgbClr val="6E747A">
                    <a:alpha val="43000"/>
                  </a:srgbClr>
                </a:outerShdw>
              </a:effectLst>
            </a:rPr>
            <a:t>国</a:t>
          </a:r>
          <a:r>
            <a:rPr lang="en-US" altLang="zh-CN" sz="3600" b="1">
              <a:solidFill>
                <a:schemeClr val="bg2">
                  <a:lumMod val="75000"/>
                  <a:alpha val="11000"/>
                </a:schemeClr>
              </a:solidFill>
              <a:effectLst>
                <a:outerShdw blurRad="38100" dist="25400" dir="5400000" algn="ctr" rotWithShape="0">
                  <a:srgbClr val="6E747A">
                    <a:alpha val="43000"/>
                  </a:srgbClr>
                </a:outerShdw>
              </a:effectLst>
            </a:rPr>
            <a:t> </a:t>
          </a:r>
          <a:r>
            <a:rPr lang="zh-CN" altLang="en-US" sz="3600" b="1">
              <a:solidFill>
                <a:schemeClr val="bg2">
                  <a:lumMod val="75000"/>
                  <a:alpha val="11000"/>
                </a:schemeClr>
              </a:solidFill>
              <a:effectLst>
                <a:outerShdw blurRad="38100" dist="25400" dir="5400000" algn="ctr" rotWithShape="0">
                  <a:srgbClr val="6E747A">
                    <a:alpha val="43000"/>
                  </a:srgbClr>
                </a:outerShdw>
              </a:effectLst>
            </a:rPr>
            <a:t>泰</a:t>
          </a:r>
          <a:r>
            <a:rPr lang="en-US" altLang="zh-CN" sz="3600" b="1">
              <a:solidFill>
                <a:schemeClr val="bg2">
                  <a:lumMod val="75000"/>
                  <a:alpha val="11000"/>
                </a:schemeClr>
              </a:solidFill>
              <a:effectLst>
                <a:outerShdw blurRad="38100" dist="25400" dir="5400000" algn="ctr" rotWithShape="0">
                  <a:srgbClr val="6E747A">
                    <a:alpha val="43000"/>
                  </a:srgbClr>
                </a:outerShdw>
              </a:effectLst>
            </a:rPr>
            <a:t> </a:t>
          </a:r>
          <a:r>
            <a:rPr lang="zh-CN" altLang="en-US" sz="3600" b="1">
              <a:solidFill>
                <a:schemeClr val="bg2">
                  <a:lumMod val="75000"/>
                  <a:alpha val="11000"/>
                </a:schemeClr>
              </a:solidFill>
              <a:effectLst>
                <a:outerShdw blurRad="38100" dist="25400" dir="5400000" algn="ctr" rotWithShape="0">
                  <a:srgbClr val="6E747A">
                    <a:alpha val="43000"/>
                  </a:srgbClr>
                </a:outerShdw>
              </a:effectLst>
            </a:rPr>
            <a:t>君</a:t>
          </a:r>
          <a:r>
            <a:rPr lang="en-US" altLang="zh-CN" sz="3600" b="1">
              <a:solidFill>
                <a:schemeClr val="bg2">
                  <a:lumMod val="75000"/>
                  <a:alpha val="11000"/>
                </a:schemeClr>
              </a:solidFill>
              <a:effectLst>
                <a:outerShdw blurRad="38100" dist="25400" dir="5400000" algn="ctr" rotWithShape="0">
                  <a:srgbClr val="6E747A">
                    <a:alpha val="43000"/>
                  </a:srgbClr>
                </a:outerShdw>
              </a:effectLst>
            </a:rPr>
            <a:t> </a:t>
          </a:r>
          <a:r>
            <a:rPr lang="zh-CN" altLang="en-US" sz="3600" b="1">
              <a:solidFill>
                <a:schemeClr val="bg2">
                  <a:lumMod val="75000"/>
                  <a:alpha val="11000"/>
                </a:schemeClr>
              </a:solidFill>
              <a:effectLst>
                <a:outerShdw blurRad="38100" dist="25400" dir="5400000" algn="ctr" rotWithShape="0">
                  <a:srgbClr val="6E747A">
                    <a:alpha val="43000"/>
                  </a:srgbClr>
                </a:outerShdw>
              </a:effectLst>
            </a:rPr>
            <a:t>安</a:t>
          </a:r>
          <a:r>
            <a:rPr lang="en-US" altLang="zh-CN" sz="3600" b="1">
              <a:solidFill>
                <a:schemeClr val="bg2">
                  <a:lumMod val="75000"/>
                  <a:alpha val="11000"/>
                </a:schemeClr>
              </a:solidFill>
              <a:effectLst>
                <a:outerShdw blurRad="38100" dist="25400" dir="5400000" algn="ctr" rotWithShape="0">
                  <a:srgbClr val="6E747A">
                    <a:alpha val="43000"/>
                  </a:srgbClr>
                </a:outerShdw>
              </a:effectLst>
            </a:rPr>
            <a:t> </a:t>
          </a:r>
          <a:r>
            <a:rPr lang="zh-CN" altLang="en-US" sz="3600" b="1">
              <a:solidFill>
                <a:schemeClr val="bg2">
                  <a:lumMod val="75000"/>
                  <a:alpha val="11000"/>
                </a:schemeClr>
              </a:solidFill>
              <a:effectLst>
                <a:outerShdw blurRad="38100" dist="25400" dir="5400000" algn="ctr" rotWithShape="0">
                  <a:srgbClr val="6E747A">
                    <a:alpha val="43000"/>
                  </a:srgbClr>
                </a:outerShdw>
              </a:effectLst>
            </a:rPr>
            <a:t>期</a:t>
          </a:r>
          <a:r>
            <a:rPr lang="en-US" altLang="zh-CN" sz="3600" b="1">
              <a:solidFill>
                <a:schemeClr val="bg2">
                  <a:lumMod val="75000"/>
                  <a:alpha val="11000"/>
                </a:schemeClr>
              </a:solidFill>
              <a:effectLst>
                <a:outerShdw blurRad="38100" dist="25400" dir="5400000" algn="ctr" rotWithShape="0">
                  <a:srgbClr val="6E747A">
                    <a:alpha val="43000"/>
                  </a:srgbClr>
                </a:outerShdw>
              </a:effectLst>
            </a:rPr>
            <a:t> </a:t>
          </a:r>
          <a:r>
            <a:rPr lang="zh-CN" altLang="en-US" sz="3600" b="1">
              <a:solidFill>
                <a:schemeClr val="bg2">
                  <a:lumMod val="75000"/>
                  <a:alpha val="11000"/>
                </a:schemeClr>
              </a:solidFill>
              <a:effectLst>
                <a:outerShdw blurRad="38100" dist="25400" dir="5400000" algn="ctr" rotWithShape="0">
                  <a:srgbClr val="6E747A">
                    <a:alpha val="43000"/>
                  </a:srgbClr>
                </a:outerShdw>
              </a:effectLst>
            </a:rPr>
            <a:t>货</a:t>
          </a:r>
        </a:p>
      </xdr:txBody>
    </xdr:sp>
    <xdr:clientData/>
  </xdr:oneCellAnchor>
  <xdr:oneCellAnchor>
    <xdr:from>
      <xdr:col>5</xdr:col>
      <xdr:colOff>575980</xdr:colOff>
      <xdr:row>67</xdr:row>
      <xdr:rowOff>189904</xdr:rowOff>
    </xdr:from>
    <xdr:ext cx="3476593" cy="717632"/>
    <xdr:sp macro="" textlink="">
      <xdr:nvSpPr>
        <xdr:cNvPr id="12" name="矩形 11"/>
        <xdr:cNvSpPr/>
      </xdr:nvSpPr>
      <xdr:spPr>
        <a:xfrm rot="19620000">
          <a:off x="6386195" y="52090955"/>
          <a:ext cx="3476625" cy="717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3600" b="1">
              <a:solidFill>
                <a:schemeClr val="bg2">
                  <a:lumMod val="75000"/>
                  <a:alpha val="11000"/>
                </a:schemeClr>
              </a:solidFill>
              <a:effectLst>
                <a:outerShdw blurRad="38100" dist="25400" dir="5400000" algn="ctr" rotWithShape="0">
                  <a:srgbClr val="6E747A">
                    <a:alpha val="43000"/>
                  </a:srgbClr>
                </a:outerShdw>
              </a:effectLst>
            </a:rPr>
            <a:t>国</a:t>
          </a:r>
          <a:r>
            <a:rPr lang="en-US" altLang="zh-CN" sz="3600" b="1">
              <a:solidFill>
                <a:schemeClr val="bg2">
                  <a:lumMod val="75000"/>
                  <a:alpha val="11000"/>
                </a:schemeClr>
              </a:solidFill>
              <a:effectLst>
                <a:outerShdw blurRad="38100" dist="25400" dir="5400000" algn="ctr" rotWithShape="0">
                  <a:srgbClr val="6E747A">
                    <a:alpha val="43000"/>
                  </a:srgbClr>
                </a:outerShdw>
              </a:effectLst>
            </a:rPr>
            <a:t> </a:t>
          </a:r>
          <a:r>
            <a:rPr lang="zh-CN" altLang="en-US" sz="3600" b="1">
              <a:solidFill>
                <a:schemeClr val="bg2">
                  <a:lumMod val="75000"/>
                  <a:alpha val="11000"/>
                </a:schemeClr>
              </a:solidFill>
              <a:effectLst>
                <a:outerShdw blurRad="38100" dist="25400" dir="5400000" algn="ctr" rotWithShape="0">
                  <a:srgbClr val="6E747A">
                    <a:alpha val="43000"/>
                  </a:srgbClr>
                </a:outerShdw>
              </a:effectLst>
            </a:rPr>
            <a:t>泰</a:t>
          </a:r>
          <a:r>
            <a:rPr lang="en-US" altLang="zh-CN" sz="3600" b="1">
              <a:solidFill>
                <a:schemeClr val="bg2">
                  <a:lumMod val="75000"/>
                  <a:alpha val="11000"/>
                </a:schemeClr>
              </a:solidFill>
              <a:effectLst>
                <a:outerShdw blurRad="38100" dist="25400" dir="5400000" algn="ctr" rotWithShape="0">
                  <a:srgbClr val="6E747A">
                    <a:alpha val="43000"/>
                  </a:srgbClr>
                </a:outerShdw>
              </a:effectLst>
            </a:rPr>
            <a:t> </a:t>
          </a:r>
          <a:r>
            <a:rPr lang="zh-CN" altLang="en-US" sz="3600" b="1">
              <a:solidFill>
                <a:schemeClr val="bg2">
                  <a:lumMod val="75000"/>
                  <a:alpha val="11000"/>
                </a:schemeClr>
              </a:solidFill>
              <a:effectLst>
                <a:outerShdw blurRad="38100" dist="25400" dir="5400000" algn="ctr" rotWithShape="0">
                  <a:srgbClr val="6E747A">
                    <a:alpha val="43000"/>
                  </a:srgbClr>
                </a:outerShdw>
              </a:effectLst>
            </a:rPr>
            <a:t>君</a:t>
          </a:r>
          <a:r>
            <a:rPr lang="en-US" altLang="zh-CN" sz="3600" b="1">
              <a:solidFill>
                <a:schemeClr val="bg2">
                  <a:lumMod val="75000"/>
                  <a:alpha val="11000"/>
                </a:schemeClr>
              </a:solidFill>
              <a:effectLst>
                <a:outerShdw blurRad="38100" dist="25400" dir="5400000" algn="ctr" rotWithShape="0">
                  <a:srgbClr val="6E747A">
                    <a:alpha val="43000"/>
                  </a:srgbClr>
                </a:outerShdw>
              </a:effectLst>
            </a:rPr>
            <a:t> </a:t>
          </a:r>
          <a:r>
            <a:rPr lang="zh-CN" altLang="en-US" sz="3600" b="1">
              <a:solidFill>
                <a:schemeClr val="bg2">
                  <a:lumMod val="75000"/>
                  <a:alpha val="11000"/>
                </a:schemeClr>
              </a:solidFill>
              <a:effectLst>
                <a:outerShdw blurRad="38100" dist="25400" dir="5400000" algn="ctr" rotWithShape="0">
                  <a:srgbClr val="6E747A">
                    <a:alpha val="43000"/>
                  </a:srgbClr>
                </a:outerShdw>
              </a:effectLst>
            </a:rPr>
            <a:t>安</a:t>
          </a:r>
          <a:r>
            <a:rPr lang="en-US" altLang="zh-CN" sz="3600" b="1">
              <a:solidFill>
                <a:schemeClr val="bg2">
                  <a:lumMod val="75000"/>
                  <a:alpha val="11000"/>
                </a:schemeClr>
              </a:solidFill>
              <a:effectLst>
                <a:outerShdw blurRad="38100" dist="25400" dir="5400000" algn="ctr" rotWithShape="0">
                  <a:srgbClr val="6E747A">
                    <a:alpha val="43000"/>
                  </a:srgbClr>
                </a:outerShdw>
              </a:effectLst>
            </a:rPr>
            <a:t> </a:t>
          </a:r>
          <a:r>
            <a:rPr lang="zh-CN" altLang="en-US" sz="3600" b="1">
              <a:solidFill>
                <a:schemeClr val="bg2">
                  <a:lumMod val="75000"/>
                  <a:alpha val="11000"/>
                </a:schemeClr>
              </a:solidFill>
              <a:effectLst>
                <a:outerShdw blurRad="38100" dist="25400" dir="5400000" algn="ctr" rotWithShape="0">
                  <a:srgbClr val="6E747A">
                    <a:alpha val="43000"/>
                  </a:srgbClr>
                </a:outerShdw>
              </a:effectLst>
            </a:rPr>
            <a:t>期</a:t>
          </a:r>
          <a:r>
            <a:rPr lang="en-US" altLang="zh-CN" sz="3600" b="1">
              <a:solidFill>
                <a:schemeClr val="bg2">
                  <a:lumMod val="75000"/>
                  <a:alpha val="11000"/>
                </a:schemeClr>
              </a:solidFill>
              <a:effectLst>
                <a:outerShdw blurRad="38100" dist="25400" dir="5400000" algn="ctr" rotWithShape="0">
                  <a:srgbClr val="6E747A">
                    <a:alpha val="43000"/>
                  </a:srgbClr>
                </a:outerShdw>
              </a:effectLst>
            </a:rPr>
            <a:t> </a:t>
          </a:r>
          <a:r>
            <a:rPr lang="zh-CN" altLang="en-US" sz="3600" b="1">
              <a:solidFill>
                <a:schemeClr val="bg2">
                  <a:lumMod val="75000"/>
                  <a:alpha val="11000"/>
                </a:schemeClr>
              </a:solidFill>
              <a:effectLst>
                <a:outerShdw blurRad="38100" dist="25400" dir="5400000" algn="ctr" rotWithShape="0">
                  <a:srgbClr val="6E747A">
                    <a:alpha val="43000"/>
                  </a:srgbClr>
                </a:outerShdw>
              </a:effectLst>
            </a:rPr>
            <a:t>货</a:t>
          </a:r>
        </a:p>
      </xdr:txBody>
    </xdr:sp>
    <xdr:clientData/>
  </xdr:oneCellAnchor>
  <xdr:oneCellAnchor>
    <xdr:from>
      <xdr:col>13</xdr:col>
      <xdr:colOff>0</xdr:colOff>
      <xdr:row>67</xdr:row>
      <xdr:rowOff>194430</xdr:rowOff>
    </xdr:from>
    <xdr:ext cx="3476593" cy="717632"/>
    <xdr:sp macro="" textlink="">
      <xdr:nvSpPr>
        <xdr:cNvPr id="13" name="矩形 12"/>
        <xdr:cNvSpPr/>
      </xdr:nvSpPr>
      <xdr:spPr>
        <a:xfrm rot="19620000">
          <a:off x="22040850" y="52095400"/>
          <a:ext cx="3475990" cy="717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3600" b="1">
              <a:solidFill>
                <a:schemeClr val="bg2">
                  <a:lumMod val="75000"/>
                  <a:alpha val="11000"/>
                </a:schemeClr>
              </a:solidFill>
              <a:effectLst>
                <a:outerShdw blurRad="38100" dist="25400" dir="5400000" algn="ctr" rotWithShape="0">
                  <a:srgbClr val="6E747A">
                    <a:alpha val="43000"/>
                  </a:srgbClr>
                </a:outerShdw>
              </a:effectLst>
            </a:rPr>
            <a:t>国</a:t>
          </a:r>
          <a:r>
            <a:rPr lang="en-US" altLang="zh-CN" sz="3600" b="1">
              <a:solidFill>
                <a:schemeClr val="bg2">
                  <a:lumMod val="75000"/>
                  <a:alpha val="11000"/>
                </a:schemeClr>
              </a:solidFill>
              <a:effectLst>
                <a:outerShdw blurRad="38100" dist="25400" dir="5400000" algn="ctr" rotWithShape="0">
                  <a:srgbClr val="6E747A">
                    <a:alpha val="43000"/>
                  </a:srgbClr>
                </a:outerShdw>
              </a:effectLst>
            </a:rPr>
            <a:t> </a:t>
          </a:r>
          <a:r>
            <a:rPr lang="zh-CN" altLang="en-US" sz="3600" b="1">
              <a:solidFill>
                <a:schemeClr val="bg2">
                  <a:lumMod val="75000"/>
                  <a:alpha val="11000"/>
                </a:schemeClr>
              </a:solidFill>
              <a:effectLst>
                <a:outerShdw blurRad="38100" dist="25400" dir="5400000" algn="ctr" rotWithShape="0">
                  <a:srgbClr val="6E747A">
                    <a:alpha val="43000"/>
                  </a:srgbClr>
                </a:outerShdw>
              </a:effectLst>
            </a:rPr>
            <a:t>泰</a:t>
          </a:r>
          <a:r>
            <a:rPr lang="en-US" altLang="zh-CN" sz="3600" b="1">
              <a:solidFill>
                <a:schemeClr val="bg2">
                  <a:lumMod val="75000"/>
                  <a:alpha val="11000"/>
                </a:schemeClr>
              </a:solidFill>
              <a:effectLst>
                <a:outerShdw blurRad="38100" dist="25400" dir="5400000" algn="ctr" rotWithShape="0">
                  <a:srgbClr val="6E747A">
                    <a:alpha val="43000"/>
                  </a:srgbClr>
                </a:outerShdw>
              </a:effectLst>
            </a:rPr>
            <a:t> </a:t>
          </a:r>
          <a:r>
            <a:rPr lang="zh-CN" altLang="en-US" sz="3600" b="1">
              <a:solidFill>
                <a:schemeClr val="bg2">
                  <a:lumMod val="75000"/>
                  <a:alpha val="11000"/>
                </a:schemeClr>
              </a:solidFill>
              <a:effectLst>
                <a:outerShdw blurRad="38100" dist="25400" dir="5400000" algn="ctr" rotWithShape="0">
                  <a:srgbClr val="6E747A">
                    <a:alpha val="43000"/>
                  </a:srgbClr>
                </a:outerShdw>
              </a:effectLst>
            </a:rPr>
            <a:t>君</a:t>
          </a:r>
          <a:r>
            <a:rPr lang="en-US" altLang="zh-CN" sz="3600" b="1">
              <a:solidFill>
                <a:schemeClr val="bg2">
                  <a:lumMod val="75000"/>
                  <a:alpha val="11000"/>
                </a:schemeClr>
              </a:solidFill>
              <a:effectLst>
                <a:outerShdw blurRad="38100" dist="25400" dir="5400000" algn="ctr" rotWithShape="0">
                  <a:srgbClr val="6E747A">
                    <a:alpha val="43000"/>
                  </a:srgbClr>
                </a:outerShdw>
              </a:effectLst>
            </a:rPr>
            <a:t> </a:t>
          </a:r>
          <a:r>
            <a:rPr lang="zh-CN" altLang="en-US" sz="3600" b="1">
              <a:solidFill>
                <a:schemeClr val="bg2">
                  <a:lumMod val="75000"/>
                  <a:alpha val="11000"/>
                </a:schemeClr>
              </a:solidFill>
              <a:effectLst>
                <a:outerShdw blurRad="38100" dist="25400" dir="5400000" algn="ctr" rotWithShape="0">
                  <a:srgbClr val="6E747A">
                    <a:alpha val="43000"/>
                  </a:srgbClr>
                </a:outerShdw>
              </a:effectLst>
            </a:rPr>
            <a:t>安</a:t>
          </a:r>
          <a:r>
            <a:rPr lang="en-US" altLang="zh-CN" sz="3600" b="1">
              <a:solidFill>
                <a:schemeClr val="bg2">
                  <a:lumMod val="75000"/>
                  <a:alpha val="11000"/>
                </a:schemeClr>
              </a:solidFill>
              <a:effectLst>
                <a:outerShdw blurRad="38100" dist="25400" dir="5400000" algn="ctr" rotWithShape="0">
                  <a:srgbClr val="6E747A">
                    <a:alpha val="43000"/>
                  </a:srgbClr>
                </a:outerShdw>
              </a:effectLst>
            </a:rPr>
            <a:t> </a:t>
          </a:r>
          <a:r>
            <a:rPr lang="zh-CN" altLang="en-US" sz="3600" b="1">
              <a:solidFill>
                <a:schemeClr val="bg2">
                  <a:lumMod val="75000"/>
                  <a:alpha val="11000"/>
                </a:schemeClr>
              </a:solidFill>
              <a:effectLst>
                <a:outerShdw blurRad="38100" dist="25400" dir="5400000" algn="ctr" rotWithShape="0">
                  <a:srgbClr val="6E747A">
                    <a:alpha val="43000"/>
                  </a:srgbClr>
                </a:outerShdw>
              </a:effectLst>
            </a:rPr>
            <a:t>期</a:t>
          </a:r>
          <a:r>
            <a:rPr lang="en-US" altLang="zh-CN" sz="3600" b="1">
              <a:solidFill>
                <a:schemeClr val="bg2">
                  <a:lumMod val="75000"/>
                  <a:alpha val="11000"/>
                </a:schemeClr>
              </a:solidFill>
              <a:effectLst>
                <a:outerShdw blurRad="38100" dist="25400" dir="5400000" algn="ctr" rotWithShape="0">
                  <a:srgbClr val="6E747A">
                    <a:alpha val="43000"/>
                  </a:srgbClr>
                </a:outerShdw>
              </a:effectLst>
            </a:rPr>
            <a:t> </a:t>
          </a:r>
          <a:r>
            <a:rPr lang="zh-CN" altLang="en-US" sz="3600" b="1">
              <a:solidFill>
                <a:schemeClr val="bg2">
                  <a:lumMod val="75000"/>
                  <a:alpha val="11000"/>
                </a:schemeClr>
              </a:solidFill>
              <a:effectLst>
                <a:outerShdw blurRad="38100" dist="25400" dir="5400000" algn="ctr" rotWithShape="0">
                  <a:srgbClr val="6E747A">
                    <a:alpha val="43000"/>
                  </a:srgbClr>
                </a:outerShdw>
              </a:effectLst>
            </a:rPr>
            <a:t>货</a:t>
          </a:r>
        </a:p>
      </xdr:txBody>
    </xdr:sp>
    <xdr:clientData/>
  </xdr:oneCellAnchor>
  <xdr:oneCellAnchor>
    <xdr:from>
      <xdr:col>5</xdr:col>
      <xdr:colOff>753736</xdr:colOff>
      <xdr:row>77</xdr:row>
      <xdr:rowOff>397042</xdr:rowOff>
    </xdr:from>
    <xdr:ext cx="3476593" cy="717632"/>
    <xdr:sp macro="" textlink="">
      <xdr:nvSpPr>
        <xdr:cNvPr id="14" name="矩形 13"/>
        <xdr:cNvSpPr/>
      </xdr:nvSpPr>
      <xdr:spPr>
        <a:xfrm rot="19620000">
          <a:off x="6563360" y="61074300"/>
          <a:ext cx="3476625" cy="717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3600" b="1">
              <a:solidFill>
                <a:schemeClr val="bg2">
                  <a:lumMod val="75000"/>
                  <a:alpha val="11000"/>
                </a:schemeClr>
              </a:solidFill>
              <a:effectLst>
                <a:outerShdw blurRad="38100" dist="25400" dir="5400000" algn="ctr" rotWithShape="0">
                  <a:srgbClr val="6E747A">
                    <a:alpha val="43000"/>
                  </a:srgbClr>
                </a:outerShdw>
              </a:effectLst>
            </a:rPr>
            <a:t>国</a:t>
          </a:r>
          <a:r>
            <a:rPr lang="en-US" altLang="zh-CN" sz="3600" b="1">
              <a:solidFill>
                <a:schemeClr val="bg2">
                  <a:lumMod val="75000"/>
                  <a:alpha val="11000"/>
                </a:schemeClr>
              </a:solidFill>
              <a:effectLst>
                <a:outerShdw blurRad="38100" dist="25400" dir="5400000" algn="ctr" rotWithShape="0">
                  <a:srgbClr val="6E747A">
                    <a:alpha val="43000"/>
                  </a:srgbClr>
                </a:outerShdw>
              </a:effectLst>
            </a:rPr>
            <a:t> </a:t>
          </a:r>
          <a:r>
            <a:rPr lang="zh-CN" altLang="en-US" sz="3600" b="1">
              <a:solidFill>
                <a:schemeClr val="bg2">
                  <a:lumMod val="75000"/>
                  <a:alpha val="11000"/>
                </a:schemeClr>
              </a:solidFill>
              <a:effectLst>
                <a:outerShdw blurRad="38100" dist="25400" dir="5400000" algn="ctr" rotWithShape="0">
                  <a:srgbClr val="6E747A">
                    <a:alpha val="43000"/>
                  </a:srgbClr>
                </a:outerShdw>
              </a:effectLst>
            </a:rPr>
            <a:t>泰</a:t>
          </a:r>
          <a:r>
            <a:rPr lang="en-US" altLang="zh-CN" sz="3600" b="1">
              <a:solidFill>
                <a:schemeClr val="bg2">
                  <a:lumMod val="75000"/>
                  <a:alpha val="11000"/>
                </a:schemeClr>
              </a:solidFill>
              <a:effectLst>
                <a:outerShdw blurRad="38100" dist="25400" dir="5400000" algn="ctr" rotWithShape="0">
                  <a:srgbClr val="6E747A">
                    <a:alpha val="43000"/>
                  </a:srgbClr>
                </a:outerShdw>
              </a:effectLst>
            </a:rPr>
            <a:t> </a:t>
          </a:r>
          <a:r>
            <a:rPr lang="zh-CN" altLang="en-US" sz="3600" b="1">
              <a:solidFill>
                <a:schemeClr val="bg2">
                  <a:lumMod val="75000"/>
                  <a:alpha val="11000"/>
                </a:schemeClr>
              </a:solidFill>
              <a:effectLst>
                <a:outerShdw blurRad="38100" dist="25400" dir="5400000" algn="ctr" rotWithShape="0">
                  <a:srgbClr val="6E747A">
                    <a:alpha val="43000"/>
                  </a:srgbClr>
                </a:outerShdw>
              </a:effectLst>
            </a:rPr>
            <a:t>君</a:t>
          </a:r>
          <a:r>
            <a:rPr lang="en-US" altLang="zh-CN" sz="3600" b="1">
              <a:solidFill>
                <a:schemeClr val="bg2">
                  <a:lumMod val="75000"/>
                  <a:alpha val="11000"/>
                </a:schemeClr>
              </a:solidFill>
              <a:effectLst>
                <a:outerShdw blurRad="38100" dist="25400" dir="5400000" algn="ctr" rotWithShape="0">
                  <a:srgbClr val="6E747A">
                    <a:alpha val="43000"/>
                  </a:srgbClr>
                </a:outerShdw>
              </a:effectLst>
            </a:rPr>
            <a:t> </a:t>
          </a:r>
          <a:r>
            <a:rPr lang="zh-CN" altLang="en-US" sz="3600" b="1">
              <a:solidFill>
                <a:schemeClr val="bg2">
                  <a:lumMod val="75000"/>
                  <a:alpha val="11000"/>
                </a:schemeClr>
              </a:solidFill>
              <a:effectLst>
                <a:outerShdw blurRad="38100" dist="25400" dir="5400000" algn="ctr" rotWithShape="0">
                  <a:srgbClr val="6E747A">
                    <a:alpha val="43000"/>
                  </a:srgbClr>
                </a:outerShdw>
              </a:effectLst>
            </a:rPr>
            <a:t>安</a:t>
          </a:r>
          <a:r>
            <a:rPr lang="en-US" altLang="zh-CN" sz="3600" b="1">
              <a:solidFill>
                <a:schemeClr val="bg2">
                  <a:lumMod val="75000"/>
                  <a:alpha val="11000"/>
                </a:schemeClr>
              </a:solidFill>
              <a:effectLst>
                <a:outerShdw blurRad="38100" dist="25400" dir="5400000" algn="ctr" rotWithShape="0">
                  <a:srgbClr val="6E747A">
                    <a:alpha val="43000"/>
                  </a:srgbClr>
                </a:outerShdw>
              </a:effectLst>
            </a:rPr>
            <a:t> </a:t>
          </a:r>
          <a:r>
            <a:rPr lang="zh-CN" altLang="en-US" sz="3600" b="1">
              <a:solidFill>
                <a:schemeClr val="bg2">
                  <a:lumMod val="75000"/>
                  <a:alpha val="11000"/>
                </a:schemeClr>
              </a:solidFill>
              <a:effectLst>
                <a:outerShdw blurRad="38100" dist="25400" dir="5400000" algn="ctr" rotWithShape="0">
                  <a:srgbClr val="6E747A">
                    <a:alpha val="43000"/>
                  </a:srgbClr>
                </a:outerShdw>
              </a:effectLst>
            </a:rPr>
            <a:t>期</a:t>
          </a:r>
          <a:r>
            <a:rPr lang="en-US" altLang="zh-CN" sz="3600" b="1">
              <a:solidFill>
                <a:schemeClr val="bg2">
                  <a:lumMod val="75000"/>
                  <a:alpha val="11000"/>
                </a:schemeClr>
              </a:solidFill>
              <a:effectLst>
                <a:outerShdw blurRad="38100" dist="25400" dir="5400000" algn="ctr" rotWithShape="0">
                  <a:srgbClr val="6E747A">
                    <a:alpha val="43000"/>
                  </a:srgbClr>
                </a:outerShdw>
              </a:effectLst>
            </a:rPr>
            <a:t> </a:t>
          </a:r>
          <a:r>
            <a:rPr lang="zh-CN" altLang="en-US" sz="3600" b="1">
              <a:solidFill>
                <a:schemeClr val="bg2">
                  <a:lumMod val="75000"/>
                  <a:alpha val="11000"/>
                </a:schemeClr>
              </a:solidFill>
              <a:effectLst>
                <a:outerShdw blurRad="38100" dist="25400" dir="5400000" algn="ctr" rotWithShape="0">
                  <a:srgbClr val="6E747A">
                    <a:alpha val="43000"/>
                  </a:srgbClr>
                </a:outerShdw>
              </a:effectLst>
            </a:rPr>
            <a:t>货</a:t>
          </a:r>
        </a:p>
      </xdr:txBody>
    </xdr:sp>
    <xdr:clientData/>
  </xdr:oneCellAnchor>
  <xdr:oneCellAnchor>
    <xdr:from>
      <xdr:col>13</xdr:col>
      <xdr:colOff>549</xdr:colOff>
      <xdr:row>77</xdr:row>
      <xdr:rowOff>397042</xdr:rowOff>
    </xdr:from>
    <xdr:ext cx="3476593" cy="717632"/>
    <xdr:sp macro="" textlink="">
      <xdr:nvSpPr>
        <xdr:cNvPr id="15" name="矩形 14"/>
        <xdr:cNvSpPr/>
      </xdr:nvSpPr>
      <xdr:spPr>
        <a:xfrm rot="19620000">
          <a:off x="22040850" y="61074300"/>
          <a:ext cx="3476625" cy="717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3600" b="1">
              <a:solidFill>
                <a:schemeClr val="bg2">
                  <a:lumMod val="75000"/>
                  <a:alpha val="11000"/>
                </a:schemeClr>
              </a:solidFill>
              <a:effectLst>
                <a:outerShdw blurRad="38100" dist="25400" dir="5400000" algn="ctr" rotWithShape="0">
                  <a:srgbClr val="6E747A">
                    <a:alpha val="43000"/>
                  </a:srgbClr>
                </a:outerShdw>
              </a:effectLst>
            </a:rPr>
            <a:t>国</a:t>
          </a:r>
          <a:r>
            <a:rPr lang="en-US" altLang="zh-CN" sz="3600" b="1">
              <a:solidFill>
                <a:schemeClr val="bg2">
                  <a:lumMod val="75000"/>
                  <a:alpha val="11000"/>
                </a:schemeClr>
              </a:solidFill>
              <a:effectLst>
                <a:outerShdw blurRad="38100" dist="25400" dir="5400000" algn="ctr" rotWithShape="0">
                  <a:srgbClr val="6E747A">
                    <a:alpha val="43000"/>
                  </a:srgbClr>
                </a:outerShdw>
              </a:effectLst>
            </a:rPr>
            <a:t> </a:t>
          </a:r>
          <a:r>
            <a:rPr lang="zh-CN" altLang="en-US" sz="3600" b="1">
              <a:solidFill>
                <a:schemeClr val="bg2">
                  <a:lumMod val="75000"/>
                  <a:alpha val="11000"/>
                </a:schemeClr>
              </a:solidFill>
              <a:effectLst>
                <a:outerShdw blurRad="38100" dist="25400" dir="5400000" algn="ctr" rotWithShape="0">
                  <a:srgbClr val="6E747A">
                    <a:alpha val="43000"/>
                  </a:srgbClr>
                </a:outerShdw>
              </a:effectLst>
            </a:rPr>
            <a:t>泰</a:t>
          </a:r>
          <a:r>
            <a:rPr lang="en-US" altLang="zh-CN" sz="3600" b="1">
              <a:solidFill>
                <a:schemeClr val="bg2">
                  <a:lumMod val="75000"/>
                  <a:alpha val="11000"/>
                </a:schemeClr>
              </a:solidFill>
              <a:effectLst>
                <a:outerShdw blurRad="38100" dist="25400" dir="5400000" algn="ctr" rotWithShape="0">
                  <a:srgbClr val="6E747A">
                    <a:alpha val="43000"/>
                  </a:srgbClr>
                </a:outerShdw>
              </a:effectLst>
            </a:rPr>
            <a:t> </a:t>
          </a:r>
          <a:r>
            <a:rPr lang="zh-CN" altLang="en-US" sz="3600" b="1">
              <a:solidFill>
                <a:schemeClr val="bg2">
                  <a:lumMod val="75000"/>
                  <a:alpha val="11000"/>
                </a:schemeClr>
              </a:solidFill>
              <a:effectLst>
                <a:outerShdw blurRad="38100" dist="25400" dir="5400000" algn="ctr" rotWithShape="0">
                  <a:srgbClr val="6E747A">
                    <a:alpha val="43000"/>
                  </a:srgbClr>
                </a:outerShdw>
              </a:effectLst>
            </a:rPr>
            <a:t>君</a:t>
          </a:r>
          <a:r>
            <a:rPr lang="en-US" altLang="zh-CN" sz="3600" b="1">
              <a:solidFill>
                <a:schemeClr val="bg2">
                  <a:lumMod val="75000"/>
                  <a:alpha val="11000"/>
                </a:schemeClr>
              </a:solidFill>
              <a:effectLst>
                <a:outerShdw blurRad="38100" dist="25400" dir="5400000" algn="ctr" rotWithShape="0">
                  <a:srgbClr val="6E747A">
                    <a:alpha val="43000"/>
                  </a:srgbClr>
                </a:outerShdw>
              </a:effectLst>
            </a:rPr>
            <a:t> </a:t>
          </a:r>
          <a:r>
            <a:rPr lang="zh-CN" altLang="en-US" sz="3600" b="1">
              <a:solidFill>
                <a:schemeClr val="bg2">
                  <a:lumMod val="75000"/>
                  <a:alpha val="11000"/>
                </a:schemeClr>
              </a:solidFill>
              <a:effectLst>
                <a:outerShdw blurRad="38100" dist="25400" dir="5400000" algn="ctr" rotWithShape="0">
                  <a:srgbClr val="6E747A">
                    <a:alpha val="43000"/>
                  </a:srgbClr>
                </a:outerShdw>
              </a:effectLst>
            </a:rPr>
            <a:t>安</a:t>
          </a:r>
          <a:r>
            <a:rPr lang="en-US" altLang="zh-CN" sz="3600" b="1">
              <a:solidFill>
                <a:schemeClr val="bg2">
                  <a:lumMod val="75000"/>
                  <a:alpha val="11000"/>
                </a:schemeClr>
              </a:solidFill>
              <a:effectLst>
                <a:outerShdw blurRad="38100" dist="25400" dir="5400000" algn="ctr" rotWithShape="0">
                  <a:srgbClr val="6E747A">
                    <a:alpha val="43000"/>
                  </a:srgbClr>
                </a:outerShdw>
              </a:effectLst>
            </a:rPr>
            <a:t> </a:t>
          </a:r>
          <a:r>
            <a:rPr lang="zh-CN" altLang="en-US" sz="3600" b="1">
              <a:solidFill>
                <a:schemeClr val="bg2">
                  <a:lumMod val="75000"/>
                  <a:alpha val="11000"/>
                </a:schemeClr>
              </a:solidFill>
              <a:effectLst>
                <a:outerShdw blurRad="38100" dist="25400" dir="5400000" algn="ctr" rotWithShape="0">
                  <a:srgbClr val="6E747A">
                    <a:alpha val="43000"/>
                  </a:srgbClr>
                </a:outerShdw>
              </a:effectLst>
            </a:rPr>
            <a:t>期</a:t>
          </a:r>
          <a:r>
            <a:rPr lang="en-US" altLang="zh-CN" sz="3600" b="1">
              <a:solidFill>
                <a:schemeClr val="bg2">
                  <a:lumMod val="75000"/>
                  <a:alpha val="11000"/>
                </a:schemeClr>
              </a:solidFill>
              <a:effectLst>
                <a:outerShdw blurRad="38100" dist="25400" dir="5400000" algn="ctr" rotWithShape="0">
                  <a:srgbClr val="6E747A">
                    <a:alpha val="43000"/>
                  </a:srgbClr>
                </a:outerShdw>
              </a:effectLst>
            </a:rPr>
            <a:t> </a:t>
          </a:r>
          <a:r>
            <a:rPr lang="zh-CN" altLang="en-US" sz="3600" b="1">
              <a:solidFill>
                <a:schemeClr val="bg2">
                  <a:lumMod val="75000"/>
                  <a:alpha val="11000"/>
                </a:schemeClr>
              </a:solidFill>
              <a:effectLst>
                <a:outerShdw blurRad="38100" dist="25400" dir="5400000" algn="ctr" rotWithShape="0">
                  <a:srgbClr val="6E747A">
                    <a:alpha val="43000"/>
                  </a:srgbClr>
                </a:outerShdw>
              </a:effectLst>
            </a:rPr>
            <a:t>货</a:t>
          </a:r>
        </a:p>
      </xdr:txBody>
    </xdr:sp>
    <xdr:clientData/>
  </xdr:oneCellAnchor>
  <xdr:oneCellAnchor>
    <xdr:from>
      <xdr:col>7</xdr:col>
      <xdr:colOff>0</xdr:colOff>
      <xdr:row>101</xdr:row>
      <xdr:rowOff>1454199</xdr:rowOff>
    </xdr:from>
    <xdr:ext cx="3476593" cy="717632"/>
    <xdr:sp macro="" textlink="">
      <xdr:nvSpPr>
        <xdr:cNvPr id="16" name="矩形 15"/>
        <xdr:cNvSpPr/>
      </xdr:nvSpPr>
      <xdr:spPr>
        <a:xfrm rot="19620000">
          <a:off x="9353550" y="77341730"/>
          <a:ext cx="3475990" cy="717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3600" b="1">
              <a:solidFill>
                <a:schemeClr val="bg2">
                  <a:lumMod val="75000"/>
                  <a:alpha val="11000"/>
                </a:schemeClr>
              </a:solidFill>
              <a:effectLst>
                <a:outerShdw blurRad="38100" dist="25400" dir="5400000" algn="ctr" rotWithShape="0">
                  <a:srgbClr val="6E747A">
                    <a:alpha val="43000"/>
                  </a:srgbClr>
                </a:outerShdw>
              </a:effectLst>
            </a:rPr>
            <a:t>国</a:t>
          </a:r>
          <a:r>
            <a:rPr lang="en-US" altLang="zh-CN" sz="3600" b="1">
              <a:solidFill>
                <a:schemeClr val="bg2">
                  <a:lumMod val="75000"/>
                  <a:alpha val="11000"/>
                </a:schemeClr>
              </a:solidFill>
              <a:effectLst>
                <a:outerShdw blurRad="38100" dist="25400" dir="5400000" algn="ctr" rotWithShape="0">
                  <a:srgbClr val="6E747A">
                    <a:alpha val="43000"/>
                  </a:srgbClr>
                </a:outerShdw>
              </a:effectLst>
            </a:rPr>
            <a:t> </a:t>
          </a:r>
          <a:r>
            <a:rPr lang="zh-CN" altLang="en-US" sz="3600" b="1">
              <a:solidFill>
                <a:schemeClr val="bg2">
                  <a:lumMod val="75000"/>
                  <a:alpha val="11000"/>
                </a:schemeClr>
              </a:solidFill>
              <a:effectLst>
                <a:outerShdw blurRad="38100" dist="25400" dir="5400000" algn="ctr" rotWithShape="0">
                  <a:srgbClr val="6E747A">
                    <a:alpha val="43000"/>
                  </a:srgbClr>
                </a:outerShdw>
              </a:effectLst>
            </a:rPr>
            <a:t>泰</a:t>
          </a:r>
          <a:r>
            <a:rPr lang="en-US" altLang="zh-CN" sz="3600" b="1">
              <a:solidFill>
                <a:schemeClr val="bg2">
                  <a:lumMod val="75000"/>
                  <a:alpha val="11000"/>
                </a:schemeClr>
              </a:solidFill>
              <a:effectLst>
                <a:outerShdw blurRad="38100" dist="25400" dir="5400000" algn="ctr" rotWithShape="0">
                  <a:srgbClr val="6E747A">
                    <a:alpha val="43000"/>
                  </a:srgbClr>
                </a:outerShdw>
              </a:effectLst>
            </a:rPr>
            <a:t> </a:t>
          </a:r>
          <a:r>
            <a:rPr lang="zh-CN" altLang="en-US" sz="3600" b="1">
              <a:solidFill>
                <a:schemeClr val="bg2">
                  <a:lumMod val="75000"/>
                  <a:alpha val="11000"/>
                </a:schemeClr>
              </a:solidFill>
              <a:effectLst>
                <a:outerShdw blurRad="38100" dist="25400" dir="5400000" algn="ctr" rotWithShape="0">
                  <a:srgbClr val="6E747A">
                    <a:alpha val="43000"/>
                  </a:srgbClr>
                </a:outerShdw>
              </a:effectLst>
            </a:rPr>
            <a:t>君</a:t>
          </a:r>
          <a:r>
            <a:rPr lang="en-US" altLang="zh-CN" sz="3600" b="1">
              <a:solidFill>
                <a:schemeClr val="bg2">
                  <a:lumMod val="75000"/>
                  <a:alpha val="11000"/>
                </a:schemeClr>
              </a:solidFill>
              <a:effectLst>
                <a:outerShdw blurRad="38100" dist="25400" dir="5400000" algn="ctr" rotWithShape="0">
                  <a:srgbClr val="6E747A">
                    <a:alpha val="43000"/>
                  </a:srgbClr>
                </a:outerShdw>
              </a:effectLst>
            </a:rPr>
            <a:t> </a:t>
          </a:r>
          <a:r>
            <a:rPr lang="zh-CN" altLang="en-US" sz="3600" b="1">
              <a:solidFill>
                <a:schemeClr val="bg2">
                  <a:lumMod val="75000"/>
                  <a:alpha val="11000"/>
                </a:schemeClr>
              </a:solidFill>
              <a:effectLst>
                <a:outerShdw blurRad="38100" dist="25400" dir="5400000" algn="ctr" rotWithShape="0">
                  <a:srgbClr val="6E747A">
                    <a:alpha val="43000"/>
                  </a:srgbClr>
                </a:outerShdw>
              </a:effectLst>
            </a:rPr>
            <a:t>安</a:t>
          </a:r>
          <a:r>
            <a:rPr lang="en-US" altLang="zh-CN" sz="3600" b="1">
              <a:solidFill>
                <a:schemeClr val="bg2">
                  <a:lumMod val="75000"/>
                  <a:alpha val="11000"/>
                </a:schemeClr>
              </a:solidFill>
              <a:effectLst>
                <a:outerShdw blurRad="38100" dist="25400" dir="5400000" algn="ctr" rotWithShape="0">
                  <a:srgbClr val="6E747A">
                    <a:alpha val="43000"/>
                  </a:srgbClr>
                </a:outerShdw>
              </a:effectLst>
            </a:rPr>
            <a:t> </a:t>
          </a:r>
          <a:r>
            <a:rPr lang="zh-CN" altLang="en-US" sz="3600" b="1">
              <a:solidFill>
                <a:schemeClr val="bg2">
                  <a:lumMod val="75000"/>
                  <a:alpha val="11000"/>
                </a:schemeClr>
              </a:solidFill>
              <a:effectLst>
                <a:outerShdw blurRad="38100" dist="25400" dir="5400000" algn="ctr" rotWithShape="0">
                  <a:srgbClr val="6E747A">
                    <a:alpha val="43000"/>
                  </a:srgbClr>
                </a:outerShdw>
              </a:effectLst>
            </a:rPr>
            <a:t>期</a:t>
          </a:r>
          <a:r>
            <a:rPr lang="en-US" altLang="zh-CN" sz="3600" b="1">
              <a:solidFill>
                <a:schemeClr val="bg2">
                  <a:lumMod val="75000"/>
                  <a:alpha val="11000"/>
                </a:schemeClr>
              </a:solidFill>
              <a:effectLst>
                <a:outerShdw blurRad="38100" dist="25400" dir="5400000" algn="ctr" rotWithShape="0">
                  <a:srgbClr val="6E747A">
                    <a:alpha val="43000"/>
                  </a:srgbClr>
                </a:outerShdw>
              </a:effectLst>
            </a:rPr>
            <a:t> </a:t>
          </a:r>
          <a:r>
            <a:rPr lang="zh-CN" altLang="en-US" sz="3600" b="1">
              <a:solidFill>
                <a:schemeClr val="bg2">
                  <a:lumMod val="75000"/>
                  <a:alpha val="11000"/>
                </a:schemeClr>
              </a:solidFill>
              <a:effectLst>
                <a:outerShdw blurRad="38100" dist="25400" dir="5400000" algn="ctr" rotWithShape="0">
                  <a:srgbClr val="6E747A">
                    <a:alpha val="43000"/>
                  </a:srgbClr>
                </a:outerShdw>
              </a:effectLst>
            </a:rPr>
            <a:t>货</a:t>
          </a:r>
        </a:p>
      </xdr:txBody>
    </xdr:sp>
    <xdr:clientData/>
  </xdr:oneCellAnchor>
  <xdr:oneCellAnchor>
    <xdr:from>
      <xdr:col>7</xdr:col>
      <xdr:colOff>0</xdr:colOff>
      <xdr:row>112</xdr:row>
      <xdr:rowOff>784255</xdr:rowOff>
    </xdr:from>
    <xdr:ext cx="3476593" cy="717632"/>
    <xdr:sp macro="" textlink="">
      <xdr:nvSpPr>
        <xdr:cNvPr id="17" name="矩形 16"/>
        <xdr:cNvSpPr/>
      </xdr:nvSpPr>
      <xdr:spPr>
        <a:xfrm rot="19620000">
          <a:off x="9353550" y="89481025"/>
          <a:ext cx="3475990" cy="717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3600" b="1">
              <a:solidFill>
                <a:schemeClr val="bg2">
                  <a:lumMod val="75000"/>
                  <a:alpha val="11000"/>
                </a:schemeClr>
              </a:solidFill>
              <a:effectLst>
                <a:outerShdw blurRad="38100" dist="25400" dir="5400000" algn="ctr" rotWithShape="0">
                  <a:srgbClr val="6E747A">
                    <a:alpha val="43000"/>
                  </a:srgbClr>
                </a:outerShdw>
              </a:effectLst>
            </a:rPr>
            <a:t>国</a:t>
          </a:r>
          <a:r>
            <a:rPr lang="en-US" altLang="zh-CN" sz="3600" b="1">
              <a:solidFill>
                <a:schemeClr val="bg2">
                  <a:lumMod val="75000"/>
                  <a:alpha val="11000"/>
                </a:schemeClr>
              </a:solidFill>
              <a:effectLst>
                <a:outerShdw blurRad="38100" dist="25400" dir="5400000" algn="ctr" rotWithShape="0">
                  <a:srgbClr val="6E747A">
                    <a:alpha val="43000"/>
                  </a:srgbClr>
                </a:outerShdw>
              </a:effectLst>
            </a:rPr>
            <a:t> </a:t>
          </a:r>
          <a:r>
            <a:rPr lang="zh-CN" altLang="en-US" sz="3600" b="1">
              <a:solidFill>
                <a:schemeClr val="bg2">
                  <a:lumMod val="75000"/>
                  <a:alpha val="11000"/>
                </a:schemeClr>
              </a:solidFill>
              <a:effectLst>
                <a:outerShdw blurRad="38100" dist="25400" dir="5400000" algn="ctr" rotWithShape="0">
                  <a:srgbClr val="6E747A">
                    <a:alpha val="43000"/>
                  </a:srgbClr>
                </a:outerShdw>
              </a:effectLst>
            </a:rPr>
            <a:t>泰</a:t>
          </a:r>
          <a:r>
            <a:rPr lang="en-US" altLang="zh-CN" sz="3600" b="1">
              <a:solidFill>
                <a:schemeClr val="bg2">
                  <a:lumMod val="75000"/>
                  <a:alpha val="11000"/>
                </a:schemeClr>
              </a:solidFill>
              <a:effectLst>
                <a:outerShdw blurRad="38100" dist="25400" dir="5400000" algn="ctr" rotWithShape="0">
                  <a:srgbClr val="6E747A">
                    <a:alpha val="43000"/>
                  </a:srgbClr>
                </a:outerShdw>
              </a:effectLst>
            </a:rPr>
            <a:t> </a:t>
          </a:r>
          <a:r>
            <a:rPr lang="zh-CN" altLang="en-US" sz="3600" b="1">
              <a:solidFill>
                <a:schemeClr val="bg2">
                  <a:lumMod val="75000"/>
                  <a:alpha val="11000"/>
                </a:schemeClr>
              </a:solidFill>
              <a:effectLst>
                <a:outerShdw blurRad="38100" dist="25400" dir="5400000" algn="ctr" rotWithShape="0">
                  <a:srgbClr val="6E747A">
                    <a:alpha val="43000"/>
                  </a:srgbClr>
                </a:outerShdw>
              </a:effectLst>
            </a:rPr>
            <a:t>君</a:t>
          </a:r>
          <a:r>
            <a:rPr lang="en-US" altLang="zh-CN" sz="3600" b="1">
              <a:solidFill>
                <a:schemeClr val="bg2">
                  <a:lumMod val="75000"/>
                  <a:alpha val="11000"/>
                </a:schemeClr>
              </a:solidFill>
              <a:effectLst>
                <a:outerShdw blurRad="38100" dist="25400" dir="5400000" algn="ctr" rotWithShape="0">
                  <a:srgbClr val="6E747A">
                    <a:alpha val="43000"/>
                  </a:srgbClr>
                </a:outerShdw>
              </a:effectLst>
            </a:rPr>
            <a:t> </a:t>
          </a:r>
          <a:r>
            <a:rPr lang="zh-CN" altLang="en-US" sz="3600" b="1">
              <a:solidFill>
                <a:schemeClr val="bg2">
                  <a:lumMod val="75000"/>
                  <a:alpha val="11000"/>
                </a:schemeClr>
              </a:solidFill>
              <a:effectLst>
                <a:outerShdw blurRad="38100" dist="25400" dir="5400000" algn="ctr" rotWithShape="0">
                  <a:srgbClr val="6E747A">
                    <a:alpha val="43000"/>
                  </a:srgbClr>
                </a:outerShdw>
              </a:effectLst>
            </a:rPr>
            <a:t>安</a:t>
          </a:r>
          <a:r>
            <a:rPr lang="en-US" altLang="zh-CN" sz="3600" b="1">
              <a:solidFill>
                <a:schemeClr val="bg2">
                  <a:lumMod val="75000"/>
                  <a:alpha val="11000"/>
                </a:schemeClr>
              </a:solidFill>
              <a:effectLst>
                <a:outerShdw blurRad="38100" dist="25400" dir="5400000" algn="ctr" rotWithShape="0">
                  <a:srgbClr val="6E747A">
                    <a:alpha val="43000"/>
                  </a:srgbClr>
                </a:outerShdw>
              </a:effectLst>
            </a:rPr>
            <a:t> </a:t>
          </a:r>
          <a:r>
            <a:rPr lang="zh-CN" altLang="en-US" sz="3600" b="1">
              <a:solidFill>
                <a:schemeClr val="bg2">
                  <a:lumMod val="75000"/>
                  <a:alpha val="11000"/>
                </a:schemeClr>
              </a:solidFill>
              <a:effectLst>
                <a:outerShdw blurRad="38100" dist="25400" dir="5400000" algn="ctr" rotWithShape="0">
                  <a:srgbClr val="6E747A">
                    <a:alpha val="43000"/>
                  </a:srgbClr>
                </a:outerShdw>
              </a:effectLst>
            </a:rPr>
            <a:t>期</a:t>
          </a:r>
          <a:r>
            <a:rPr lang="en-US" altLang="zh-CN" sz="3600" b="1">
              <a:solidFill>
                <a:schemeClr val="bg2">
                  <a:lumMod val="75000"/>
                  <a:alpha val="11000"/>
                </a:schemeClr>
              </a:solidFill>
              <a:effectLst>
                <a:outerShdw blurRad="38100" dist="25400" dir="5400000" algn="ctr" rotWithShape="0">
                  <a:srgbClr val="6E747A">
                    <a:alpha val="43000"/>
                  </a:srgbClr>
                </a:outerShdw>
              </a:effectLst>
            </a:rPr>
            <a:t> </a:t>
          </a:r>
          <a:r>
            <a:rPr lang="zh-CN" altLang="en-US" sz="3600" b="1">
              <a:solidFill>
                <a:schemeClr val="bg2">
                  <a:lumMod val="75000"/>
                  <a:alpha val="11000"/>
                </a:schemeClr>
              </a:solidFill>
              <a:effectLst>
                <a:outerShdw blurRad="38100" dist="25400" dir="5400000" algn="ctr" rotWithShape="0">
                  <a:srgbClr val="6E747A">
                    <a:alpha val="43000"/>
                  </a:srgbClr>
                </a:outerShdw>
              </a:effectLst>
            </a:rPr>
            <a:t>货</a:t>
          </a:r>
        </a:p>
      </xdr:txBody>
    </xdr:sp>
    <xdr:clientData/>
  </xdr:oneCellAnchor>
  <xdr:oneCellAnchor>
    <xdr:from>
      <xdr:col>2</xdr:col>
      <xdr:colOff>914405</xdr:colOff>
      <xdr:row>127</xdr:row>
      <xdr:rowOff>764885</xdr:rowOff>
    </xdr:from>
    <xdr:ext cx="3476593" cy="717632"/>
    <xdr:sp macro="" textlink="">
      <xdr:nvSpPr>
        <xdr:cNvPr id="18" name="矩形 17"/>
        <xdr:cNvSpPr/>
      </xdr:nvSpPr>
      <xdr:spPr>
        <a:xfrm rot="19620000">
          <a:off x="2676525" y="103180515"/>
          <a:ext cx="3475990" cy="717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3600" b="1">
              <a:solidFill>
                <a:schemeClr val="bg2">
                  <a:lumMod val="75000"/>
                  <a:alpha val="11000"/>
                </a:schemeClr>
              </a:solidFill>
              <a:effectLst>
                <a:outerShdw blurRad="38100" dist="25400" dir="5400000" algn="ctr" rotWithShape="0">
                  <a:srgbClr val="6E747A">
                    <a:alpha val="43000"/>
                  </a:srgbClr>
                </a:outerShdw>
              </a:effectLst>
            </a:rPr>
            <a:t>国</a:t>
          </a:r>
          <a:r>
            <a:rPr lang="en-US" altLang="zh-CN" sz="3600" b="1">
              <a:solidFill>
                <a:schemeClr val="bg2">
                  <a:lumMod val="75000"/>
                  <a:alpha val="11000"/>
                </a:schemeClr>
              </a:solidFill>
              <a:effectLst>
                <a:outerShdw blurRad="38100" dist="25400" dir="5400000" algn="ctr" rotWithShape="0">
                  <a:srgbClr val="6E747A">
                    <a:alpha val="43000"/>
                  </a:srgbClr>
                </a:outerShdw>
              </a:effectLst>
            </a:rPr>
            <a:t> </a:t>
          </a:r>
          <a:r>
            <a:rPr lang="zh-CN" altLang="en-US" sz="3600" b="1">
              <a:solidFill>
                <a:schemeClr val="bg2">
                  <a:lumMod val="75000"/>
                  <a:alpha val="11000"/>
                </a:schemeClr>
              </a:solidFill>
              <a:effectLst>
                <a:outerShdw blurRad="38100" dist="25400" dir="5400000" algn="ctr" rotWithShape="0">
                  <a:srgbClr val="6E747A">
                    <a:alpha val="43000"/>
                  </a:srgbClr>
                </a:outerShdw>
              </a:effectLst>
            </a:rPr>
            <a:t>泰</a:t>
          </a:r>
          <a:r>
            <a:rPr lang="en-US" altLang="zh-CN" sz="3600" b="1">
              <a:solidFill>
                <a:schemeClr val="bg2">
                  <a:lumMod val="75000"/>
                  <a:alpha val="11000"/>
                </a:schemeClr>
              </a:solidFill>
              <a:effectLst>
                <a:outerShdw blurRad="38100" dist="25400" dir="5400000" algn="ctr" rotWithShape="0">
                  <a:srgbClr val="6E747A">
                    <a:alpha val="43000"/>
                  </a:srgbClr>
                </a:outerShdw>
              </a:effectLst>
            </a:rPr>
            <a:t> </a:t>
          </a:r>
          <a:r>
            <a:rPr lang="zh-CN" altLang="en-US" sz="3600" b="1">
              <a:solidFill>
                <a:schemeClr val="bg2">
                  <a:lumMod val="75000"/>
                  <a:alpha val="11000"/>
                </a:schemeClr>
              </a:solidFill>
              <a:effectLst>
                <a:outerShdw blurRad="38100" dist="25400" dir="5400000" algn="ctr" rotWithShape="0">
                  <a:srgbClr val="6E747A">
                    <a:alpha val="43000"/>
                  </a:srgbClr>
                </a:outerShdw>
              </a:effectLst>
            </a:rPr>
            <a:t>君</a:t>
          </a:r>
          <a:r>
            <a:rPr lang="en-US" altLang="zh-CN" sz="3600" b="1">
              <a:solidFill>
                <a:schemeClr val="bg2">
                  <a:lumMod val="75000"/>
                  <a:alpha val="11000"/>
                </a:schemeClr>
              </a:solidFill>
              <a:effectLst>
                <a:outerShdw blurRad="38100" dist="25400" dir="5400000" algn="ctr" rotWithShape="0">
                  <a:srgbClr val="6E747A">
                    <a:alpha val="43000"/>
                  </a:srgbClr>
                </a:outerShdw>
              </a:effectLst>
            </a:rPr>
            <a:t> </a:t>
          </a:r>
          <a:r>
            <a:rPr lang="zh-CN" altLang="en-US" sz="3600" b="1">
              <a:solidFill>
                <a:schemeClr val="bg2">
                  <a:lumMod val="75000"/>
                  <a:alpha val="11000"/>
                </a:schemeClr>
              </a:solidFill>
              <a:effectLst>
                <a:outerShdw blurRad="38100" dist="25400" dir="5400000" algn="ctr" rotWithShape="0">
                  <a:srgbClr val="6E747A">
                    <a:alpha val="43000"/>
                  </a:srgbClr>
                </a:outerShdw>
              </a:effectLst>
            </a:rPr>
            <a:t>安</a:t>
          </a:r>
          <a:r>
            <a:rPr lang="en-US" altLang="zh-CN" sz="3600" b="1">
              <a:solidFill>
                <a:schemeClr val="bg2">
                  <a:lumMod val="75000"/>
                  <a:alpha val="11000"/>
                </a:schemeClr>
              </a:solidFill>
              <a:effectLst>
                <a:outerShdw blurRad="38100" dist="25400" dir="5400000" algn="ctr" rotWithShape="0">
                  <a:srgbClr val="6E747A">
                    <a:alpha val="43000"/>
                  </a:srgbClr>
                </a:outerShdw>
              </a:effectLst>
            </a:rPr>
            <a:t> </a:t>
          </a:r>
          <a:r>
            <a:rPr lang="zh-CN" altLang="en-US" sz="3600" b="1">
              <a:solidFill>
                <a:schemeClr val="bg2">
                  <a:lumMod val="75000"/>
                  <a:alpha val="11000"/>
                </a:schemeClr>
              </a:solidFill>
              <a:effectLst>
                <a:outerShdw blurRad="38100" dist="25400" dir="5400000" algn="ctr" rotWithShape="0">
                  <a:srgbClr val="6E747A">
                    <a:alpha val="43000"/>
                  </a:srgbClr>
                </a:outerShdw>
              </a:effectLst>
            </a:rPr>
            <a:t>期</a:t>
          </a:r>
          <a:r>
            <a:rPr lang="en-US" altLang="zh-CN" sz="3600" b="1">
              <a:solidFill>
                <a:schemeClr val="bg2">
                  <a:lumMod val="75000"/>
                  <a:alpha val="11000"/>
                </a:schemeClr>
              </a:solidFill>
              <a:effectLst>
                <a:outerShdw blurRad="38100" dist="25400" dir="5400000" algn="ctr" rotWithShape="0">
                  <a:srgbClr val="6E747A">
                    <a:alpha val="43000"/>
                  </a:srgbClr>
                </a:outerShdw>
              </a:effectLst>
            </a:rPr>
            <a:t> </a:t>
          </a:r>
          <a:r>
            <a:rPr lang="zh-CN" altLang="en-US" sz="3600" b="1">
              <a:solidFill>
                <a:schemeClr val="bg2">
                  <a:lumMod val="75000"/>
                  <a:alpha val="11000"/>
                </a:schemeClr>
              </a:solidFill>
              <a:effectLst>
                <a:outerShdw blurRad="38100" dist="25400" dir="5400000" algn="ctr" rotWithShape="0">
                  <a:srgbClr val="6E747A">
                    <a:alpha val="43000"/>
                  </a:srgbClr>
                </a:outerShdw>
              </a:effectLst>
            </a:rPr>
            <a:t>货</a:t>
          </a:r>
        </a:p>
      </xdr:txBody>
    </xdr:sp>
    <xdr:clientData/>
  </xdr:oneCellAnchor>
  <xdr:oneCellAnchor>
    <xdr:from>
      <xdr:col>10</xdr:col>
      <xdr:colOff>40625</xdr:colOff>
      <xdr:row>126</xdr:row>
      <xdr:rowOff>460888</xdr:rowOff>
    </xdr:from>
    <xdr:ext cx="3476593" cy="717632"/>
    <xdr:sp macro="" textlink="">
      <xdr:nvSpPr>
        <xdr:cNvPr id="19" name="矩形 18"/>
        <xdr:cNvSpPr/>
      </xdr:nvSpPr>
      <xdr:spPr>
        <a:xfrm rot="19620000">
          <a:off x="14003655" y="102087680"/>
          <a:ext cx="3476625" cy="717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3600" b="1">
              <a:solidFill>
                <a:schemeClr val="bg2">
                  <a:lumMod val="75000"/>
                  <a:alpha val="11000"/>
                </a:schemeClr>
              </a:solidFill>
              <a:effectLst>
                <a:outerShdw blurRad="38100" dist="25400" dir="5400000" algn="ctr" rotWithShape="0">
                  <a:srgbClr val="6E747A">
                    <a:alpha val="43000"/>
                  </a:srgbClr>
                </a:outerShdw>
              </a:effectLst>
            </a:rPr>
            <a:t>国</a:t>
          </a:r>
          <a:r>
            <a:rPr lang="en-US" altLang="zh-CN" sz="3600" b="1">
              <a:solidFill>
                <a:schemeClr val="bg2">
                  <a:lumMod val="75000"/>
                  <a:alpha val="11000"/>
                </a:schemeClr>
              </a:solidFill>
              <a:effectLst>
                <a:outerShdw blurRad="38100" dist="25400" dir="5400000" algn="ctr" rotWithShape="0">
                  <a:srgbClr val="6E747A">
                    <a:alpha val="43000"/>
                  </a:srgbClr>
                </a:outerShdw>
              </a:effectLst>
            </a:rPr>
            <a:t> </a:t>
          </a:r>
          <a:r>
            <a:rPr lang="zh-CN" altLang="en-US" sz="3600" b="1">
              <a:solidFill>
                <a:schemeClr val="bg2">
                  <a:lumMod val="75000"/>
                  <a:alpha val="11000"/>
                </a:schemeClr>
              </a:solidFill>
              <a:effectLst>
                <a:outerShdw blurRad="38100" dist="25400" dir="5400000" algn="ctr" rotWithShape="0">
                  <a:srgbClr val="6E747A">
                    <a:alpha val="43000"/>
                  </a:srgbClr>
                </a:outerShdw>
              </a:effectLst>
            </a:rPr>
            <a:t>泰</a:t>
          </a:r>
          <a:r>
            <a:rPr lang="en-US" altLang="zh-CN" sz="3600" b="1">
              <a:solidFill>
                <a:schemeClr val="bg2">
                  <a:lumMod val="75000"/>
                  <a:alpha val="11000"/>
                </a:schemeClr>
              </a:solidFill>
              <a:effectLst>
                <a:outerShdw blurRad="38100" dist="25400" dir="5400000" algn="ctr" rotWithShape="0">
                  <a:srgbClr val="6E747A">
                    <a:alpha val="43000"/>
                  </a:srgbClr>
                </a:outerShdw>
              </a:effectLst>
            </a:rPr>
            <a:t> </a:t>
          </a:r>
          <a:r>
            <a:rPr lang="zh-CN" altLang="en-US" sz="3600" b="1">
              <a:solidFill>
                <a:schemeClr val="bg2">
                  <a:lumMod val="75000"/>
                  <a:alpha val="11000"/>
                </a:schemeClr>
              </a:solidFill>
              <a:effectLst>
                <a:outerShdw blurRad="38100" dist="25400" dir="5400000" algn="ctr" rotWithShape="0">
                  <a:srgbClr val="6E747A">
                    <a:alpha val="43000"/>
                  </a:srgbClr>
                </a:outerShdw>
              </a:effectLst>
            </a:rPr>
            <a:t>君</a:t>
          </a:r>
          <a:r>
            <a:rPr lang="en-US" altLang="zh-CN" sz="3600" b="1">
              <a:solidFill>
                <a:schemeClr val="bg2">
                  <a:lumMod val="75000"/>
                  <a:alpha val="11000"/>
                </a:schemeClr>
              </a:solidFill>
              <a:effectLst>
                <a:outerShdw blurRad="38100" dist="25400" dir="5400000" algn="ctr" rotWithShape="0">
                  <a:srgbClr val="6E747A">
                    <a:alpha val="43000"/>
                  </a:srgbClr>
                </a:outerShdw>
              </a:effectLst>
            </a:rPr>
            <a:t> </a:t>
          </a:r>
          <a:r>
            <a:rPr lang="zh-CN" altLang="en-US" sz="3600" b="1">
              <a:solidFill>
                <a:schemeClr val="bg2">
                  <a:lumMod val="75000"/>
                  <a:alpha val="11000"/>
                </a:schemeClr>
              </a:solidFill>
              <a:effectLst>
                <a:outerShdw blurRad="38100" dist="25400" dir="5400000" algn="ctr" rotWithShape="0">
                  <a:srgbClr val="6E747A">
                    <a:alpha val="43000"/>
                  </a:srgbClr>
                </a:outerShdw>
              </a:effectLst>
            </a:rPr>
            <a:t>安</a:t>
          </a:r>
          <a:r>
            <a:rPr lang="en-US" altLang="zh-CN" sz="3600" b="1">
              <a:solidFill>
                <a:schemeClr val="bg2">
                  <a:lumMod val="75000"/>
                  <a:alpha val="11000"/>
                </a:schemeClr>
              </a:solidFill>
              <a:effectLst>
                <a:outerShdw blurRad="38100" dist="25400" dir="5400000" algn="ctr" rotWithShape="0">
                  <a:srgbClr val="6E747A">
                    <a:alpha val="43000"/>
                  </a:srgbClr>
                </a:outerShdw>
              </a:effectLst>
            </a:rPr>
            <a:t> </a:t>
          </a:r>
          <a:r>
            <a:rPr lang="zh-CN" altLang="en-US" sz="3600" b="1">
              <a:solidFill>
                <a:schemeClr val="bg2">
                  <a:lumMod val="75000"/>
                  <a:alpha val="11000"/>
                </a:schemeClr>
              </a:solidFill>
              <a:effectLst>
                <a:outerShdw blurRad="38100" dist="25400" dir="5400000" algn="ctr" rotWithShape="0">
                  <a:srgbClr val="6E747A">
                    <a:alpha val="43000"/>
                  </a:srgbClr>
                </a:outerShdw>
              </a:effectLst>
            </a:rPr>
            <a:t>期</a:t>
          </a:r>
          <a:r>
            <a:rPr lang="en-US" altLang="zh-CN" sz="3600" b="1">
              <a:solidFill>
                <a:schemeClr val="bg2">
                  <a:lumMod val="75000"/>
                  <a:alpha val="11000"/>
                </a:schemeClr>
              </a:solidFill>
              <a:effectLst>
                <a:outerShdw blurRad="38100" dist="25400" dir="5400000" algn="ctr" rotWithShape="0">
                  <a:srgbClr val="6E747A">
                    <a:alpha val="43000"/>
                  </a:srgbClr>
                </a:outerShdw>
              </a:effectLst>
            </a:rPr>
            <a:t> </a:t>
          </a:r>
          <a:r>
            <a:rPr lang="zh-CN" altLang="en-US" sz="3600" b="1">
              <a:solidFill>
                <a:schemeClr val="bg2">
                  <a:lumMod val="75000"/>
                  <a:alpha val="11000"/>
                </a:schemeClr>
              </a:solidFill>
              <a:effectLst>
                <a:outerShdw blurRad="38100" dist="25400" dir="5400000" algn="ctr" rotWithShape="0">
                  <a:srgbClr val="6E747A">
                    <a:alpha val="43000"/>
                  </a:srgbClr>
                </a:outerShdw>
              </a:effectLst>
            </a:rPr>
            <a:t>货</a:t>
          </a:r>
        </a:p>
      </xdr:txBody>
    </xdr:sp>
    <xdr:clientData/>
  </xdr:oneCellAnchor>
  <xdr:oneCellAnchor>
    <xdr:from>
      <xdr:col>5</xdr:col>
      <xdr:colOff>567690</xdr:colOff>
      <xdr:row>67</xdr:row>
      <xdr:rowOff>197795</xdr:rowOff>
    </xdr:from>
    <xdr:ext cx="3476593" cy="717632"/>
    <xdr:sp macro="" textlink="">
      <xdr:nvSpPr>
        <xdr:cNvPr id="20" name="矩形 19"/>
        <xdr:cNvSpPr/>
      </xdr:nvSpPr>
      <xdr:spPr>
        <a:xfrm rot="19620000">
          <a:off x="6377940" y="52098575"/>
          <a:ext cx="3475990" cy="717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3600" b="1">
              <a:solidFill>
                <a:schemeClr val="bg2">
                  <a:lumMod val="75000"/>
                  <a:alpha val="11000"/>
                </a:schemeClr>
              </a:solidFill>
              <a:effectLst>
                <a:outerShdw blurRad="38100" dist="25400" dir="5400000" algn="ctr" rotWithShape="0">
                  <a:srgbClr val="6E747A">
                    <a:alpha val="43000"/>
                  </a:srgbClr>
                </a:outerShdw>
              </a:effectLst>
            </a:rPr>
            <a:t>国</a:t>
          </a:r>
          <a:r>
            <a:rPr lang="en-US" altLang="zh-CN" sz="3600" b="1">
              <a:solidFill>
                <a:schemeClr val="bg2">
                  <a:lumMod val="75000"/>
                  <a:alpha val="11000"/>
                </a:schemeClr>
              </a:solidFill>
              <a:effectLst>
                <a:outerShdw blurRad="38100" dist="25400" dir="5400000" algn="ctr" rotWithShape="0">
                  <a:srgbClr val="6E747A">
                    <a:alpha val="43000"/>
                  </a:srgbClr>
                </a:outerShdw>
              </a:effectLst>
            </a:rPr>
            <a:t> </a:t>
          </a:r>
          <a:r>
            <a:rPr lang="zh-CN" altLang="en-US" sz="3600" b="1">
              <a:solidFill>
                <a:schemeClr val="bg2">
                  <a:lumMod val="75000"/>
                  <a:alpha val="11000"/>
                </a:schemeClr>
              </a:solidFill>
              <a:effectLst>
                <a:outerShdw blurRad="38100" dist="25400" dir="5400000" algn="ctr" rotWithShape="0">
                  <a:srgbClr val="6E747A">
                    <a:alpha val="43000"/>
                  </a:srgbClr>
                </a:outerShdw>
              </a:effectLst>
            </a:rPr>
            <a:t>泰</a:t>
          </a:r>
          <a:r>
            <a:rPr lang="en-US" altLang="zh-CN" sz="3600" b="1">
              <a:solidFill>
                <a:schemeClr val="bg2">
                  <a:lumMod val="75000"/>
                  <a:alpha val="11000"/>
                </a:schemeClr>
              </a:solidFill>
              <a:effectLst>
                <a:outerShdw blurRad="38100" dist="25400" dir="5400000" algn="ctr" rotWithShape="0">
                  <a:srgbClr val="6E747A">
                    <a:alpha val="43000"/>
                  </a:srgbClr>
                </a:outerShdw>
              </a:effectLst>
            </a:rPr>
            <a:t> </a:t>
          </a:r>
          <a:r>
            <a:rPr lang="zh-CN" altLang="en-US" sz="3600" b="1">
              <a:solidFill>
                <a:schemeClr val="bg2">
                  <a:lumMod val="75000"/>
                  <a:alpha val="11000"/>
                </a:schemeClr>
              </a:solidFill>
              <a:effectLst>
                <a:outerShdw blurRad="38100" dist="25400" dir="5400000" algn="ctr" rotWithShape="0">
                  <a:srgbClr val="6E747A">
                    <a:alpha val="43000"/>
                  </a:srgbClr>
                </a:outerShdw>
              </a:effectLst>
            </a:rPr>
            <a:t>君</a:t>
          </a:r>
          <a:r>
            <a:rPr lang="en-US" altLang="zh-CN" sz="3600" b="1">
              <a:solidFill>
                <a:schemeClr val="bg2">
                  <a:lumMod val="75000"/>
                  <a:alpha val="11000"/>
                </a:schemeClr>
              </a:solidFill>
              <a:effectLst>
                <a:outerShdw blurRad="38100" dist="25400" dir="5400000" algn="ctr" rotWithShape="0">
                  <a:srgbClr val="6E747A">
                    <a:alpha val="43000"/>
                  </a:srgbClr>
                </a:outerShdw>
              </a:effectLst>
            </a:rPr>
            <a:t> </a:t>
          </a:r>
          <a:r>
            <a:rPr lang="zh-CN" altLang="en-US" sz="3600" b="1">
              <a:solidFill>
                <a:schemeClr val="bg2">
                  <a:lumMod val="75000"/>
                  <a:alpha val="11000"/>
                </a:schemeClr>
              </a:solidFill>
              <a:effectLst>
                <a:outerShdw blurRad="38100" dist="25400" dir="5400000" algn="ctr" rotWithShape="0">
                  <a:srgbClr val="6E747A">
                    <a:alpha val="43000"/>
                  </a:srgbClr>
                </a:outerShdw>
              </a:effectLst>
            </a:rPr>
            <a:t>安</a:t>
          </a:r>
          <a:r>
            <a:rPr lang="en-US" altLang="zh-CN" sz="3600" b="1">
              <a:solidFill>
                <a:schemeClr val="bg2">
                  <a:lumMod val="75000"/>
                  <a:alpha val="11000"/>
                </a:schemeClr>
              </a:solidFill>
              <a:effectLst>
                <a:outerShdw blurRad="38100" dist="25400" dir="5400000" algn="ctr" rotWithShape="0">
                  <a:srgbClr val="6E747A">
                    <a:alpha val="43000"/>
                  </a:srgbClr>
                </a:outerShdw>
              </a:effectLst>
            </a:rPr>
            <a:t> </a:t>
          </a:r>
          <a:r>
            <a:rPr lang="zh-CN" altLang="en-US" sz="3600" b="1">
              <a:solidFill>
                <a:schemeClr val="bg2">
                  <a:lumMod val="75000"/>
                  <a:alpha val="11000"/>
                </a:schemeClr>
              </a:solidFill>
              <a:effectLst>
                <a:outerShdw blurRad="38100" dist="25400" dir="5400000" algn="ctr" rotWithShape="0">
                  <a:srgbClr val="6E747A">
                    <a:alpha val="43000"/>
                  </a:srgbClr>
                </a:outerShdw>
              </a:effectLst>
            </a:rPr>
            <a:t>期</a:t>
          </a:r>
          <a:r>
            <a:rPr lang="en-US" altLang="zh-CN" sz="3600" b="1">
              <a:solidFill>
                <a:schemeClr val="bg2">
                  <a:lumMod val="75000"/>
                  <a:alpha val="11000"/>
                </a:schemeClr>
              </a:solidFill>
              <a:effectLst>
                <a:outerShdw blurRad="38100" dist="25400" dir="5400000" algn="ctr" rotWithShape="0">
                  <a:srgbClr val="6E747A">
                    <a:alpha val="43000"/>
                  </a:srgbClr>
                </a:outerShdw>
              </a:effectLst>
            </a:rPr>
            <a:t> </a:t>
          </a:r>
          <a:r>
            <a:rPr lang="zh-CN" altLang="en-US" sz="3600" b="1">
              <a:solidFill>
                <a:schemeClr val="bg2">
                  <a:lumMod val="75000"/>
                  <a:alpha val="11000"/>
                </a:schemeClr>
              </a:solidFill>
              <a:effectLst>
                <a:outerShdw blurRad="38100" dist="25400" dir="5400000" algn="ctr" rotWithShape="0">
                  <a:srgbClr val="6E747A">
                    <a:alpha val="43000"/>
                  </a:srgbClr>
                </a:outerShdw>
              </a:effectLst>
            </a:rPr>
            <a:t>货</a:t>
          </a:r>
        </a:p>
      </xdr:txBody>
    </xdr:sp>
    <xdr:clientData/>
  </xdr:oneCellAnchor>
  <xdr:oneCellAnchor>
    <xdr:from>
      <xdr:col>13</xdr:col>
      <xdr:colOff>0</xdr:colOff>
      <xdr:row>67</xdr:row>
      <xdr:rowOff>194281</xdr:rowOff>
    </xdr:from>
    <xdr:ext cx="3476593" cy="717632"/>
    <xdr:sp macro="" textlink="">
      <xdr:nvSpPr>
        <xdr:cNvPr id="21" name="矩形 20"/>
        <xdr:cNvSpPr/>
      </xdr:nvSpPr>
      <xdr:spPr>
        <a:xfrm rot="19620000">
          <a:off x="22040850" y="52094765"/>
          <a:ext cx="3475990" cy="7181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3600" b="1">
              <a:solidFill>
                <a:schemeClr val="bg2">
                  <a:lumMod val="75000"/>
                  <a:alpha val="11000"/>
                </a:schemeClr>
              </a:solidFill>
              <a:effectLst>
                <a:outerShdw blurRad="38100" dist="25400" dir="5400000" algn="ctr" rotWithShape="0">
                  <a:srgbClr val="6E747A">
                    <a:alpha val="43000"/>
                  </a:srgbClr>
                </a:outerShdw>
              </a:effectLst>
            </a:rPr>
            <a:t>国</a:t>
          </a:r>
          <a:r>
            <a:rPr lang="en-US" altLang="zh-CN" sz="3600" b="1">
              <a:solidFill>
                <a:schemeClr val="bg2">
                  <a:lumMod val="75000"/>
                  <a:alpha val="11000"/>
                </a:schemeClr>
              </a:solidFill>
              <a:effectLst>
                <a:outerShdw blurRad="38100" dist="25400" dir="5400000" algn="ctr" rotWithShape="0">
                  <a:srgbClr val="6E747A">
                    <a:alpha val="43000"/>
                  </a:srgbClr>
                </a:outerShdw>
              </a:effectLst>
            </a:rPr>
            <a:t> </a:t>
          </a:r>
          <a:r>
            <a:rPr lang="zh-CN" altLang="en-US" sz="3600" b="1">
              <a:solidFill>
                <a:schemeClr val="bg2">
                  <a:lumMod val="75000"/>
                  <a:alpha val="11000"/>
                </a:schemeClr>
              </a:solidFill>
              <a:effectLst>
                <a:outerShdw blurRad="38100" dist="25400" dir="5400000" algn="ctr" rotWithShape="0">
                  <a:srgbClr val="6E747A">
                    <a:alpha val="43000"/>
                  </a:srgbClr>
                </a:outerShdw>
              </a:effectLst>
            </a:rPr>
            <a:t>泰</a:t>
          </a:r>
          <a:r>
            <a:rPr lang="en-US" altLang="zh-CN" sz="3600" b="1">
              <a:solidFill>
                <a:schemeClr val="bg2">
                  <a:lumMod val="75000"/>
                  <a:alpha val="11000"/>
                </a:schemeClr>
              </a:solidFill>
              <a:effectLst>
                <a:outerShdw blurRad="38100" dist="25400" dir="5400000" algn="ctr" rotWithShape="0">
                  <a:srgbClr val="6E747A">
                    <a:alpha val="43000"/>
                  </a:srgbClr>
                </a:outerShdw>
              </a:effectLst>
            </a:rPr>
            <a:t> </a:t>
          </a:r>
          <a:r>
            <a:rPr lang="zh-CN" altLang="en-US" sz="3600" b="1">
              <a:solidFill>
                <a:schemeClr val="bg2">
                  <a:lumMod val="75000"/>
                  <a:alpha val="11000"/>
                </a:schemeClr>
              </a:solidFill>
              <a:effectLst>
                <a:outerShdw blurRad="38100" dist="25400" dir="5400000" algn="ctr" rotWithShape="0">
                  <a:srgbClr val="6E747A">
                    <a:alpha val="43000"/>
                  </a:srgbClr>
                </a:outerShdw>
              </a:effectLst>
            </a:rPr>
            <a:t>君</a:t>
          </a:r>
          <a:r>
            <a:rPr lang="en-US" altLang="zh-CN" sz="3600" b="1">
              <a:solidFill>
                <a:schemeClr val="bg2">
                  <a:lumMod val="75000"/>
                  <a:alpha val="11000"/>
                </a:schemeClr>
              </a:solidFill>
              <a:effectLst>
                <a:outerShdw blurRad="38100" dist="25400" dir="5400000" algn="ctr" rotWithShape="0">
                  <a:srgbClr val="6E747A">
                    <a:alpha val="43000"/>
                  </a:srgbClr>
                </a:outerShdw>
              </a:effectLst>
            </a:rPr>
            <a:t> </a:t>
          </a:r>
          <a:r>
            <a:rPr lang="zh-CN" altLang="en-US" sz="3600" b="1">
              <a:solidFill>
                <a:schemeClr val="bg2">
                  <a:lumMod val="75000"/>
                  <a:alpha val="11000"/>
                </a:schemeClr>
              </a:solidFill>
              <a:effectLst>
                <a:outerShdw blurRad="38100" dist="25400" dir="5400000" algn="ctr" rotWithShape="0">
                  <a:srgbClr val="6E747A">
                    <a:alpha val="43000"/>
                  </a:srgbClr>
                </a:outerShdw>
              </a:effectLst>
            </a:rPr>
            <a:t>安</a:t>
          </a:r>
          <a:r>
            <a:rPr lang="en-US" altLang="zh-CN" sz="3600" b="1">
              <a:solidFill>
                <a:schemeClr val="bg2">
                  <a:lumMod val="75000"/>
                  <a:alpha val="11000"/>
                </a:schemeClr>
              </a:solidFill>
              <a:effectLst>
                <a:outerShdw blurRad="38100" dist="25400" dir="5400000" algn="ctr" rotWithShape="0">
                  <a:srgbClr val="6E747A">
                    <a:alpha val="43000"/>
                  </a:srgbClr>
                </a:outerShdw>
              </a:effectLst>
            </a:rPr>
            <a:t> </a:t>
          </a:r>
          <a:r>
            <a:rPr lang="zh-CN" altLang="en-US" sz="3600" b="1">
              <a:solidFill>
                <a:schemeClr val="bg2">
                  <a:lumMod val="75000"/>
                  <a:alpha val="11000"/>
                </a:schemeClr>
              </a:solidFill>
              <a:effectLst>
                <a:outerShdw blurRad="38100" dist="25400" dir="5400000" algn="ctr" rotWithShape="0">
                  <a:srgbClr val="6E747A">
                    <a:alpha val="43000"/>
                  </a:srgbClr>
                </a:outerShdw>
              </a:effectLst>
            </a:rPr>
            <a:t>期</a:t>
          </a:r>
          <a:r>
            <a:rPr lang="en-US" altLang="zh-CN" sz="3600" b="1">
              <a:solidFill>
                <a:schemeClr val="bg2">
                  <a:lumMod val="75000"/>
                  <a:alpha val="11000"/>
                </a:schemeClr>
              </a:solidFill>
              <a:effectLst>
                <a:outerShdw blurRad="38100" dist="25400" dir="5400000" algn="ctr" rotWithShape="0">
                  <a:srgbClr val="6E747A">
                    <a:alpha val="43000"/>
                  </a:srgbClr>
                </a:outerShdw>
              </a:effectLst>
            </a:rPr>
            <a:t> </a:t>
          </a:r>
          <a:r>
            <a:rPr lang="zh-CN" altLang="en-US" sz="3600" b="1">
              <a:solidFill>
                <a:schemeClr val="bg2">
                  <a:lumMod val="75000"/>
                  <a:alpha val="11000"/>
                </a:schemeClr>
              </a:solidFill>
              <a:effectLst>
                <a:outerShdw blurRad="38100" dist="25400" dir="5400000" algn="ctr" rotWithShape="0">
                  <a:srgbClr val="6E747A">
                    <a:alpha val="43000"/>
                  </a:srgbClr>
                </a:outerShdw>
              </a:effectLst>
            </a:rPr>
            <a:t>货</a:t>
          </a:r>
        </a:p>
      </xdr:txBody>
    </xdr:sp>
    <xdr:clientData/>
  </xdr:oneCellAnchor>
  <xdr:oneCellAnchor>
    <xdr:from>
      <xdr:col>5</xdr:col>
      <xdr:colOff>753745</xdr:colOff>
      <xdr:row>77</xdr:row>
      <xdr:rowOff>396449</xdr:rowOff>
    </xdr:from>
    <xdr:ext cx="3476593" cy="717632"/>
    <xdr:sp macro="" textlink="">
      <xdr:nvSpPr>
        <xdr:cNvPr id="22" name="矩形 21"/>
        <xdr:cNvSpPr/>
      </xdr:nvSpPr>
      <xdr:spPr>
        <a:xfrm rot="19620000">
          <a:off x="6563995" y="61073665"/>
          <a:ext cx="3475990" cy="717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3600" b="1">
              <a:solidFill>
                <a:schemeClr val="bg2">
                  <a:lumMod val="75000"/>
                  <a:alpha val="11000"/>
                </a:schemeClr>
              </a:solidFill>
              <a:effectLst>
                <a:outerShdw blurRad="38100" dist="25400" dir="5400000" algn="ctr" rotWithShape="0">
                  <a:srgbClr val="6E747A">
                    <a:alpha val="43000"/>
                  </a:srgbClr>
                </a:outerShdw>
              </a:effectLst>
            </a:rPr>
            <a:t>国</a:t>
          </a:r>
          <a:r>
            <a:rPr lang="en-US" altLang="zh-CN" sz="3600" b="1">
              <a:solidFill>
                <a:schemeClr val="bg2">
                  <a:lumMod val="75000"/>
                  <a:alpha val="11000"/>
                </a:schemeClr>
              </a:solidFill>
              <a:effectLst>
                <a:outerShdw blurRad="38100" dist="25400" dir="5400000" algn="ctr" rotWithShape="0">
                  <a:srgbClr val="6E747A">
                    <a:alpha val="43000"/>
                  </a:srgbClr>
                </a:outerShdw>
              </a:effectLst>
            </a:rPr>
            <a:t> </a:t>
          </a:r>
          <a:r>
            <a:rPr lang="zh-CN" altLang="en-US" sz="3600" b="1">
              <a:solidFill>
                <a:schemeClr val="bg2">
                  <a:lumMod val="75000"/>
                  <a:alpha val="11000"/>
                </a:schemeClr>
              </a:solidFill>
              <a:effectLst>
                <a:outerShdw blurRad="38100" dist="25400" dir="5400000" algn="ctr" rotWithShape="0">
                  <a:srgbClr val="6E747A">
                    <a:alpha val="43000"/>
                  </a:srgbClr>
                </a:outerShdw>
              </a:effectLst>
            </a:rPr>
            <a:t>泰</a:t>
          </a:r>
          <a:r>
            <a:rPr lang="en-US" altLang="zh-CN" sz="3600" b="1">
              <a:solidFill>
                <a:schemeClr val="bg2">
                  <a:lumMod val="75000"/>
                  <a:alpha val="11000"/>
                </a:schemeClr>
              </a:solidFill>
              <a:effectLst>
                <a:outerShdw blurRad="38100" dist="25400" dir="5400000" algn="ctr" rotWithShape="0">
                  <a:srgbClr val="6E747A">
                    <a:alpha val="43000"/>
                  </a:srgbClr>
                </a:outerShdw>
              </a:effectLst>
            </a:rPr>
            <a:t> </a:t>
          </a:r>
          <a:r>
            <a:rPr lang="zh-CN" altLang="en-US" sz="3600" b="1">
              <a:solidFill>
                <a:schemeClr val="bg2">
                  <a:lumMod val="75000"/>
                  <a:alpha val="11000"/>
                </a:schemeClr>
              </a:solidFill>
              <a:effectLst>
                <a:outerShdw blurRad="38100" dist="25400" dir="5400000" algn="ctr" rotWithShape="0">
                  <a:srgbClr val="6E747A">
                    <a:alpha val="43000"/>
                  </a:srgbClr>
                </a:outerShdw>
              </a:effectLst>
            </a:rPr>
            <a:t>君</a:t>
          </a:r>
          <a:r>
            <a:rPr lang="en-US" altLang="zh-CN" sz="3600" b="1">
              <a:solidFill>
                <a:schemeClr val="bg2">
                  <a:lumMod val="75000"/>
                  <a:alpha val="11000"/>
                </a:schemeClr>
              </a:solidFill>
              <a:effectLst>
                <a:outerShdw blurRad="38100" dist="25400" dir="5400000" algn="ctr" rotWithShape="0">
                  <a:srgbClr val="6E747A">
                    <a:alpha val="43000"/>
                  </a:srgbClr>
                </a:outerShdw>
              </a:effectLst>
            </a:rPr>
            <a:t> </a:t>
          </a:r>
          <a:r>
            <a:rPr lang="zh-CN" altLang="en-US" sz="3600" b="1">
              <a:solidFill>
                <a:schemeClr val="bg2">
                  <a:lumMod val="75000"/>
                  <a:alpha val="11000"/>
                </a:schemeClr>
              </a:solidFill>
              <a:effectLst>
                <a:outerShdw blurRad="38100" dist="25400" dir="5400000" algn="ctr" rotWithShape="0">
                  <a:srgbClr val="6E747A">
                    <a:alpha val="43000"/>
                  </a:srgbClr>
                </a:outerShdw>
              </a:effectLst>
            </a:rPr>
            <a:t>安</a:t>
          </a:r>
          <a:r>
            <a:rPr lang="en-US" altLang="zh-CN" sz="3600" b="1">
              <a:solidFill>
                <a:schemeClr val="bg2">
                  <a:lumMod val="75000"/>
                  <a:alpha val="11000"/>
                </a:schemeClr>
              </a:solidFill>
              <a:effectLst>
                <a:outerShdw blurRad="38100" dist="25400" dir="5400000" algn="ctr" rotWithShape="0">
                  <a:srgbClr val="6E747A">
                    <a:alpha val="43000"/>
                  </a:srgbClr>
                </a:outerShdw>
              </a:effectLst>
            </a:rPr>
            <a:t> </a:t>
          </a:r>
          <a:r>
            <a:rPr lang="zh-CN" altLang="en-US" sz="3600" b="1">
              <a:solidFill>
                <a:schemeClr val="bg2">
                  <a:lumMod val="75000"/>
                  <a:alpha val="11000"/>
                </a:schemeClr>
              </a:solidFill>
              <a:effectLst>
                <a:outerShdw blurRad="38100" dist="25400" dir="5400000" algn="ctr" rotWithShape="0">
                  <a:srgbClr val="6E747A">
                    <a:alpha val="43000"/>
                  </a:srgbClr>
                </a:outerShdw>
              </a:effectLst>
            </a:rPr>
            <a:t>期</a:t>
          </a:r>
          <a:r>
            <a:rPr lang="en-US" altLang="zh-CN" sz="3600" b="1">
              <a:solidFill>
                <a:schemeClr val="bg2">
                  <a:lumMod val="75000"/>
                  <a:alpha val="11000"/>
                </a:schemeClr>
              </a:solidFill>
              <a:effectLst>
                <a:outerShdw blurRad="38100" dist="25400" dir="5400000" algn="ctr" rotWithShape="0">
                  <a:srgbClr val="6E747A">
                    <a:alpha val="43000"/>
                  </a:srgbClr>
                </a:outerShdw>
              </a:effectLst>
            </a:rPr>
            <a:t> </a:t>
          </a:r>
          <a:r>
            <a:rPr lang="zh-CN" altLang="en-US" sz="3600" b="1">
              <a:solidFill>
                <a:schemeClr val="bg2">
                  <a:lumMod val="75000"/>
                  <a:alpha val="11000"/>
                </a:schemeClr>
              </a:solidFill>
              <a:effectLst>
                <a:outerShdw blurRad="38100" dist="25400" dir="5400000" algn="ctr" rotWithShape="0">
                  <a:srgbClr val="6E747A">
                    <a:alpha val="43000"/>
                  </a:srgbClr>
                </a:outerShdw>
              </a:effectLst>
            </a:rPr>
            <a:t>货</a:t>
          </a:r>
        </a:p>
      </xdr:txBody>
    </xdr:sp>
    <xdr:clientData/>
  </xdr:oneCellAnchor>
  <xdr:oneCellAnchor>
    <xdr:from>
      <xdr:col>13</xdr:col>
      <xdr:colOff>615</xdr:colOff>
      <xdr:row>77</xdr:row>
      <xdr:rowOff>396449</xdr:rowOff>
    </xdr:from>
    <xdr:ext cx="3476593" cy="717632"/>
    <xdr:sp macro="" textlink="">
      <xdr:nvSpPr>
        <xdr:cNvPr id="23" name="矩形 22"/>
        <xdr:cNvSpPr/>
      </xdr:nvSpPr>
      <xdr:spPr>
        <a:xfrm rot="19620000">
          <a:off x="22040850" y="61073665"/>
          <a:ext cx="3476625" cy="717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3600" b="1">
              <a:solidFill>
                <a:schemeClr val="bg2">
                  <a:lumMod val="75000"/>
                  <a:alpha val="11000"/>
                </a:schemeClr>
              </a:solidFill>
              <a:effectLst>
                <a:outerShdw blurRad="38100" dist="25400" dir="5400000" algn="ctr" rotWithShape="0">
                  <a:srgbClr val="6E747A">
                    <a:alpha val="43000"/>
                  </a:srgbClr>
                </a:outerShdw>
              </a:effectLst>
            </a:rPr>
            <a:t>国</a:t>
          </a:r>
          <a:r>
            <a:rPr lang="en-US" altLang="zh-CN" sz="3600" b="1">
              <a:solidFill>
                <a:schemeClr val="bg2">
                  <a:lumMod val="75000"/>
                  <a:alpha val="11000"/>
                </a:schemeClr>
              </a:solidFill>
              <a:effectLst>
                <a:outerShdw blurRad="38100" dist="25400" dir="5400000" algn="ctr" rotWithShape="0">
                  <a:srgbClr val="6E747A">
                    <a:alpha val="43000"/>
                  </a:srgbClr>
                </a:outerShdw>
              </a:effectLst>
            </a:rPr>
            <a:t> </a:t>
          </a:r>
          <a:r>
            <a:rPr lang="zh-CN" altLang="en-US" sz="3600" b="1">
              <a:solidFill>
                <a:schemeClr val="bg2">
                  <a:lumMod val="75000"/>
                  <a:alpha val="11000"/>
                </a:schemeClr>
              </a:solidFill>
              <a:effectLst>
                <a:outerShdw blurRad="38100" dist="25400" dir="5400000" algn="ctr" rotWithShape="0">
                  <a:srgbClr val="6E747A">
                    <a:alpha val="43000"/>
                  </a:srgbClr>
                </a:outerShdw>
              </a:effectLst>
            </a:rPr>
            <a:t>泰</a:t>
          </a:r>
          <a:r>
            <a:rPr lang="en-US" altLang="zh-CN" sz="3600" b="1">
              <a:solidFill>
                <a:schemeClr val="bg2">
                  <a:lumMod val="75000"/>
                  <a:alpha val="11000"/>
                </a:schemeClr>
              </a:solidFill>
              <a:effectLst>
                <a:outerShdw blurRad="38100" dist="25400" dir="5400000" algn="ctr" rotWithShape="0">
                  <a:srgbClr val="6E747A">
                    <a:alpha val="43000"/>
                  </a:srgbClr>
                </a:outerShdw>
              </a:effectLst>
            </a:rPr>
            <a:t> </a:t>
          </a:r>
          <a:r>
            <a:rPr lang="zh-CN" altLang="en-US" sz="3600" b="1">
              <a:solidFill>
                <a:schemeClr val="bg2">
                  <a:lumMod val="75000"/>
                  <a:alpha val="11000"/>
                </a:schemeClr>
              </a:solidFill>
              <a:effectLst>
                <a:outerShdw blurRad="38100" dist="25400" dir="5400000" algn="ctr" rotWithShape="0">
                  <a:srgbClr val="6E747A">
                    <a:alpha val="43000"/>
                  </a:srgbClr>
                </a:outerShdw>
              </a:effectLst>
            </a:rPr>
            <a:t>君</a:t>
          </a:r>
          <a:r>
            <a:rPr lang="en-US" altLang="zh-CN" sz="3600" b="1">
              <a:solidFill>
                <a:schemeClr val="bg2">
                  <a:lumMod val="75000"/>
                  <a:alpha val="11000"/>
                </a:schemeClr>
              </a:solidFill>
              <a:effectLst>
                <a:outerShdw blurRad="38100" dist="25400" dir="5400000" algn="ctr" rotWithShape="0">
                  <a:srgbClr val="6E747A">
                    <a:alpha val="43000"/>
                  </a:srgbClr>
                </a:outerShdw>
              </a:effectLst>
            </a:rPr>
            <a:t> </a:t>
          </a:r>
          <a:r>
            <a:rPr lang="zh-CN" altLang="en-US" sz="3600" b="1">
              <a:solidFill>
                <a:schemeClr val="bg2">
                  <a:lumMod val="75000"/>
                  <a:alpha val="11000"/>
                </a:schemeClr>
              </a:solidFill>
              <a:effectLst>
                <a:outerShdw blurRad="38100" dist="25400" dir="5400000" algn="ctr" rotWithShape="0">
                  <a:srgbClr val="6E747A">
                    <a:alpha val="43000"/>
                  </a:srgbClr>
                </a:outerShdw>
              </a:effectLst>
            </a:rPr>
            <a:t>安</a:t>
          </a:r>
          <a:r>
            <a:rPr lang="en-US" altLang="zh-CN" sz="3600" b="1">
              <a:solidFill>
                <a:schemeClr val="bg2">
                  <a:lumMod val="75000"/>
                  <a:alpha val="11000"/>
                </a:schemeClr>
              </a:solidFill>
              <a:effectLst>
                <a:outerShdw blurRad="38100" dist="25400" dir="5400000" algn="ctr" rotWithShape="0">
                  <a:srgbClr val="6E747A">
                    <a:alpha val="43000"/>
                  </a:srgbClr>
                </a:outerShdw>
              </a:effectLst>
            </a:rPr>
            <a:t> </a:t>
          </a:r>
          <a:r>
            <a:rPr lang="zh-CN" altLang="en-US" sz="3600" b="1">
              <a:solidFill>
                <a:schemeClr val="bg2">
                  <a:lumMod val="75000"/>
                  <a:alpha val="11000"/>
                </a:schemeClr>
              </a:solidFill>
              <a:effectLst>
                <a:outerShdw blurRad="38100" dist="25400" dir="5400000" algn="ctr" rotWithShape="0">
                  <a:srgbClr val="6E747A">
                    <a:alpha val="43000"/>
                  </a:srgbClr>
                </a:outerShdw>
              </a:effectLst>
            </a:rPr>
            <a:t>期</a:t>
          </a:r>
          <a:r>
            <a:rPr lang="en-US" altLang="zh-CN" sz="3600" b="1">
              <a:solidFill>
                <a:schemeClr val="bg2">
                  <a:lumMod val="75000"/>
                  <a:alpha val="11000"/>
                </a:schemeClr>
              </a:solidFill>
              <a:effectLst>
                <a:outerShdw blurRad="38100" dist="25400" dir="5400000" algn="ctr" rotWithShape="0">
                  <a:srgbClr val="6E747A">
                    <a:alpha val="43000"/>
                  </a:srgbClr>
                </a:outerShdw>
              </a:effectLst>
            </a:rPr>
            <a:t> </a:t>
          </a:r>
          <a:r>
            <a:rPr lang="zh-CN" altLang="en-US" sz="3600" b="1">
              <a:solidFill>
                <a:schemeClr val="bg2">
                  <a:lumMod val="75000"/>
                  <a:alpha val="11000"/>
                </a:schemeClr>
              </a:solidFill>
              <a:effectLst>
                <a:outerShdw blurRad="38100" dist="25400" dir="5400000" algn="ctr" rotWithShape="0">
                  <a:srgbClr val="6E747A">
                    <a:alpha val="43000"/>
                  </a:srgbClr>
                </a:outerShdw>
              </a:effectLst>
            </a:rPr>
            <a:t>货</a:t>
          </a:r>
        </a:p>
      </xdr:txBody>
    </xdr:sp>
    <xdr:clientData/>
  </xdr:oneCellAnchor>
</xdr:wsDr>
</file>

<file path=xl/drawings/drawing10.xml><?xml version="1.0" encoding="utf-8"?>
<xdr:wsDr xmlns:xdr="http://schemas.openxmlformats.org/drawingml/2006/spreadsheetDrawing" xmlns:a="http://schemas.openxmlformats.org/drawingml/2006/main">
  <xdr:oneCellAnchor>
    <xdr:from>
      <xdr:col>5</xdr:col>
      <xdr:colOff>2986405</xdr:colOff>
      <xdr:row>8</xdr:row>
      <xdr:rowOff>133350</xdr:rowOff>
    </xdr:from>
    <xdr:ext cx="2744983" cy="578685"/>
    <xdr:sp macro="" textlink="">
      <xdr:nvSpPr>
        <xdr:cNvPr id="2" name="矩形 1"/>
        <xdr:cNvSpPr/>
      </xdr:nvSpPr>
      <xdr:spPr>
        <a:xfrm rot="19260000">
          <a:off x="7586980" y="3115310"/>
          <a:ext cx="2744470" cy="5784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2800" b="1">
              <a:solidFill>
                <a:schemeClr val="bg2">
                  <a:lumMod val="75000"/>
                  <a:alpha val="11000"/>
                </a:schemeClr>
              </a:solidFill>
              <a:effectLst>
                <a:outerShdw blurRad="38100" dist="25400" dir="5400000" algn="ctr" rotWithShape="0">
                  <a:srgbClr val="6E747A">
                    <a:alpha val="43000"/>
                  </a:srgbClr>
                </a:outerShdw>
              </a:effectLst>
            </a:rPr>
            <a:t>国</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泰</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君</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安</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期</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货</a:t>
          </a:r>
        </a:p>
      </xdr:txBody>
    </xdr:sp>
    <xdr:clientData/>
  </xdr:oneCellAnchor>
  <xdr:oneCellAnchor>
    <xdr:from>
      <xdr:col>5</xdr:col>
      <xdr:colOff>4943475</xdr:colOff>
      <xdr:row>24</xdr:row>
      <xdr:rowOff>361214</xdr:rowOff>
    </xdr:from>
    <xdr:ext cx="2744983" cy="578685"/>
    <xdr:sp macro="" textlink="">
      <xdr:nvSpPr>
        <xdr:cNvPr id="3" name="矩形 2"/>
        <xdr:cNvSpPr/>
      </xdr:nvSpPr>
      <xdr:spPr>
        <a:xfrm rot="19260000">
          <a:off x="9544050" y="8412480"/>
          <a:ext cx="2744470" cy="579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2800" b="1">
              <a:solidFill>
                <a:schemeClr val="bg2">
                  <a:lumMod val="75000"/>
                  <a:alpha val="11000"/>
                </a:schemeClr>
              </a:solidFill>
              <a:effectLst>
                <a:outerShdw blurRad="38100" dist="25400" dir="5400000" algn="ctr" rotWithShape="0">
                  <a:srgbClr val="6E747A">
                    <a:alpha val="43000"/>
                  </a:srgbClr>
                </a:outerShdw>
              </a:effectLst>
            </a:rPr>
            <a:t>国</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泰</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君</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安</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期</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货</a:t>
          </a:r>
        </a:p>
      </xdr:txBody>
    </xdr:sp>
    <xdr:clientData/>
  </xdr:oneCellAnchor>
</xdr:wsDr>
</file>

<file path=xl/drawings/drawing11.xml><?xml version="1.0" encoding="utf-8"?>
<xdr:wsDr xmlns:xdr="http://schemas.openxmlformats.org/drawingml/2006/spreadsheetDrawing" xmlns:a="http://schemas.openxmlformats.org/drawingml/2006/main">
  <xdr:oneCellAnchor>
    <xdr:from>
      <xdr:col>3</xdr:col>
      <xdr:colOff>1482725</xdr:colOff>
      <xdr:row>56</xdr:row>
      <xdr:rowOff>297180</xdr:rowOff>
    </xdr:from>
    <xdr:ext cx="2744983" cy="578685"/>
    <xdr:sp macro="" textlink="">
      <xdr:nvSpPr>
        <xdr:cNvPr id="2" name="矩形 1"/>
        <xdr:cNvSpPr/>
      </xdr:nvSpPr>
      <xdr:spPr>
        <a:xfrm rot="19080000">
          <a:off x="6273800" y="18265775"/>
          <a:ext cx="2744470" cy="5784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2800" b="1">
              <a:solidFill>
                <a:schemeClr val="bg2">
                  <a:lumMod val="75000"/>
                  <a:alpha val="11000"/>
                </a:schemeClr>
              </a:solidFill>
              <a:effectLst>
                <a:outerShdw blurRad="38100" dist="25400" dir="5400000" algn="ctr" rotWithShape="0">
                  <a:srgbClr val="6E747A">
                    <a:alpha val="43000"/>
                  </a:srgbClr>
                </a:outerShdw>
              </a:effectLst>
            </a:rPr>
            <a:t>国</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泰</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君</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安</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期</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货</a:t>
          </a:r>
        </a:p>
      </xdr:txBody>
    </xdr:sp>
    <xdr:clientData/>
  </xdr:oneCellAnchor>
  <xdr:oneCellAnchor>
    <xdr:from>
      <xdr:col>3</xdr:col>
      <xdr:colOff>2111375</xdr:colOff>
      <xdr:row>28</xdr:row>
      <xdr:rowOff>234108</xdr:rowOff>
    </xdr:from>
    <xdr:ext cx="2744983" cy="578685"/>
    <xdr:sp macro="" textlink="">
      <xdr:nvSpPr>
        <xdr:cNvPr id="3" name="矩形 2"/>
        <xdr:cNvSpPr/>
      </xdr:nvSpPr>
      <xdr:spPr>
        <a:xfrm rot="19080000">
          <a:off x="6902450" y="9242425"/>
          <a:ext cx="2744470" cy="5784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2800" b="1">
              <a:solidFill>
                <a:schemeClr val="bg2">
                  <a:lumMod val="75000"/>
                  <a:alpha val="11000"/>
                </a:schemeClr>
              </a:solidFill>
              <a:effectLst>
                <a:outerShdw blurRad="38100" dist="25400" dir="5400000" algn="ctr" rotWithShape="0">
                  <a:srgbClr val="6E747A">
                    <a:alpha val="43000"/>
                  </a:srgbClr>
                </a:outerShdw>
              </a:effectLst>
            </a:rPr>
            <a:t>国</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泰</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君</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安</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期</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货</a:t>
          </a:r>
        </a:p>
      </xdr:txBody>
    </xdr:sp>
    <xdr:clientData/>
  </xdr:oneCellAnchor>
  <xdr:oneCellAnchor>
    <xdr:from>
      <xdr:col>3</xdr:col>
      <xdr:colOff>1737995</xdr:colOff>
      <xdr:row>49</xdr:row>
      <xdr:rowOff>118745</xdr:rowOff>
    </xdr:from>
    <xdr:ext cx="2744983" cy="578685"/>
    <xdr:sp macro="" textlink="">
      <xdr:nvSpPr>
        <xdr:cNvPr id="4" name="矩形 3"/>
        <xdr:cNvSpPr/>
      </xdr:nvSpPr>
      <xdr:spPr>
        <a:xfrm rot="19080000">
          <a:off x="6529070" y="16135985"/>
          <a:ext cx="2744470" cy="5784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2800" b="1">
              <a:solidFill>
                <a:schemeClr val="bg2">
                  <a:lumMod val="75000"/>
                  <a:alpha val="11000"/>
                </a:schemeClr>
              </a:solidFill>
              <a:effectLst>
                <a:outerShdw blurRad="38100" dist="25400" dir="5400000" algn="ctr" rotWithShape="0">
                  <a:srgbClr val="6E747A">
                    <a:alpha val="43000"/>
                  </a:srgbClr>
                </a:outerShdw>
              </a:effectLst>
            </a:rPr>
            <a:t>国</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泰</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君</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安</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期</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货</a:t>
          </a:r>
        </a:p>
      </xdr:txBody>
    </xdr:sp>
    <xdr:clientData/>
  </xdr:oneCellAnchor>
  <xdr:oneCellAnchor>
    <xdr:from>
      <xdr:col>3</xdr:col>
      <xdr:colOff>1169035</xdr:colOff>
      <xdr:row>6</xdr:row>
      <xdr:rowOff>229235</xdr:rowOff>
    </xdr:from>
    <xdr:ext cx="2744983" cy="578685"/>
    <xdr:sp macro="" textlink="">
      <xdr:nvSpPr>
        <xdr:cNvPr id="5" name="矩形 4"/>
        <xdr:cNvSpPr/>
      </xdr:nvSpPr>
      <xdr:spPr>
        <a:xfrm rot="19080000">
          <a:off x="5960110" y="2637155"/>
          <a:ext cx="2744470" cy="5784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2800" b="1">
              <a:solidFill>
                <a:schemeClr val="bg2">
                  <a:lumMod val="75000"/>
                  <a:alpha val="11000"/>
                </a:schemeClr>
              </a:solidFill>
              <a:effectLst>
                <a:outerShdw blurRad="38100" dist="25400" dir="5400000" algn="ctr" rotWithShape="0">
                  <a:srgbClr val="6E747A">
                    <a:alpha val="43000"/>
                  </a:srgbClr>
                </a:outerShdw>
              </a:effectLst>
            </a:rPr>
            <a:t>国</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泰</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君</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安</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期</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货</a:t>
          </a:r>
        </a:p>
      </xdr:txBody>
    </xdr:sp>
    <xdr:clientData/>
  </xdr:oneCellAnchor>
  <xdr:oneCellAnchor>
    <xdr:from>
      <xdr:col>3</xdr:col>
      <xdr:colOff>1774825</xdr:colOff>
      <xdr:row>20</xdr:row>
      <xdr:rowOff>240665</xdr:rowOff>
    </xdr:from>
    <xdr:ext cx="2744983" cy="578685"/>
    <xdr:sp macro="" textlink="">
      <xdr:nvSpPr>
        <xdr:cNvPr id="6" name="矩形 5"/>
        <xdr:cNvSpPr/>
      </xdr:nvSpPr>
      <xdr:spPr>
        <a:xfrm rot="19080000">
          <a:off x="6565900" y="6963410"/>
          <a:ext cx="2744470" cy="5784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2800" b="1">
              <a:solidFill>
                <a:schemeClr val="bg2">
                  <a:lumMod val="75000"/>
                  <a:alpha val="11000"/>
                </a:schemeClr>
              </a:solidFill>
              <a:effectLst>
                <a:outerShdw blurRad="38100" dist="25400" dir="5400000" algn="ctr" rotWithShape="0">
                  <a:srgbClr val="6E747A">
                    <a:alpha val="43000"/>
                  </a:srgbClr>
                </a:outerShdw>
              </a:effectLst>
            </a:rPr>
            <a:t>国</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泰</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君</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安</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期</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货</a:t>
          </a:r>
        </a:p>
      </xdr:txBody>
    </xdr:sp>
    <xdr:clientData/>
  </xdr:oneCellAnchor>
  <xdr:oneCellAnchor>
    <xdr:from>
      <xdr:col>3</xdr:col>
      <xdr:colOff>2133600</xdr:colOff>
      <xdr:row>10</xdr:row>
      <xdr:rowOff>76200</xdr:rowOff>
    </xdr:from>
    <xdr:ext cx="2744983" cy="578685"/>
    <xdr:sp macro="" textlink="">
      <xdr:nvSpPr>
        <xdr:cNvPr id="7" name="矩形 6"/>
        <xdr:cNvSpPr/>
      </xdr:nvSpPr>
      <xdr:spPr>
        <a:xfrm rot="19080000">
          <a:off x="6924675" y="3836670"/>
          <a:ext cx="2744470" cy="5784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2800" b="1">
              <a:solidFill>
                <a:schemeClr val="bg2">
                  <a:lumMod val="75000"/>
                  <a:alpha val="11000"/>
                </a:schemeClr>
              </a:solidFill>
              <a:effectLst>
                <a:outerShdw blurRad="38100" dist="25400" dir="5400000" algn="ctr" rotWithShape="0">
                  <a:srgbClr val="6E747A">
                    <a:alpha val="43000"/>
                  </a:srgbClr>
                </a:outerShdw>
              </a:effectLst>
            </a:rPr>
            <a:t>国</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泰</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君</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安</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期</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货</a:t>
          </a:r>
        </a:p>
      </xdr:txBody>
    </xdr:sp>
    <xdr:clientData/>
  </xdr:oneCellAnchor>
  <xdr:oneCellAnchor>
    <xdr:from>
      <xdr:col>3</xdr:col>
      <xdr:colOff>1883410</xdr:colOff>
      <xdr:row>38</xdr:row>
      <xdr:rowOff>230505</xdr:rowOff>
    </xdr:from>
    <xdr:ext cx="2744983" cy="578685"/>
    <xdr:sp macro="" textlink="">
      <xdr:nvSpPr>
        <xdr:cNvPr id="8" name="矩形 8"/>
        <xdr:cNvSpPr/>
      </xdr:nvSpPr>
      <xdr:spPr>
        <a:xfrm rot="19080000">
          <a:off x="6674485" y="12287250"/>
          <a:ext cx="2744470" cy="5784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2800" b="1">
              <a:solidFill>
                <a:schemeClr val="bg2">
                  <a:lumMod val="75000"/>
                  <a:alpha val="11000"/>
                </a:schemeClr>
              </a:solidFill>
              <a:effectLst>
                <a:outerShdw blurRad="38100" dist="25400" dir="5400000" algn="ctr" rotWithShape="0">
                  <a:srgbClr val="6E747A">
                    <a:alpha val="43000"/>
                  </a:srgbClr>
                </a:outerShdw>
              </a:effectLst>
            </a:rPr>
            <a:t>国</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泰</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君</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安</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期</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货</a:t>
          </a:r>
        </a:p>
      </xdr:txBody>
    </xdr:sp>
    <xdr:clientData/>
  </xdr:oneCellAnchor>
</xdr:wsDr>
</file>

<file path=xl/drawings/drawing12.xml><?xml version="1.0" encoding="utf-8"?>
<xdr:wsDr xmlns:xdr="http://schemas.openxmlformats.org/drawingml/2006/spreadsheetDrawing" xmlns:a="http://schemas.openxmlformats.org/drawingml/2006/main">
  <xdr:oneCellAnchor>
    <xdr:from>
      <xdr:col>6</xdr:col>
      <xdr:colOff>1623695</xdr:colOff>
      <xdr:row>9</xdr:row>
      <xdr:rowOff>74785</xdr:rowOff>
    </xdr:from>
    <xdr:ext cx="2744983" cy="578685"/>
    <xdr:sp macro="" textlink="">
      <xdr:nvSpPr>
        <xdr:cNvPr id="2" name="矩形 1"/>
        <xdr:cNvSpPr/>
      </xdr:nvSpPr>
      <xdr:spPr>
        <a:xfrm rot="19140000">
          <a:off x="7167245" y="4368165"/>
          <a:ext cx="2744470" cy="579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2800" b="1">
              <a:solidFill>
                <a:schemeClr val="bg2">
                  <a:lumMod val="75000"/>
                  <a:alpha val="11000"/>
                </a:schemeClr>
              </a:solidFill>
              <a:effectLst>
                <a:outerShdw blurRad="38100" dist="25400" dir="5400000" algn="ctr" rotWithShape="0">
                  <a:srgbClr val="6E747A">
                    <a:alpha val="43000"/>
                  </a:srgbClr>
                </a:outerShdw>
              </a:effectLst>
            </a:rPr>
            <a:t>国</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泰</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君</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安</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期</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货</a:t>
          </a:r>
        </a:p>
      </xdr:txBody>
    </xdr:sp>
    <xdr:clientData/>
  </xdr:oneCellAnchor>
</xdr:wsDr>
</file>

<file path=xl/drawings/drawing13.xml><?xml version="1.0" encoding="utf-8"?>
<xdr:wsDr xmlns:xdr="http://schemas.openxmlformats.org/drawingml/2006/spreadsheetDrawing" xmlns:a="http://schemas.openxmlformats.org/drawingml/2006/main">
  <xdr:oneCellAnchor>
    <xdr:from>
      <xdr:col>4</xdr:col>
      <xdr:colOff>87630</xdr:colOff>
      <xdr:row>5</xdr:row>
      <xdr:rowOff>404651</xdr:rowOff>
    </xdr:from>
    <xdr:ext cx="2744982" cy="578685"/>
    <xdr:sp macro="" textlink="">
      <xdr:nvSpPr>
        <xdr:cNvPr id="2" name="矩形 1"/>
        <xdr:cNvSpPr/>
      </xdr:nvSpPr>
      <xdr:spPr>
        <a:xfrm rot="19140000">
          <a:off x="3878580" y="3610610"/>
          <a:ext cx="2744470" cy="5784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2800" b="1">
              <a:solidFill>
                <a:schemeClr val="bg2">
                  <a:lumMod val="75000"/>
                  <a:alpha val="11000"/>
                </a:schemeClr>
              </a:solidFill>
              <a:effectLst>
                <a:outerShdw blurRad="38100" dist="25400" dir="5400000" algn="ctr" rotWithShape="0">
                  <a:srgbClr val="6E747A">
                    <a:alpha val="43000"/>
                  </a:srgbClr>
                </a:outerShdw>
              </a:effectLst>
            </a:rPr>
            <a:t>国</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泰</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君</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安</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期</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货</a:t>
          </a:r>
        </a:p>
      </xdr:txBody>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szse.cn/lawrules/rule/derivative/index.html" TargetMode="External"/><Relationship Id="rId3" Type="http://schemas.openxmlformats.org/officeDocument/2006/relationships/hyperlink" Target="https://www.ine.cn/regulation/regulation/" TargetMode="External"/><Relationship Id="rId7" Type="http://schemas.openxmlformats.org/officeDocument/2006/relationships/hyperlink" Target="http://www.sse.com.cn/lawandrules/sselawsrules/option/" TargetMode="External"/><Relationship Id="rId2" Type="http://schemas.openxmlformats.org/officeDocument/2006/relationships/hyperlink" Target="https://www.shfe.com.cn/regulation/" TargetMode="External"/><Relationship Id="rId1" Type="http://schemas.openxmlformats.org/officeDocument/2006/relationships/hyperlink" Target="http://www.cffex.com.cn/jysgz/" TargetMode="External"/><Relationship Id="rId6" Type="http://schemas.openxmlformats.org/officeDocument/2006/relationships/hyperlink" Target="http://www.gfex.com.cn/gfex/jysgz/lists_notime.shtml" TargetMode="External"/><Relationship Id="rId5" Type="http://schemas.openxmlformats.org/officeDocument/2006/relationships/hyperlink" Target="http://www.czce.com.cn/cn/flfg/H7705index_1.htm" TargetMode="External"/><Relationship Id="rId4" Type="http://schemas.openxmlformats.org/officeDocument/2006/relationships/hyperlink" Target="http://www.dce.com.cn/dalianshangpin/fgfz/index.html" TargetMode="Externa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rgb="FFFFFFFF"/>
  </sheetPr>
  <dimension ref="A1:Z16"/>
  <sheetViews>
    <sheetView workbookViewId="0">
      <selection sqref="A1:B1"/>
    </sheetView>
  </sheetViews>
  <sheetFormatPr defaultColWidth="9" defaultRowHeight="16.5"/>
  <cols>
    <col min="1" max="1" width="10.25" style="28" customWidth="1"/>
    <col min="2" max="2" width="63" style="28" customWidth="1"/>
    <col min="3" max="3" width="9" style="28"/>
    <col min="4" max="4" width="25.375" style="28" customWidth="1"/>
    <col min="5" max="26" width="9" style="28"/>
  </cols>
  <sheetData>
    <row r="1" spans="1:10" ht="50.1" customHeight="1">
      <c r="A1" s="575" t="s">
        <v>0</v>
      </c>
      <c r="B1" s="576"/>
      <c r="D1" s="577" t="s">
        <v>1</v>
      </c>
      <c r="E1" s="578"/>
      <c r="F1" s="578"/>
      <c r="G1" s="578"/>
      <c r="H1" s="578"/>
      <c r="I1" s="578"/>
      <c r="J1" s="579"/>
    </row>
    <row r="2" spans="1:10" ht="32.1" customHeight="1">
      <c r="A2" s="560">
        <v>1</v>
      </c>
      <c r="B2" s="561" t="s">
        <v>2</v>
      </c>
      <c r="D2" s="562" t="s">
        <v>3</v>
      </c>
      <c r="E2" s="569" t="s">
        <v>4</v>
      </c>
      <c r="F2" s="570"/>
      <c r="G2" s="570"/>
      <c r="H2" s="570"/>
      <c r="I2" s="570"/>
      <c r="J2" s="571"/>
    </row>
    <row r="3" spans="1:10" ht="32.1" customHeight="1">
      <c r="A3" s="563">
        <v>2</v>
      </c>
      <c r="B3" s="564" t="s">
        <v>5</v>
      </c>
      <c r="D3" s="562" t="s">
        <v>6</v>
      </c>
      <c r="E3" s="569" t="s">
        <v>7</v>
      </c>
      <c r="F3" s="570"/>
      <c r="G3" s="570"/>
      <c r="H3" s="570"/>
      <c r="I3" s="570"/>
      <c r="J3" s="571"/>
    </row>
    <row r="4" spans="1:10" ht="32.1" customHeight="1">
      <c r="A4" s="563">
        <v>3</v>
      </c>
      <c r="B4" s="564" t="s">
        <v>8</v>
      </c>
      <c r="D4" s="562" t="s">
        <v>9</v>
      </c>
      <c r="E4" s="569" t="s">
        <v>10</v>
      </c>
      <c r="F4" s="570"/>
      <c r="G4" s="570"/>
      <c r="H4" s="570"/>
      <c r="I4" s="570"/>
      <c r="J4" s="571"/>
    </row>
    <row r="5" spans="1:10" ht="32.1" customHeight="1">
      <c r="A5" s="563">
        <v>4</v>
      </c>
      <c r="B5" s="564" t="s">
        <v>11</v>
      </c>
      <c r="D5" s="562" t="s">
        <v>12</v>
      </c>
      <c r="E5" s="569" t="s">
        <v>13</v>
      </c>
      <c r="F5" s="570"/>
      <c r="G5" s="570"/>
      <c r="H5" s="570"/>
      <c r="I5" s="570"/>
      <c r="J5" s="571"/>
    </row>
    <row r="6" spans="1:10" ht="32.1" customHeight="1">
      <c r="A6" s="563">
        <v>5</v>
      </c>
      <c r="B6" s="564" t="s">
        <v>14</v>
      </c>
      <c r="D6" s="562" t="s">
        <v>15</v>
      </c>
      <c r="E6" s="569" t="s">
        <v>16</v>
      </c>
      <c r="F6" s="570"/>
      <c r="G6" s="570"/>
      <c r="H6" s="570"/>
      <c r="I6" s="570"/>
      <c r="J6" s="571"/>
    </row>
    <row r="7" spans="1:10" ht="32.1" customHeight="1">
      <c r="A7" s="563">
        <v>6</v>
      </c>
      <c r="B7" s="564" t="s">
        <v>17</v>
      </c>
      <c r="D7" s="562" t="s">
        <v>18</v>
      </c>
      <c r="E7" s="569" t="s">
        <v>19</v>
      </c>
      <c r="F7" s="570"/>
      <c r="G7" s="570"/>
      <c r="H7" s="570"/>
      <c r="I7" s="570"/>
      <c r="J7" s="571"/>
    </row>
    <row r="8" spans="1:10" ht="32.1" customHeight="1">
      <c r="A8" s="563">
        <v>7</v>
      </c>
      <c r="B8" s="564" t="s">
        <v>20</v>
      </c>
      <c r="D8" s="562" t="s">
        <v>21</v>
      </c>
      <c r="E8" s="569" t="s">
        <v>22</v>
      </c>
      <c r="F8" s="570"/>
      <c r="G8" s="570"/>
      <c r="H8" s="570"/>
      <c r="I8" s="570"/>
      <c r="J8" s="571"/>
    </row>
    <row r="9" spans="1:10" ht="32.1" customHeight="1">
      <c r="A9" s="563">
        <v>8</v>
      </c>
      <c r="B9" s="561" t="s">
        <v>23</v>
      </c>
      <c r="D9" s="565" t="s">
        <v>24</v>
      </c>
      <c r="E9" s="572" t="s">
        <v>25</v>
      </c>
      <c r="F9" s="573"/>
      <c r="G9" s="573"/>
      <c r="H9" s="573"/>
      <c r="I9" s="573"/>
      <c r="J9" s="574"/>
    </row>
    <row r="10" spans="1:10" ht="32.1" customHeight="1">
      <c r="A10" s="563">
        <v>9</v>
      </c>
      <c r="B10" s="564" t="s">
        <v>26</v>
      </c>
    </row>
    <row r="11" spans="1:10" ht="32.1" customHeight="1">
      <c r="A11" s="563">
        <v>10</v>
      </c>
      <c r="B11" s="564" t="s">
        <v>27</v>
      </c>
    </row>
    <row r="12" spans="1:10" ht="32.1" customHeight="1">
      <c r="A12" s="563">
        <v>11</v>
      </c>
      <c r="B12" s="564" t="s">
        <v>28</v>
      </c>
    </row>
    <row r="13" spans="1:10" ht="32.1" customHeight="1">
      <c r="A13" s="563">
        <v>12</v>
      </c>
      <c r="B13" s="561" t="s">
        <v>29</v>
      </c>
    </row>
    <row r="14" spans="1:10" ht="32.1" customHeight="1">
      <c r="A14" s="563">
        <v>13</v>
      </c>
      <c r="B14" s="564" t="s">
        <v>30</v>
      </c>
    </row>
    <row r="15" spans="1:10" ht="32.1" customHeight="1">
      <c r="A15" s="566">
        <v>14</v>
      </c>
      <c r="B15" s="561" t="s">
        <v>31</v>
      </c>
    </row>
    <row r="16" spans="1:10" ht="45.95" customHeight="1">
      <c r="A16" s="567" t="s">
        <v>32</v>
      </c>
      <c r="B16" s="568"/>
    </row>
  </sheetData>
  <mergeCells count="11">
    <mergeCell ref="A1:B1"/>
    <mergeCell ref="D1:J1"/>
    <mergeCell ref="E2:J2"/>
    <mergeCell ref="E3:J3"/>
    <mergeCell ref="E4:J4"/>
    <mergeCell ref="A16:B16"/>
    <mergeCell ref="E5:J5"/>
    <mergeCell ref="E6:J6"/>
    <mergeCell ref="E7:J7"/>
    <mergeCell ref="E8:J8"/>
    <mergeCell ref="E9:J9"/>
  </mergeCells>
  <phoneticPr fontId="106" type="noConversion"/>
  <hyperlinks>
    <hyperlink ref="E2" r:id="rId1"/>
    <hyperlink ref="B3" location="'交易时间表'!A1" display="交易时间表"/>
    <hyperlink ref="E3" r:id="rId2"/>
    <hyperlink ref="B4" location="'期货合约要素'!A1" display="期货合约要素"/>
    <hyperlink ref="E4" r:id="rId3"/>
    <hyperlink ref="B5" location="'期权合约要素'!A1" display="期权合约要素"/>
    <hyperlink ref="E5" r:id="rId4"/>
    <hyperlink ref="B6" location="'保证金及涨跌停板幅度表'!A1" display="保证金及涨跌停板幅度表"/>
    <hyperlink ref="E6" r:id="rId5"/>
    <hyperlink ref="B7" location="'限仓规则'!A1" display="限仓规则"/>
    <hyperlink ref="E7" r:id="rId6"/>
    <hyperlink ref="B8" location="'交易限额'!A1" display="交易限额"/>
    <hyperlink ref="E8" r:id="rId7"/>
    <hyperlink ref="B9" location="'异常交易规则'!A1" display="异常交易规则"/>
    <hyperlink ref="E9" r:id="rId8" tooltip="https://www.szse.cn/lawrules/rule/derivative/index.html"/>
    <hyperlink ref="B10" location="'交割规则'!A1" display="交割规则"/>
    <hyperlink ref="B11" location="'保证金优惠规则'!A1" display="保证金优惠规则"/>
    <hyperlink ref="B12" location="'交易指令'!A1" display="指令规则"/>
    <hyperlink ref="B13" location="'期权行权规则'!A1" display="期权行权规则"/>
    <hyperlink ref="B14" location="'申报费规则'!A1" display="申报费规则"/>
    <hyperlink ref="B15" location="'修订记录'!A1" display="修订记录"/>
  </hyperlinks>
  <pageMargins left="0.75" right="0.75" top="1" bottom="1" header="0.5" footer="0.5"/>
  <drawing r:id="rId9"/>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Z91"/>
  <sheetViews>
    <sheetView workbookViewId="0">
      <selection activeCell="F28" sqref="F28:F44"/>
    </sheetView>
  </sheetViews>
  <sheetFormatPr defaultColWidth="9" defaultRowHeight="16.5"/>
  <cols>
    <col min="1" max="1" width="6.375" style="28" customWidth="1"/>
    <col min="2" max="2" width="10.25" style="28" customWidth="1"/>
    <col min="3" max="3" width="17.5" style="28" customWidth="1"/>
    <col min="4" max="4" width="10.25" style="28" customWidth="1"/>
    <col min="5" max="5" width="12.625" style="28" customWidth="1"/>
    <col min="6" max="6" width="19.125" style="28" customWidth="1"/>
    <col min="7" max="7" width="22.625" style="28" customWidth="1"/>
    <col min="8" max="9" width="19.125" style="28" customWidth="1"/>
    <col min="10" max="26" width="9" style="28"/>
  </cols>
  <sheetData>
    <row r="1" spans="1:9" ht="24.95" customHeight="1">
      <c r="A1" s="623" t="s">
        <v>33</v>
      </c>
      <c r="B1" s="623"/>
      <c r="C1" s="623"/>
    </row>
    <row r="2" spans="1:9" ht="48" customHeight="1">
      <c r="B2" s="624" t="s">
        <v>34</v>
      </c>
      <c r="C2" s="625"/>
      <c r="D2" s="625"/>
      <c r="E2" s="625"/>
      <c r="F2" s="625"/>
      <c r="G2" s="625"/>
      <c r="H2" s="625"/>
      <c r="I2" s="626"/>
    </row>
    <row r="3" spans="1:9" ht="27" customHeight="1">
      <c r="B3" s="631" t="s">
        <v>35</v>
      </c>
      <c r="C3" s="627" t="s">
        <v>36</v>
      </c>
      <c r="D3" s="627" t="s">
        <v>37</v>
      </c>
      <c r="E3" s="636" t="s">
        <v>38</v>
      </c>
      <c r="F3" s="627" t="s">
        <v>39</v>
      </c>
      <c r="G3" s="627"/>
      <c r="H3" s="627"/>
      <c r="I3" s="628"/>
    </row>
    <row r="4" spans="1:9" ht="27" customHeight="1">
      <c r="B4" s="631"/>
      <c r="C4" s="627"/>
      <c r="D4" s="627"/>
      <c r="E4" s="636"/>
      <c r="F4" s="298" t="s">
        <v>40</v>
      </c>
      <c r="G4" s="298" t="s">
        <v>41</v>
      </c>
      <c r="H4" s="298" t="s">
        <v>42</v>
      </c>
      <c r="I4" s="306" t="s">
        <v>43</v>
      </c>
    </row>
    <row r="5" spans="1:9" ht="30" customHeight="1">
      <c r="B5" s="632" t="s">
        <v>44</v>
      </c>
      <c r="C5" s="45" t="s">
        <v>45</v>
      </c>
      <c r="D5" s="554" t="s">
        <v>46</v>
      </c>
      <c r="E5" s="45"/>
      <c r="F5" s="629" t="s">
        <v>47</v>
      </c>
      <c r="G5" s="629"/>
      <c r="H5" s="555" t="s">
        <v>48</v>
      </c>
      <c r="I5" s="601" t="s">
        <v>49</v>
      </c>
    </row>
    <row r="6" spans="1:9" ht="30" customHeight="1">
      <c r="B6" s="633"/>
      <c r="C6" s="45" t="s">
        <v>50</v>
      </c>
      <c r="D6" s="554" t="s">
        <v>51</v>
      </c>
      <c r="E6" s="45" t="s">
        <v>52</v>
      </c>
      <c r="F6" s="637" t="s">
        <v>53</v>
      </c>
      <c r="G6" s="597" t="s">
        <v>54</v>
      </c>
      <c r="H6" s="598" t="s">
        <v>55</v>
      </c>
      <c r="I6" s="600"/>
    </row>
    <row r="7" spans="1:9" ht="30" customHeight="1">
      <c r="B7" s="633"/>
      <c r="C7" s="45" t="s">
        <v>56</v>
      </c>
      <c r="D7" s="554" t="s">
        <v>57</v>
      </c>
      <c r="E7" s="45"/>
      <c r="F7" s="637"/>
      <c r="G7" s="597"/>
      <c r="H7" s="597"/>
      <c r="I7" s="600"/>
    </row>
    <row r="8" spans="1:9" ht="30" customHeight="1">
      <c r="B8" s="633"/>
      <c r="C8" s="45" t="s">
        <v>58</v>
      </c>
      <c r="D8" s="554" t="s">
        <v>59</v>
      </c>
      <c r="E8" s="45"/>
      <c r="F8" s="637"/>
      <c r="G8" s="597"/>
      <c r="H8" s="597"/>
      <c r="I8" s="600"/>
    </row>
    <row r="9" spans="1:9" ht="30" customHeight="1">
      <c r="B9" s="633"/>
      <c r="C9" s="45" t="s">
        <v>60</v>
      </c>
      <c r="D9" s="554" t="s">
        <v>61</v>
      </c>
      <c r="E9" s="45"/>
      <c r="F9" s="637"/>
      <c r="G9" s="597"/>
      <c r="H9" s="597"/>
      <c r="I9" s="600"/>
    </row>
    <row r="10" spans="1:9" ht="30" customHeight="1">
      <c r="B10" s="633"/>
      <c r="C10" s="45" t="s">
        <v>62</v>
      </c>
      <c r="D10" s="554" t="s">
        <v>63</v>
      </c>
      <c r="E10" s="45" t="s">
        <v>52</v>
      </c>
      <c r="F10" s="637"/>
      <c r="G10" s="597"/>
      <c r="H10" s="597"/>
      <c r="I10" s="600"/>
    </row>
    <row r="11" spans="1:9" ht="30" customHeight="1">
      <c r="B11" s="633"/>
      <c r="C11" s="45" t="s">
        <v>64</v>
      </c>
      <c r="D11" s="554" t="s">
        <v>65</v>
      </c>
      <c r="E11" s="45" t="s">
        <v>52</v>
      </c>
      <c r="F11" s="637"/>
      <c r="G11" s="597"/>
      <c r="H11" s="597"/>
      <c r="I11" s="600"/>
    </row>
    <row r="12" spans="1:9" ht="30" customHeight="1">
      <c r="B12" s="633"/>
      <c r="C12" s="43" t="s">
        <v>66</v>
      </c>
      <c r="D12" s="554" t="s">
        <v>67</v>
      </c>
      <c r="E12" s="43"/>
      <c r="F12" s="637"/>
      <c r="G12" s="597"/>
      <c r="H12" s="597"/>
      <c r="I12" s="600"/>
    </row>
    <row r="13" spans="1:9" ht="30" customHeight="1">
      <c r="B13" s="633"/>
      <c r="C13" s="43" t="s">
        <v>68</v>
      </c>
      <c r="D13" s="554" t="s">
        <v>69</v>
      </c>
      <c r="E13" s="43" t="s">
        <v>52</v>
      </c>
      <c r="F13" s="597" t="s">
        <v>53</v>
      </c>
      <c r="G13" s="597" t="s">
        <v>70</v>
      </c>
      <c r="H13" s="597"/>
      <c r="I13" s="600"/>
    </row>
    <row r="14" spans="1:9" ht="30" customHeight="1">
      <c r="B14" s="633"/>
      <c r="C14" s="43" t="s">
        <v>71</v>
      </c>
      <c r="D14" s="554" t="s">
        <v>72</v>
      </c>
      <c r="E14" s="43" t="s">
        <v>52</v>
      </c>
      <c r="F14" s="597"/>
      <c r="G14" s="597"/>
      <c r="H14" s="597"/>
      <c r="I14" s="600"/>
    </row>
    <row r="15" spans="1:9" ht="30" customHeight="1">
      <c r="B15" s="633"/>
      <c r="C15" s="43" t="s">
        <v>73</v>
      </c>
      <c r="D15" s="554" t="s">
        <v>74</v>
      </c>
      <c r="E15" s="43"/>
      <c r="F15" s="597"/>
      <c r="G15" s="597"/>
      <c r="H15" s="597"/>
      <c r="I15" s="600"/>
    </row>
    <row r="16" spans="1:9" ht="30" customHeight="1">
      <c r="B16" s="633"/>
      <c r="C16" s="43" t="s">
        <v>75</v>
      </c>
      <c r="D16" s="554" t="s">
        <v>76</v>
      </c>
      <c r="E16" s="43" t="s">
        <v>52</v>
      </c>
      <c r="F16" s="597"/>
      <c r="G16" s="597"/>
      <c r="H16" s="597"/>
      <c r="I16" s="600"/>
    </row>
    <row r="17" spans="2:9" ht="30" customHeight="1">
      <c r="B17" s="633"/>
      <c r="C17" s="45" t="s">
        <v>77</v>
      </c>
      <c r="D17" s="554" t="s">
        <v>78</v>
      </c>
      <c r="E17" s="45" t="s">
        <v>52</v>
      </c>
      <c r="F17" s="597"/>
      <c r="G17" s="597"/>
      <c r="H17" s="597"/>
      <c r="I17" s="600"/>
    </row>
    <row r="18" spans="2:9" ht="30" customHeight="1">
      <c r="B18" s="633"/>
      <c r="C18" s="45" t="s">
        <v>79</v>
      </c>
      <c r="D18" s="554" t="s">
        <v>80</v>
      </c>
      <c r="E18" s="45" t="s">
        <v>52</v>
      </c>
      <c r="F18" s="597"/>
      <c r="G18" s="597"/>
      <c r="H18" s="597"/>
      <c r="I18" s="600"/>
    </row>
    <row r="19" spans="2:9" ht="30" customHeight="1">
      <c r="B19" s="633"/>
      <c r="C19" s="45" t="s">
        <v>81</v>
      </c>
      <c r="D19" s="554" t="s">
        <v>82</v>
      </c>
      <c r="E19" s="45" t="s">
        <v>52</v>
      </c>
      <c r="F19" s="597"/>
      <c r="G19" s="597"/>
      <c r="H19" s="597"/>
      <c r="I19" s="600"/>
    </row>
    <row r="20" spans="2:9" ht="30" customHeight="1">
      <c r="B20" s="633"/>
      <c r="C20" s="45" t="s">
        <v>83</v>
      </c>
      <c r="D20" s="554" t="s">
        <v>84</v>
      </c>
      <c r="E20" s="45" t="s">
        <v>52</v>
      </c>
      <c r="F20" s="597"/>
      <c r="G20" s="597"/>
      <c r="H20" s="597"/>
      <c r="I20" s="600"/>
    </row>
    <row r="21" spans="2:9" ht="30" customHeight="1">
      <c r="B21" s="633"/>
      <c r="C21" s="45" t="s">
        <v>85</v>
      </c>
      <c r="D21" s="556" t="s">
        <v>86</v>
      </c>
      <c r="E21" s="45" t="s">
        <v>52</v>
      </c>
      <c r="F21" s="598" t="s">
        <v>53</v>
      </c>
      <c r="G21" s="598" t="s">
        <v>87</v>
      </c>
      <c r="H21" s="597"/>
      <c r="I21" s="600"/>
    </row>
    <row r="22" spans="2:9" ht="30" customHeight="1">
      <c r="B22" s="633"/>
      <c r="C22" s="45" t="s">
        <v>88</v>
      </c>
      <c r="D22" s="556" t="s">
        <v>89</v>
      </c>
      <c r="E22" s="45" t="s">
        <v>52</v>
      </c>
      <c r="F22" s="598"/>
      <c r="G22" s="598"/>
      <c r="H22" s="597"/>
      <c r="I22" s="600"/>
    </row>
    <row r="23" spans="2:9" ht="30" customHeight="1">
      <c r="B23" s="634" t="s">
        <v>90</v>
      </c>
      <c r="C23" s="45" t="s">
        <v>91</v>
      </c>
      <c r="D23" s="556" t="s">
        <v>92</v>
      </c>
      <c r="E23" s="45" t="s">
        <v>52</v>
      </c>
      <c r="F23" s="598"/>
      <c r="G23" s="598"/>
      <c r="H23" s="597"/>
      <c r="I23" s="600"/>
    </row>
    <row r="24" spans="2:9" ht="30" customHeight="1">
      <c r="B24" s="634"/>
      <c r="C24" s="45" t="s">
        <v>93</v>
      </c>
      <c r="D24" s="556" t="s">
        <v>94</v>
      </c>
      <c r="E24" s="45"/>
      <c r="F24" s="598" t="s">
        <v>53</v>
      </c>
      <c r="G24" s="598" t="s">
        <v>54</v>
      </c>
      <c r="H24" s="597"/>
      <c r="I24" s="600"/>
    </row>
    <row r="25" spans="2:9" ht="30" customHeight="1">
      <c r="B25" s="634"/>
      <c r="C25" s="45" t="s">
        <v>95</v>
      </c>
      <c r="D25" s="556" t="s">
        <v>96</v>
      </c>
      <c r="E25" s="45"/>
      <c r="F25" s="598"/>
      <c r="G25" s="598"/>
      <c r="H25" s="597"/>
      <c r="I25" s="600"/>
    </row>
    <row r="26" spans="2:9" ht="30" customHeight="1">
      <c r="B26" s="634"/>
      <c r="C26" s="45" t="s">
        <v>97</v>
      </c>
      <c r="D26" s="45" t="s">
        <v>98</v>
      </c>
      <c r="E26" s="45"/>
      <c r="F26" s="45" t="s">
        <v>53</v>
      </c>
      <c r="G26" s="45" t="s">
        <v>99</v>
      </c>
      <c r="H26" s="597"/>
      <c r="I26" s="600"/>
    </row>
    <row r="27" spans="2:9" ht="30" customHeight="1">
      <c r="B27" s="635"/>
      <c r="C27" s="341" t="s">
        <v>100</v>
      </c>
      <c r="D27" s="557" t="s">
        <v>101</v>
      </c>
      <c r="E27" s="341"/>
      <c r="F27" s="630" t="s">
        <v>47</v>
      </c>
      <c r="G27" s="630"/>
      <c r="H27" s="558" t="s">
        <v>48</v>
      </c>
      <c r="I27" s="602"/>
    </row>
    <row r="28" spans="2:9" ht="30" customHeight="1">
      <c r="B28" s="611" t="s">
        <v>102</v>
      </c>
      <c r="C28" s="45" t="s">
        <v>103</v>
      </c>
      <c r="D28" s="554" t="s">
        <v>104</v>
      </c>
      <c r="E28" s="45" t="s">
        <v>52</v>
      </c>
      <c r="F28" s="597" t="s">
        <v>53</v>
      </c>
      <c r="G28" s="597" t="s">
        <v>54</v>
      </c>
      <c r="H28" s="598" t="s">
        <v>105</v>
      </c>
      <c r="I28" s="603" t="s">
        <v>49</v>
      </c>
    </row>
    <row r="29" spans="2:9" ht="30" customHeight="1">
      <c r="B29" s="612"/>
      <c r="C29" s="45" t="s">
        <v>106</v>
      </c>
      <c r="D29" s="554" t="s">
        <v>107</v>
      </c>
      <c r="E29" s="45" t="s">
        <v>52</v>
      </c>
      <c r="F29" s="597"/>
      <c r="G29" s="597"/>
      <c r="H29" s="597"/>
      <c r="I29" s="604"/>
    </row>
    <row r="30" spans="2:9" ht="30" customHeight="1">
      <c r="B30" s="612"/>
      <c r="C30" s="45" t="s">
        <v>108</v>
      </c>
      <c r="D30" s="554" t="s">
        <v>109</v>
      </c>
      <c r="E30" s="45" t="s">
        <v>52</v>
      </c>
      <c r="F30" s="597"/>
      <c r="G30" s="597"/>
      <c r="H30" s="597"/>
      <c r="I30" s="604"/>
    </row>
    <row r="31" spans="2:9" ht="30" customHeight="1">
      <c r="B31" s="612"/>
      <c r="C31" s="45" t="s">
        <v>110</v>
      </c>
      <c r="D31" s="554" t="s">
        <v>111</v>
      </c>
      <c r="E31" s="45" t="s">
        <v>52</v>
      </c>
      <c r="F31" s="597"/>
      <c r="G31" s="597"/>
      <c r="H31" s="597"/>
      <c r="I31" s="604"/>
    </row>
    <row r="32" spans="2:9" ht="30" customHeight="1">
      <c r="B32" s="612"/>
      <c r="C32" s="45" t="s">
        <v>112</v>
      </c>
      <c r="D32" s="554" t="s">
        <v>113</v>
      </c>
      <c r="E32" s="45" t="s">
        <v>52</v>
      </c>
      <c r="F32" s="597"/>
      <c r="G32" s="597"/>
      <c r="H32" s="597"/>
      <c r="I32" s="604"/>
    </row>
    <row r="33" spans="2:9" ht="30" customHeight="1">
      <c r="B33" s="612"/>
      <c r="C33" s="45" t="s">
        <v>114</v>
      </c>
      <c r="D33" s="554" t="s">
        <v>115</v>
      </c>
      <c r="E33" s="45" t="s">
        <v>52</v>
      </c>
      <c r="F33" s="597"/>
      <c r="G33" s="597"/>
      <c r="H33" s="597"/>
      <c r="I33" s="604"/>
    </row>
    <row r="34" spans="2:9" ht="30" customHeight="1">
      <c r="B34" s="612"/>
      <c r="C34" s="45" t="s">
        <v>116</v>
      </c>
      <c r="D34" s="554" t="s">
        <v>117</v>
      </c>
      <c r="E34" s="45" t="s">
        <v>52</v>
      </c>
      <c r="F34" s="597"/>
      <c r="G34" s="597"/>
      <c r="H34" s="597"/>
      <c r="I34" s="604"/>
    </row>
    <row r="35" spans="2:9" ht="30" customHeight="1">
      <c r="B35" s="612"/>
      <c r="C35" s="45" t="s">
        <v>118</v>
      </c>
      <c r="D35" s="554" t="s">
        <v>119</v>
      </c>
      <c r="E35" s="45" t="s">
        <v>52</v>
      </c>
      <c r="F35" s="597"/>
      <c r="G35" s="597"/>
      <c r="H35" s="597"/>
      <c r="I35" s="604"/>
    </row>
    <row r="36" spans="2:9" ht="30" customHeight="1">
      <c r="B36" s="612"/>
      <c r="C36" s="45" t="s">
        <v>120</v>
      </c>
      <c r="D36" s="554" t="s">
        <v>121</v>
      </c>
      <c r="E36" s="45" t="s">
        <v>52</v>
      </c>
      <c r="F36" s="597"/>
      <c r="G36" s="597"/>
      <c r="H36" s="597"/>
      <c r="I36" s="604"/>
    </row>
    <row r="37" spans="2:9" ht="30" customHeight="1">
      <c r="B37" s="612"/>
      <c r="C37" s="45" t="s">
        <v>122</v>
      </c>
      <c r="D37" s="554" t="s">
        <v>123</v>
      </c>
      <c r="E37" s="45" t="s">
        <v>52</v>
      </c>
      <c r="F37" s="597"/>
      <c r="G37" s="597"/>
      <c r="H37" s="597"/>
      <c r="I37" s="604"/>
    </row>
    <row r="38" spans="2:9" ht="30" customHeight="1">
      <c r="B38" s="612"/>
      <c r="C38" s="45" t="s">
        <v>124</v>
      </c>
      <c r="D38" s="554" t="s">
        <v>125</v>
      </c>
      <c r="E38" s="45" t="s">
        <v>52</v>
      </c>
      <c r="F38" s="597"/>
      <c r="G38" s="597"/>
      <c r="H38" s="597"/>
      <c r="I38" s="604"/>
    </row>
    <row r="39" spans="2:9" ht="30" customHeight="1">
      <c r="B39" s="612"/>
      <c r="C39" s="45" t="s">
        <v>126</v>
      </c>
      <c r="D39" s="554" t="s">
        <v>127</v>
      </c>
      <c r="E39" s="45" t="s">
        <v>52</v>
      </c>
      <c r="F39" s="597"/>
      <c r="G39" s="597"/>
      <c r="H39" s="597"/>
      <c r="I39" s="604"/>
    </row>
    <row r="40" spans="2:9" ht="30" customHeight="1">
      <c r="B40" s="612"/>
      <c r="C40" s="45" t="s">
        <v>128</v>
      </c>
      <c r="D40" s="554" t="s">
        <v>129</v>
      </c>
      <c r="E40" s="45"/>
      <c r="F40" s="597"/>
      <c r="G40" s="597"/>
      <c r="H40" s="597"/>
      <c r="I40" s="604"/>
    </row>
    <row r="41" spans="2:9" ht="30" customHeight="1">
      <c r="B41" s="612"/>
      <c r="C41" s="45" t="s">
        <v>130</v>
      </c>
      <c r="D41" s="554" t="s">
        <v>131</v>
      </c>
      <c r="E41" s="45"/>
      <c r="F41" s="597"/>
      <c r="G41" s="597"/>
      <c r="H41" s="597"/>
      <c r="I41" s="604"/>
    </row>
    <row r="42" spans="2:9" ht="30" customHeight="1">
      <c r="B42" s="612"/>
      <c r="C42" s="45" t="s">
        <v>132</v>
      </c>
      <c r="D42" s="554" t="s">
        <v>133</v>
      </c>
      <c r="E42" s="45"/>
      <c r="F42" s="597"/>
      <c r="G42" s="597"/>
      <c r="H42" s="597"/>
      <c r="I42" s="604"/>
    </row>
    <row r="43" spans="2:9" ht="30" customHeight="1">
      <c r="B43" s="612"/>
      <c r="C43" s="45" t="s">
        <v>134</v>
      </c>
      <c r="D43" s="554" t="s">
        <v>135</v>
      </c>
      <c r="E43" s="45" t="s">
        <v>52</v>
      </c>
      <c r="F43" s="597"/>
      <c r="G43" s="597"/>
      <c r="H43" s="597"/>
      <c r="I43" s="604"/>
    </row>
    <row r="44" spans="2:9" ht="30" customHeight="1">
      <c r="B44" s="612"/>
      <c r="C44" s="45" t="s">
        <v>136</v>
      </c>
      <c r="D44" s="554" t="s">
        <v>137</v>
      </c>
      <c r="E44" s="45" t="s">
        <v>52</v>
      </c>
      <c r="F44" s="597"/>
      <c r="G44" s="597"/>
      <c r="H44" s="597"/>
      <c r="I44" s="604"/>
    </row>
    <row r="45" spans="2:9" ht="30" customHeight="1">
      <c r="B45" s="612"/>
      <c r="C45" s="45" t="s">
        <v>138</v>
      </c>
      <c r="D45" s="554" t="s">
        <v>139</v>
      </c>
      <c r="E45" s="45" t="s">
        <v>52</v>
      </c>
      <c r="F45" s="581" t="s">
        <v>47</v>
      </c>
      <c r="G45" s="582"/>
      <c r="H45" s="605" t="s">
        <v>48</v>
      </c>
      <c r="I45" s="604"/>
    </row>
    <row r="46" spans="2:9" ht="30" customHeight="1">
      <c r="B46" s="612"/>
      <c r="C46" s="45" t="s">
        <v>140</v>
      </c>
      <c r="D46" s="554" t="s">
        <v>141</v>
      </c>
      <c r="E46" s="45" t="s">
        <v>52</v>
      </c>
      <c r="F46" s="583"/>
      <c r="G46" s="584"/>
      <c r="H46" s="606"/>
      <c r="I46" s="604"/>
    </row>
    <row r="47" spans="2:9" ht="30" customHeight="1">
      <c r="B47" s="612"/>
      <c r="C47" s="45" t="s">
        <v>142</v>
      </c>
      <c r="D47" s="554" t="s">
        <v>143</v>
      </c>
      <c r="E47" s="45"/>
      <c r="F47" s="583"/>
      <c r="G47" s="584"/>
      <c r="H47" s="606"/>
      <c r="I47" s="604"/>
    </row>
    <row r="48" spans="2:9" ht="30" customHeight="1">
      <c r="B48" s="612"/>
      <c r="C48" s="45" t="s">
        <v>144</v>
      </c>
      <c r="D48" s="554" t="s">
        <v>145</v>
      </c>
      <c r="E48" s="45"/>
      <c r="F48" s="583"/>
      <c r="G48" s="584"/>
      <c r="H48" s="606"/>
      <c r="I48" s="604"/>
    </row>
    <row r="49" spans="2:9" ht="30" customHeight="1">
      <c r="B49" s="613"/>
      <c r="C49" s="45" t="s">
        <v>146</v>
      </c>
      <c r="D49" s="556" t="s">
        <v>147</v>
      </c>
      <c r="E49" s="45" t="s">
        <v>52</v>
      </c>
      <c r="F49" s="585"/>
      <c r="G49" s="586"/>
      <c r="H49" s="607"/>
      <c r="I49" s="601"/>
    </row>
    <row r="50" spans="2:9" ht="30" customHeight="1">
      <c r="B50" s="614" t="s">
        <v>148</v>
      </c>
      <c r="C50" s="45" t="s">
        <v>149</v>
      </c>
      <c r="D50" s="554" t="s">
        <v>150</v>
      </c>
      <c r="E50" s="45" t="s">
        <v>52</v>
      </c>
      <c r="F50" s="597" t="s">
        <v>53</v>
      </c>
      <c r="G50" s="597" t="s">
        <v>54</v>
      </c>
      <c r="H50" s="598" t="s">
        <v>1671</v>
      </c>
      <c r="I50" s="599" t="s">
        <v>151</v>
      </c>
    </row>
    <row r="51" spans="2:9" ht="30" customHeight="1">
      <c r="B51" s="615"/>
      <c r="C51" s="45" t="s">
        <v>152</v>
      </c>
      <c r="D51" s="554" t="s">
        <v>153</v>
      </c>
      <c r="E51" s="45"/>
      <c r="F51" s="597"/>
      <c r="G51" s="597"/>
      <c r="H51" s="598"/>
      <c r="I51" s="600"/>
    </row>
    <row r="52" spans="2:9" ht="30" customHeight="1">
      <c r="B52" s="615"/>
      <c r="C52" s="45" t="s">
        <v>154</v>
      </c>
      <c r="D52" s="554" t="s">
        <v>155</v>
      </c>
      <c r="E52" s="45" t="s">
        <v>52</v>
      </c>
      <c r="F52" s="597"/>
      <c r="G52" s="597"/>
      <c r="H52" s="598"/>
      <c r="I52" s="600"/>
    </row>
    <row r="53" spans="2:9" ht="30" customHeight="1">
      <c r="B53" s="615"/>
      <c r="C53" s="45" t="s">
        <v>156</v>
      </c>
      <c r="D53" s="554" t="s">
        <v>157</v>
      </c>
      <c r="E53" s="45" t="s">
        <v>52</v>
      </c>
      <c r="F53" s="597"/>
      <c r="G53" s="597"/>
      <c r="H53" s="598"/>
      <c r="I53" s="600"/>
    </row>
    <row r="54" spans="2:9" ht="30" customHeight="1">
      <c r="B54" s="615"/>
      <c r="C54" s="45" t="s">
        <v>158</v>
      </c>
      <c r="D54" s="554" t="s">
        <v>159</v>
      </c>
      <c r="E54" s="45" t="s">
        <v>52</v>
      </c>
      <c r="F54" s="597"/>
      <c r="G54" s="597"/>
      <c r="H54" s="598"/>
      <c r="I54" s="600"/>
    </row>
    <row r="55" spans="2:9" ht="30" customHeight="1">
      <c r="B55" s="615"/>
      <c r="C55" s="45" t="s">
        <v>160</v>
      </c>
      <c r="D55" s="554" t="s">
        <v>161</v>
      </c>
      <c r="E55" s="45" t="s">
        <v>52</v>
      </c>
      <c r="F55" s="597"/>
      <c r="G55" s="597"/>
      <c r="H55" s="598"/>
      <c r="I55" s="600"/>
    </row>
    <row r="56" spans="2:9" ht="30" customHeight="1">
      <c r="B56" s="615"/>
      <c r="C56" s="45" t="s">
        <v>162</v>
      </c>
      <c r="D56" s="554" t="s">
        <v>163</v>
      </c>
      <c r="E56" s="45" t="s">
        <v>52</v>
      </c>
      <c r="F56" s="597"/>
      <c r="G56" s="597"/>
      <c r="H56" s="598"/>
      <c r="I56" s="600"/>
    </row>
    <row r="57" spans="2:9" ht="30" customHeight="1">
      <c r="B57" s="615"/>
      <c r="C57" s="45" t="s">
        <v>164</v>
      </c>
      <c r="D57" s="554" t="s">
        <v>165</v>
      </c>
      <c r="E57" s="45" t="s">
        <v>52</v>
      </c>
      <c r="F57" s="597"/>
      <c r="G57" s="597"/>
      <c r="H57" s="598"/>
      <c r="I57" s="600"/>
    </row>
    <row r="58" spans="2:9" ht="30" customHeight="1">
      <c r="B58" s="615"/>
      <c r="C58" s="45" t="s">
        <v>166</v>
      </c>
      <c r="D58" s="554" t="s">
        <v>167</v>
      </c>
      <c r="E58" s="45" t="s">
        <v>52</v>
      </c>
      <c r="F58" s="597"/>
      <c r="G58" s="597"/>
      <c r="H58" s="598"/>
      <c r="I58" s="600"/>
    </row>
    <row r="59" spans="2:9" ht="30" customHeight="1">
      <c r="B59" s="615"/>
      <c r="C59" s="45" t="s">
        <v>168</v>
      </c>
      <c r="D59" s="554" t="s">
        <v>169</v>
      </c>
      <c r="E59" s="45" t="s">
        <v>52</v>
      </c>
      <c r="F59" s="597"/>
      <c r="G59" s="597"/>
      <c r="H59" s="598"/>
      <c r="I59" s="600"/>
    </row>
    <row r="60" spans="2:9" ht="30" customHeight="1">
      <c r="B60" s="615"/>
      <c r="C60" s="45" t="s">
        <v>170</v>
      </c>
      <c r="D60" s="554" t="s">
        <v>171</v>
      </c>
      <c r="E60" s="45" t="s">
        <v>52</v>
      </c>
      <c r="F60" s="597"/>
      <c r="G60" s="597"/>
      <c r="H60" s="598"/>
      <c r="I60" s="600"/>
    </row>
    <row r="61" spans="2:9" ht="30" customHeight="1">
      <c r="B61" s="615"/>
      <c r="C61" s="45" t="s">
        <v>172</v>
      </c>
      <c r="D61" s="554" t="s">
        <v>173</v>
      </c>
      <c r="E61" s="45" t="s">
        <v>52</v>
      </c>
      <c r="F61" s="597"/>
      <c r="G61" s="597"/>
      <c r="H61" s="598"/>
      <c r="I61" s="600"/>
    </row>
    <row r="62" spans="2:9" ht="30" customHeight="1">
      <c r="B62" s="615"/>
      <c r="C62" s="45" t="s">
        <v>174</v>
      </c>
      <c r="D62" s="556" t="s">
        <v>175</v>
      </c>
      <c r="E62" s="45" t="s">
        <v>52</v>
      </c>
      <c r="F62" s="597"/>
      <c r="G62" s="597"/>
      <c r="H62" s="598"/>
      <c r="I62" s="600"/>
    </row>
    <row r="63" spans="2:9" ht="30" customHeight="1">
      <c r="B63" s="615"/>
      <c r="C63" s="45" t="s">
        <v>176</v>
      </c>
      <c r="D63" s="554" t="s">
        <v>177</v>
      </c>
      <c r="E63" s="45" t="s">
        <v>52</v>
      </c>
      <c r="F63" s="597"/>
      <c r="G63" s="597"/>
      <c r="H63" s="598"/>
      <c r="I63" s="600"/>
    </row>
    <row r="64" spans="2:9" ht="30" customHeight="1">
      <c r="B64" s="615"/>
      <c r="C64" s="45" t="s">
        <v>178</v>
      </c>
      <c r="D64" s="554" t="s">
        <v>179</v>
      </c>
      <c r="E64" s="45" t="s">
        <v>52</v>
      </c>
      <c r="F64" s="580" t="s">
        <v>47</v>
      </c>
      <c r="G64" s="580"/>
      <c r="H64" s="597" t="s">
        <v>48</v>
      </c>
      <c r="I64" s="600"/>
    </row>
    <row r="65" spans="2:9" ht="30" customHeight="1">
      <c r="B65" s="615"/>
      <c r="C65" s="45" t="s">
        <v>180</v>
      </c>
      <c r="D65" s="554" t="s">
        <v>181</v>
      </c>
      <c r="E65" s="45"/>
      <c r="F65" s="580"/>
      <c r="G65" s="580"/>
      <c r="H65" s="597"/>
      <c r="I65" s="600"/>
    </row>
    <row r="66" spans="2:9" ht="30" customHeight="1">
      <c r="B66" s="615"/>
      <c r="C66" s="45" t="s">
        <v>182</v>
      </c>
      <c r="D66" s="554" t="s">
        <v>183</v>
      </c>
      <c r="E66" s="45"/>
      <c r="F66" s="580"/>
      <c r="G66" s="580"/>
      <c r="H66" s="597"/>
      <c r="I66" s="600"/>
    </row>
    <row r="67" spans="2:9" ht="30" customHeight="1">
      <c r="B67" s="615"/>
      <c r="C67" s="45" t="s">
        <v>184</v>
      </c>
      <c r="D67" s="554" t="s">
        <v>185</v>
      </c>
      <c r="E67" s="45" t="s">
        <v>52</v>
      </c>
      <c r="F67" s="580"/>
      <c r="G67" s="580"/>
      <c r="H67" s="597"/>
      <c r="I67" s="600"/>
    </row>
    <row r="68" spans="2:9" ht="30" customHeight="1">
      <c r="B68" s="615"/>
      <c r="C68" s="45" t="s">
        <v>186</v>
      </c>
      <c r="D68" s="554" t="s">
        <v>187</v>
      </c>
      <c r="E68" s="45" t="s">
        <v>52</v>
      </c>
      <c r="F68" s="580"/>
      <c r="G68" s="580"/>
      <c r="H68" s="597"/>
      <c r="I68" s="600"/>
    </row>
    <row r="69" spans="2:9" ht="30" customHeight="1">
      <c r="B69" s="615"/>
      <c r="C69" s="45" t="s">
        <v>188</v>
      </c>
      <c r="D69" s="554" t="s">
        <v>189</v>
      </c>
      <c r="E69" s="45"/>
      <c r="F69" s="580"/>
      <c r="G69" s="580"/>
      <c r="H69" s="597"/>
      <c r="I69" s="600"/>
    </row>
    <row r="70" spans="2:9" ht="30" customHeight="1">
      <c r="B70" s="615"/>
      <c r="C70" s="45" t="s">
        <v>190</v>
      </c>
      <c r="D70" s="554" t="s">
        <v>191</v>
      </c>
      <c r="E70" s="45" t="s">
        <v>52</v>
      </c>
      <c r="F70" s="580"/>
      <c r="G70" s="580"/>
      <c r="H70" s="597"/>
      <c r="I70" s="600"/>
    </row>
    <row r="71" spans="2:9" ht="30" customHeight="1">
      <c r="B71" s="615"/>
      <c r="C71" s="45" t="s">
        <v>192</v>
      </c>
      <c r="D71" s="554" t="s">
        <v>193</v>
      </c>
      <c r="E71" s="45"/>
      <c r="F71" s="580"/>
      <c r="G71" s="580"/>
      <c r="H71" s="597"/>
      <c r="I71" s="600"/>
    </row>
    <row r="72" spans="2:9" ht="30" customHeight="1">
      <c r="B72" s="615"/>
      <c r="C72" s="45" t="s">
        <v>194</v>
      </c>
      <c r="D72" s="554" t="s">
        <v>195</v>
      </c>
      <c r="E72" s="45" t="s">
        <v>52</v>
      </c>
      <c r="F72" s="580"/>
      <c r="G72" s="580"/>
      <c r="H72" s="597"/>
      <c r="I72" s="600"/>
    </row>
    <row r="73" spans="2:9" ht="30" customHeight="1">
      <c r="B73" s="615"/>
      <c r="C73" s="45" t="s">
        <v>196</v>
      </c>
      <c r="D73" s="554" t="s">
        <v>197</v>
      </c>
      <c r="E73" s="45" t="s">
        <v>52</v>
      </c>
      <c r="F73" s="580"/>
      <c r="G73" s="580"/>
      <c r="H73" s="597"/>
      <c r="I73" s="600"/>
    </row>
    <row r="74" spans="2:9" ht="30" customHeight="1">
      <c r="B74" s="615"/>
      <c r="C74" s="45" t="s">
        <v>198</v>
      </c>
      <c r="D74" s="554" t="s">
        <v>199</v>
      </c>
      <c r="E74" s="45"/>
      <c r="F74" s="580"/>
      <c r="G74" s="580"/>
      <c r="H74" s="597"/>
      <c r="I74" s="600"/>
    </row>
    <row r="75" spans="2:9" ht="30" customHeight="1">
      <c r="B75" s="615"/>
      <c r="C75" s="45" t="s">
        <v>200</v>
      </c>
      <c r="D75" s="554" t="s">
        <v>201</v>
      </c>
      <c r="E75" s="45"/>
      <c r="F75" s="580"/>
      <c r="G75" s="580"/>
      <c r="H75" s="597"/>
      <c r="I75" s="600"/>
    </row>
    <row r="76" spans="2:9" ht="30" customHeight="1">
      <c r="B76" s="616" t="s">
        <v>202</v>
      </c>
      <c r="C76" s="43" t="s">
        <v>203</v>
      </c>
      <c r="D76" s="559" t="s">
        <v>204</v>
      </c>
      <c r="E76" s="45" t="s">
        <v>52</v>
      </c>
      <c r="F76" s="591" t="s">
        <v>47</v>
      </c>
      <c r="G76" s="592"/>
      <c r="H76" s="608" t="s">
        <v>48</v>
      </c>
      <c r="I76" s="603" t="s">
        <v>205</v>
      </c>
    </row>
    <row r="77" spans="2:9" ht="30" customHeight="1">
      <c r="B77" s="617"/>
      <c r="C77" s="43" t="s">
        <v>206</v>
      </c>
      <c r="D77" s="559" t="s">
        <v>207</v>
      </c>
      <c r="E77" s="45" t="s">
        <v>52</v>
      </c>
      <c r="F77" s="593"/>
      <c r="G77" s="594"/>
      <c r="H77" s="609"/>
      <c r="I77" s="604"/>
    </row>
    <row r="78" spans="2:9" ht="30" customHeight="1">
      <c r="B78" s="618"/>
      <c r="C78" s="45" t="s">
        <v>208</v>
      </c>
      <c r="D78" s="556" t="s">
        <v>209</v>
      </c>
      <c r="E78" s="45" t="s">
        <v>52</v>
      </c>
      <c r="F78" s="595"/>
      <c r="G78" s="596"/>
      <c r="H78" s="610"/>
      <c r="I78" s="601"/>
    </row>
    <row r="79" spans="2:9" ht="30" customHeight="1">
      <c r="B79" s="619" t="s">
        <v>210</v>
      </c>
      <c r="C79" s="45" t="s">
        <v>211</v>
      </c>
      <c r="D79" s="554" t="s">
        <v>212</v>
      </c>
      <c r="E79" s="45"/>
      <c r="F79" s="580" t="s">
        <v>47</v>
      </c>
      <c r="G79" s="580"/>
      <c r="H79" s="597" t="s">
        <v>213</v>
      </c>
      <c r="I79" s="599" t="s">
        <v>214</v>
      </c>
    </row>
    <row r="80" spans="2:9" ht="30" customHeight="1">
      <c r="B80" s="620"/>
      <c r="C80" s="45" t="s">
        <v>215</v>
      </c>
      <c r="D80" s="554" t="s">
        <v>216</v>
      </c>
      <c r="E80" s="45"/>
      <c r="F80" s="580"/>
      <c r="G80" s="580"/>
      <c r="H80" s="597"/>
      <c r="I80" s="600"/>
    </row>
    <row r="81" spans="2:9" ht="30" customHeight="1">
      <c r="B81" s="620"/>
      <c r="C81" s="45" t="s">
        <v>217</v>
      </c>
      <c r="D81" s="554" t="s">
        <v>218</v>
      </c>
      <c r="E81" s="45"/>
      <c r="F81" s="580"/>
      <c r="G81" s="580"/>
      <c r="H81" s="597"/>
      <c r="I81" s="600"/>
    </row>
    <row r="82" spans="2:9" ht="30" customHeight="1">
      <c r="B82" s="620"/>
      <c r="C82" s="45" t="s">
        <v>219</v>
      </c>
      <c r="D82" s="554" t="s">
        <v>220</v>
      </c>
      <c r="E82" s="45"/>
      <c r="F82" s="580"/>
      <c r="G82" s="580"/>
      <c r="H82" s="597"/>
      <c r="I82" s="600"/>
    </row>
    <row r="83" spans="2:9" ht="30" customHeight="1">
      <c r="B83" s="620"/>
      <c r="C83" s="45" t="s">
        <v>221</v>
      </c>
      <c r="D83" s="554" t="s">
        <v>222</v>
      </c>
      <c r="E83" s="45"/>
      <c r="F83" s="580"/>
      <c r="G83" s="580"/>
      <c r="H83" s="597"/>
      <c r="I83" s="599" t="s">
        <v>223</v>
      </c>
    </row>
    <row r="84" spans="2:9" ht="30" customHeight="1">
      <c r="B84" s="620"/>
      <c r="C84" s="45" t="s">
        <v>224</v>
      </c>
      <c r="D84" s="554" t="s">
        <v>225</v>
      </c>
      <c r="E84" s="45"/>
      <c r="F84" s="580"/>
      <c r="G84" s="580"/>
      <c r="H84" s="597"/>
      <c r="I84" s="600"/>
    </row>
    <row r="85" spans="2:9" ht="30" customHeight="1">
      <c r="B85" s="620"/>
      <c r="C85" s="45" t="s">
        <v>226</v>
      </c>
      <c r="D85" s="554" t="s">
        <v>227</v>
      </c>
      <c r="E85" s="45"/>
      <c r="F85" s="580"/>
      <c r="G85" s="580"/>
      <c r="H85" s="597"/>
      <c r="I85" s="600"/>
    </row>
    <row r="86" spans="2:9" ht="30" customHeight="1">
      <c r="B86" s="620"/>
      <c r="C86" s="45" t="s">
        <v>228</v>
      </c>
      <c r="D86" s="554" t="s">
        <v>229</v>
      </c>
      <c r="E86" s="45"/>
      <c r="F86" s="580"/>
      <c r="G86" s="580"/>
      <c r="H86" s="597"/>
      <c r="I86" s="600"/>
    </row>
    <row r="87" spans="2:9" ht="30" customHeight="1">
      <c r="B87" s="620"/>
      <c r="C87" s="45" t="s">
        <v>230</v>
      </c>
      <c r="D87" s="554" t="s">
        <v>231</v>
      </c>
      <c r="E87" s="45"/>
      <c r="F87" s="580"/>
      <c r="G87" s="580"/>
      <c r="H87" s="598" t="s">
        <v>232</v>
      </c>
      <c r="I87" s="599" t="s">
        <v>233</v>
      </c>
    </row>
    <row r="88" spans="2:9" ht="30" customHeight="1">
      <c r="B88" s="620"/>
      <c r="C88" s="45" t="s">
        <v>234</v>
      </c>
      <c r="D88" s="554" t="s">
        <v>235</v>
      </c>
      <c r="E88" s="45"/>
      <c r="F88" s="580"/>
      <c r="G88" s="580"/>
      <c r="H88" s="597"/>
      <c r="I88" s="600"/>
    </row>
    <row r="89" spans="2:9" ht="30" customHeight="1">
      <c r="B89" s="620"/>
      <c r="C89" s="43" t="s">
        <v>236</v>
      </c>
      <c r="D89" s="559" t="s">
        <v>237</v>
      </c>
      <c r="E89" s="45"/>
      <c r="F89" s="580"/>
      <c r="G89" s="580"/>
      <c r="H89" s="597"/>
      <c r="I89" s="600"/>
    </row>
    <row r="90" spans="2:9" ht="16.5" customHeight="1">
      <c r="B90" s="621" t="s">
        <v>238</v>
      </c>
      <c r="C90" s="587" t="s">
        <v>239</v>
      </c>
      <c r="D90" s="587"/>
      <c r="E90" s="587"/>
      <c r="F90" s="587"/>
      <c r="G90" s="587"/>
      <c r="H90" s="587"/>
      <c r="I90" s="588"/>
    </row>
    <row r="91" spans="2:9" ht="24" customHeight="1">
      <c r="B91" s="622"/>
      <c r="C91" s="589"/>
      <c r="D91" s="589"/>
      <c r="E91" s="589"/>
      <c r="F91" s="589"/>
      <c r="G91" s="589"/>
      <c r="H91" s="589"/>
      <c r="I91" s="590"/>
    </row>
  </sheetData>
  <mergeCells count="48">
    <mergeCell ref="A1:C1"/>
    <mergeCell ref="B2:I2"/>
    <mergeCell ref="F3:I3"/>
    <mergeCell ref="F5:G5"/>
    <mergeCell ref="F27:G27"/>
    <mergeCell ref="B3:B4"/>
    <mergeCell ref="B5:B22"/>
    <mergeCell ref="B23:B27"/>
    <mergeCell ref="C3:C4"/>
    <mergeCell ref="D3:D4"/>
    <mergeCell ref="E3:E4"/>
    <mergeCell ref="F6:F12"/>
    <mergeCell ref="F13:F20"/>
    <mergeCell ref="F21:F23"/>
    <mergeCell ref="F24:F25"/>
    <mergeCell ref="H6:H26"/>
    <mergeCell ref="B28:B49"/>
    <mergeCell ref="B50:B75"/>
    <mergeCell ref="B76:B78"/>
    <mergeCell ref="B79:B89"/>
    <mergeCell ref="B90:B91"/>
    <mergeCell ref="F28:F44"/>
    <mergeCell ref="F50:F63"/>
    <mergeCell ref="G6:G12"/>
    <mergeCell ref="G13:G20"/>
    <mergeCell ref="G21:G23"/>
    <mergeCell ref="G24:G25"/>
    <mergeCell ref="G28:G44"/>
    <mergeCell ref="G50:G63"/>
    <mergeCell ref="H28:H44"/>
    <mergeCell ref="H45:H49"/>
    <mergeCell ref="H50:H63"/>
    <mergeCell ref="H64:H75"/>
    <mergeCell ref="H76:H78"/>
    <mergeCell ref="I5:I27"/>
    <mergeCell ref="I28:I49"/>
    <mergeCell ref="I50:I75"/>
    <mergeCell ref="I76:I78"/>
    <mergeCell ref="I79:I82"/>
    <mergeCell ref="F64:G75"/>
    <mergeCell ref="F45:G49"/>
    <mergeCell ref="C90:I91"/>
    <mergeCell ref="F79:G89"/>
    <mergeCell ref="F76:G78"/>
    <mergeCell ref="H79:H86"/>
    <mergeCell ref="H87:H89"/>
    <mergeCell ref="I83:I86"/>
    <mergeCell ref="I87:I89"/>
  </mergeCells>
  <phoneticPr fontId="106" type="noConversion"/>
  <hyperlinks>
    <hyperlink ref="A1" location="'目录'!A1" display="点此返回目录"/>
  </hyperlinks>
  <pageMargins left="0.75" right="0.75" top="1" bottom="1" header="0.5" footer="0.5"/>
  <pageSetup paperSize="9" orientation="portrait" horizontalDpi="300" verticalDpi="30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AA86"/>
  <sheetViews>
    <sheetView zoomScale="80" zoomScaleNormal="80" workbookViewId="0">
      <pane ySplit="3" topLeftCell="A4" activePane="bottomLeft" state="frozen"/>
      <selection pane="bottomLeft" activeCell="K11" sqref="K11"/>
    </sheetView>
  </sheetViews>
  <sheetFormatPr defaultColWidth="9" defaultRowHeight="16.5"/>
  <cols>
    <col min="1" max="1" width="5" style="28" customWidth="1"/>
    <col min="2" max="2" width="11.5" style="545" customWidth="1"/>
    <col min="3" max="3" width="21.625" style="28" customWidth="1"/>
    <col min="4" max="4" width="11" style="28" customWidth="1"/>
    <col min="5" max="5" width="17.5" style="28" customWidth="1"/>
    <col min="6" max="6" width="15" style="28" customWidth="1"/>
    <col min="7" max="7" width="18.125" style="28" customWidth="1"/>
    <col min="8" max="8" width="24.125" style="28" customWidth="1"/>
    <col min="9" max="9" width="30.875" style="28" customWidth="1"/>
    <col min="10" max="10" width="20.875" style="28" customWidth="1"/>
    <col min="11" max="11" width="43.375" style="28" customWidth="1"/>
    <col min="12" max="12" width="31.625" style="28" customWidth="1"/>
    <col min="13" max="13" width="43.75" style="28" customWidth="1"/>
    <col min="14" max="14" width="21.25" style="492" customWidth="1"/>
    <col min="15" max="15" width="14.25" style="28" customWidth="1"/>
    <col min="16" max="16" width="12.625" style="28" customWidth="1"/>
    <col min="17" max="27" width="9" style="28"/>
  </cols>
  <sheetData>
    <row r="1" spans="1:16" ht="24.95" customHeight="1">
      <c r="A1" s="638" t="s">
        <v>33</v>
      </c>
      <c r="B1" s="638"/>
      <c r="C1" s="638"/>
      <c r="D1" s="67"/>
    </row>
    <row r="2" spans="1:16" ht="45" customHeight="1">
      <c r="B2" s="639" t="s">
        <v>240</v>
      </c>
      <c r="C2" s="640"/>
      <c r="D2" s="640"/>
      <c r="E2" s="640"/>
      <c r="F2" s="640"/>
      <c r="G2" s="640"/>
      <c r="H2" s="640"/>
      <c r="I2" s="640"/>
      <c r="J2" s="640"/>
      <c r="K2" s="640"/>
      <c r="L2" s="640"/>
      <c r="M2" s="640"/>
      <c r="N2" s="641"/>
      <c r="O2" s="640"/>
      <c r="P2" s="642"/>
    </row>
    <row r="3" spans="1:16" ht="38.1" customHeight="1">
      <c r="B3" s="297" t="s">
        <v>35</v>
      </c>
      <c r="C3" s="298" t="s">
        <v>36</v>
      </c>
      <c r="D3" s="298" t="s">
        <v>37</v>
      </c>
      <c r="E3" s="298" t="s">
        <v>241</v>
      </c>
      <c r="F3" s="298" t="s">
        <v>242</v>
      </c>
      <c r="G3" s="298" t="s">
        <v>243</v>
      </c>
      <c r="H3" s="298" t="s">
        <v>244</v>
      </c>
      <c r="I3" s="298" t="s">
        <v>245</v>
      </c>
      <c r="J3" s="298" t="s">
        <v>246</v>
      </c>
      <c r="K3" s="298" t="s">
        <v>247</v>
      </c>
      <c r="L3" s="298" t="s">
        <v>248</v>
      </c>
      <c r="M3" s="298" t="s">
        <v>249</v>
      </c>
      <c r="N3" s="548" t="s">
        <v>250</v>
      </c>
      <c r="O3" s="298" t="s">
        <v>251</v>
      </c>
      <c r="P3" s="306" t="s">
        <v>252</v>
      </c>
    </row>
    <row r="4" spans="1:16" ht="30" customHeight="1">
      <c r="B4" s="646" t="s">
        <v>3</v>
      </c>
      <c r="C4" s="7" t="s">
        <v>253</v>
      </c>
      <c r="D4" s="546" t="s">
        <v>222</v>
      </c>
      <c r="E4" s="518" t="s">
        <v>254</v>
      </c>
      <c r="F4" s="7" t="s">
        <v>255</v>
      </c>
      <c r="G4" s="7">
        <v>20</v>
      </c>
      <c r="H4" s="7" t="s">
        <v>256</v>
      </c>
      <c r="I4" s="7" t="s">
        <v>257</v>
      </c>
      <c r="J4" s="7">
        <v>1</v>
      </c>
      <c r="K4" s="518" t="s">
        <v>258</v>
      </c>
      <c r="L4" s="7" t="s">
        <v>259</v>
      </c>
      <c r="M4" s="7" t="s">
        <v>260</v>
      </c>
      <c r="N4" s="525">
        <v>40284</v>
      </c>
      <c r="O4" s="9" t="s">
        <v>261</v>
      </c>
      <c r="P4" s="549"/>
    </row>
    <row r="5" spans="1:16" ht="30" customHeight="1">
      <c r="B5" s="646"/>
      <c r="C5" s="7" t="s">
        <v>262</v>
      </c>
      <c r="D5" s="546" t="s">
        <v>225</v>
      </c>
      <c r="E5" s="518" t="s">
        <v>254</v>
      </c>
      <c r="F5" s="7" t="s">
        <v>255</v>
      </c>
      <c r="G5" s="7">
        <v>20</v>
      </c>
      <c r="H5" s="7" t="s">
        <v>256</v>
      </c>
      <c r="I5" s="7" t="s">
        <v>257</v>
      </c>
      <c r="J5" s="7">
        <v>1</v>
      </c>
      <c r="K5" s="518" t="s">
        <v>258</v>
      </c>
      <c r="L5" s="7" t="s">
        <v>259</v>
      </c>
      <c r="M5" s="7" t="s">
        <v>260</v>
      </c>
      <c r="N5" s="525">
        <v>42110</v>
      </c>
      <c r="O5" s="9" t="s">
        <v>261</v>
      </c>
      <c r="P5" s="549"/>
    </row>
    <row r="6" spans="1:16" ht="30" customHeight="1">
      <c r="B6" s="646"/>
      <c r="C6" s="7" t="s">
        <v>263</v>
      </c>
      <c r="D6" s="546" t="s">
        <v>227</v>
      </c>
      <c r="E6" s="518" t="s">
        <v>264</v>
      </c>
      <c r="F6" s="7" t="s">
        <v>255</v>
      </c>
      <c r="G6" s="7">
        <v>20</v>
      </c>
      <c r="H6" s="7" t="s">
        <v>256</v>
      </c>
      <c r="I6" s="7" t="s">
        <v>257</v>
      </c>
      <c r="J6" s="7">
        <v>1</v>
      </c>
      <c r="K6" s="518" t="s">
        <v>258</v>
      </c>
      <c r="L6" s="7" t="s">
        <v>259</v>
      </c>
      <c r="M6" s="7" t="s">
        <v>260</v>
      </c>
      <c r="N6" s="525">
        <v>42110</v>
      </c>
      <c r="O6" s="9" t="s">
        <v>261</v>
      </c>
      <c r="P6" s="549"/>
    </row>
    <row r="7" spans="1:16" ht="30" customHeight="1">
      <c r="B7" s="646"/>
      <c r="C7" s="7" t="s">
        <v>265</v>
      </c>
      <c r="D7" s="546" t="s">
        <v>229</v>
      </c>
      <c r="E7" s="518" t="s">
        <v>264</v>
      </c>
      <c r="F7" s="7" t="s">
        <v>255</v>
      </c>
      <c r="G7" s="7">
        <v>20</v>
      </c>
      <c r="H7" s="7" t="s">
        <v>256</v>
      </c>
      <c r="I7" s="7" t="s">
        <v>257</v>
      </c>
      <c r="J7" s="7">
        <v>1</v>
      </c>
      <c r="K7" s="518" t="s">
        <v>258</v>
      </c>
      <c r="L7" s="7" t="s">
        <v>259</v>
      </c>
      <c r="M7" s="7" t="s">
        <v>260</v>
      </c>
      <c r="N7" s="525">
        <v>44764</v>
      </c>
      <c r="O7" s="9" t="s">
        <v>261</v>
      </c>
      <c r="P7" s="549"/>
    </row>
    <row r="8" spans="1:16" ht="33">
      <c r="B8" s="646"/>
      <c r="C8" s="7" t="s">
        <v>266</v>
      </c>
      <c r="D8" s="9" t="s">
        <v>212</v>
      </c>
      <c r="E8" s="7" t="s">
        <v>267</v>
      </c>
      <c r="F8" s="7" t="s">
        <v>268</v>
      </c>
      <c r="G8" s="7">
        <v>50</v>
      </c>
      <c r="H8" s="7" t="s">
        <v>269</v>
      </c>
      <c r="I8" s="7" t="s">
        <v>270</v>
      </c>
      <c r="J8" s="7">
        <v>1</v>
      </c>
      <c r="K8" s="518" t="s">
        <v>271</v>
      </c>
      <c r="L8" s="7" t="s">
        <v>272</v>
      </c>
      <c r="M8" s="7" t="s">
        <v>271</v>
      </c>
      <c r="N8" s="525">
        <v>43329</v>
      </c>
      <c r="O8" s="9"/>
      <c r="P8" s="549"/>
    </row>
    <row r="9" spans="1:16" ht="33">
      <c r="B9" s="646"/>
      <c r="C9" s="7" t="s">
        <v>273</v>
      </c>
      <c r="D9" s="546" t="s">
        <v>216</v>
      </c>
      <c r="E9" s="518" t="s">
        <v>274</v>
      </c>
      <c r="F9" s="7" t="s">
        <v>275</v>
      </c>
      <c r="G9" s="7">
        <v>50</v>
      </c>
      <c r="H9" s="7" t="s">
        <v>269</v>
      </c>
      <c r="I9" s="7" t="s">
        <v>270</v>
      </c>
      <c r="J9" s="7">
        <v>1</v>
      </c>
      <c r="K9" s="518" t="s">
        <v>271</v>
      </c>
      <c r="L9" s="7" t="s">
        <v>272</v>
      </c>
      <c r="M9" s="7" t="s">
        <v>271</v>
      </c>
      <c r="N9" s="525">
        <v>41523</v>
      </c>
      <c r="O9" s="9"/>
      <c r="P9" s="549"/>
    </row>
    <row r="10" spans="1:16" ht="33">
      <c r="B10" s="646"/>
      <c r="C10" s="7" t="s">
        <v>276</v>
      </c>
      <c r="D10" s="546" t="s">
        <v>218</v>
      </c>
      <c r="E10" s="518" t="s">
        <v>274</v>
      </c>
      <c r="F10" s="7" t="s">
        <v>275</v>
      </c>
      <c r="G10" s="7">
        <v>50</v>
      </c>
      <c r="H10" s="7" t="s">
        <v>269</v>
      </c>
      <c r="I10" s="7" t="s">
        <v>270</v>
      </c>
      <c r="J10" s="7">
        <v>1</v>
      </c>
      <c r="K10" s="518" t="s">
        <v>271</v>
      </c>
      <c r="L10" s="7" t="s">
        <v>272</v>
      </c>
      <c r="M10" s="7" t="s">
        <v>271</v>
      </c>
      <c r="N10" s="525">
        <v>42083</v>
      </c>
      <c r="O10" s="9"/>
      <c r="P10" s="549"/>
    </row>
    <row r="11" spans="1:16" ht="33">
      <c r="B11" s="646"/>
      <c r="C11" s="7" t="s">
        <v>277</v>
      </c>
      <c r="D11" s="546" t="s">
        <v>220</v>
      </c>
      <c r="E11" s="518" t="s">
        <v>274</v>
      </c>
      <c r="F11" s="7" t="s">
        <v>278</v>
      </c>
      <c r="G11" s="7">
        <v>50</v>
      </c>
      <c r="H11" s="7" t="s">
        <v>269</v>
      </c>
      <c r="I11" s="7" t="s">
        <v>270</v>
      </c>
      <c r="J11" s="7">
        <v>1</v>
      </c>
      <c r="K11" s="518" t="s">
        <v>271</v>
      </c>
      <c r="L11" s="7" t="s">
        <v>272</v>
      </c>
      <c r="M11" s="7" t="s">
        <v>271</v>
      </c>
      <c r="N11" s="525">
        <v>45037</v>
      </c>
      <c r="O11" s="9"/>
      <c r="P11" s="549"/>
    </row>
    <row r="12" spans="1:16" ht="33">
      <c r="B12" s="647" t="s">
        <v>9</v>
      </c>
      <c r="C12" s="7" t="s">
        <v>91</v>
      </c>
      <c r="D12" s="9" t="s">
        <v>92</v>
      </c>
      <c r="E12" s="7" t="s">
        <v>279</v>
      </c>
      <c r="F12" s="7" t="s">
        <v>280</v>
      </c>
      <c r="G12" s="7">
        <v>500</v>
      </c>
      <c r="H12" s="7" t="s">
        <v>281</v>
      </c>
      <c r="I12" s="7" t="s">
        <v>282</v>
      </c>
      <c r="J12" s="518">
        <v>1</v>
      </c>
      <c r="K12" s="7" t="s">
        <v>258</v>
      </c>
      <c r="L12" s="7" t="s">
        <v>283</v>
      </c>
      <c r="M12" s="7" t="s">
        <v>284</v>
      </c>
      <c r="N12" s="525">
        <v>43185</v>
      </c>
      <c r="O12" s="9" t="s">
        <v>261</v>
      </c>
      <c r="P12" s="549" t="s">
        <v>261</v>
      </c>
    </row>
    <row r="13" spans="1:16" ht="30" customHeight="1">
      <c r="B13" s="647"/>
      <c r="C13" s="7" t="s">
        <v>95</v>
      </c>
      <c r="D13" s="9" t="s">
        <v>96</v>
      </c>
      <c r="E13" s="7" t="s">
        <v>285</v>
      </c>
      <c r="F13" s="7" t="s">
        <v>286</v>
      </c>
      <c r="G13" s="7">
        <v>500</v>
      </c>
      <c r="H13" s="7" t="s">
        <v>281</v>
      </c>
      <c r="I13" s="518" t="s">
        <v>287</v>
      </c>
      <c r="J13" s="518">
        <v>1</v>
      </c>
      <c r="K13" s="7" t="s">
        <v>288</v>
      </c>
      <c r="L13" s="7" t="s">
        <v>289</v>
      </c>
      <c r="M13" s="7" t="s">
        <v>290</v>
      </c>
      <c r="N13" s="525">
        <v>43689</v>
      </c>
      <c r="O13" s="9" t="s">
        <v>261</v>
      </c>
      <c r="P13" s="549" t="s">
        <v>261</v>
      </c>
    </row>
    <row r="14" spans="1:16" ht="30" customHeight="1">
      <c r="B14" s="647"/>
      <c r="C14" s="7" t="s">
        <v>93</v>
      </c>
      <c r="D14" s="9" t="s">
        <v>94</v>
      </c>
      <c r="E14" s="7" t="s">
        <v>285</v>
      </c>
      <c r="F14" s="7" t="s">
        <v>291</v>
      </c>
      <c r="G14" s="7">
        <v>500</v>
      </c>
      <c r="H14" s="7" t="s">
        <v>281</v>
      </c>
      <c r="I14" s="518" t="s">
        <v>287</v>
      </c>
      <c r="J14" s="518">
        <v>1</v>
      </c>
      <c r="K14" s="7" t="s">
        <v>258</v>
      </c>
      <c r="L14" s="7" t="s">
        <v>283</v>
      </c>
      <c r="M14" s="7" t="s">
        <v>290</v>
      </c>
      <c r="N14" s="525">
        <v>44004</v>
      </c>
      <c r="O14" s="9" t="s">
        <v>261</v>
      </c>
      <c r="P14" s="549" t="s">
        <v>261</v>
      </c>
    </row>
    <row r="15" spans="1:16" ht="30" customHeight="1">
      <c r="B15" s="647"/>
      <c r="C15" s="7" t="s">
        <v>97</v>
      </c>
      <c r="D15" s="9" t="s">
        <v>98</v>
      </c>
      <c r="E15" s="7" t="s">
        <v>292</v>
      </c>
      <c r="F15" s="7" t="s">
        <v>293</v>
      </c>
      <c r="G15" s="7">
        <v>500</v>
      </c>
      <c r="H15" s="7" t="s">
        <v>281</v>
      </c>
      <c r="I15" s="518" t="s">
        <v>287</v>
      </c>
      <c r="J15" s="7">
        <v>5</v>
      </c>
      <c r="K15" s="7" t="s">
        <v>294</v>
      </c>
      <c r="L15" s="7" t="s">
        <v>289</v>
      </c>
      <c r="M15" s="7" t="s">
        <v>290</v>
      </c>
      <c r="N15" s="525">
        <v>44154</v>
      </c>
      <c r="O15" s="9" t="s">
        <v>261</v>
      </c>
      <c r="P15" s="549" t="s">
        <v>261</v>
      </c>
    </row>
    <row r="16" spans="1:16" ht="30" customHeight="1">
      <c r="B16" s="647"/>
      <c r="C16" s="7" t="s">
        <v>100</v>
      </c>
      <c r="D16" s="9" t="s">
        <v>101</v>
      </c>
      <c r="E16" s="7" t="s">
        <v>295</v>
      </c>
      <c r="F16" s="7" t="s">
        <v>296</v>
      </c>
      <c r="G16" s="7">
        <v>500</v>
      </c>
      <c r="H16" s="7" t="s">
        <v>281</v>
      </c>
      <c r="I16" s="7" t="s">
        <v>297</v>
      </c>
      <c r="J16" s="7">
        <v>1</v>
      </c>
      <c r="K16" s="7" t="s">
        <v>258</v>
      </c>
      <c r="L16" s="7" t="s">
        <v>298</v>
      </c>
      <c r="M16" s="7" t="s">
        <v>258</v>
      </c>
      <c r="N16" s="525">
        <v>45156</v>
      </c>
      <c r="O16" s="9" t="s">
        <v>261</v>
      </c>
      <c r="P16" s="549" t="s">
        <v>261</v>
      </c>
    </row>
    <row r="17" spans="2:16" ht="30" customHeight="1">
      <c r="B17" s="648" t="s">
        <v>6</v>
      </c>
      <c r="C17" s="7" t="s">
        <v>50</v>
      </c>
      <c r="D17" s="9" t="s">
        <v>51</v>
      </c>
      <c r="E17" s="7" t="s">
        <v>299</v>
      </c>
      <c r="F17" s="7" t="s">
        <v>291</v>
      </c>
      <c r="G17" s="7">
        <v>500</v>
      </c>
      <c r="H17" s="7" t="s">
        <v>281</v>
      </c>
      <c r="I17" s="7" t="s">
        <v>287</v>
      </c>
      <c r="J17" s="7">
        <v>30</v>
      </c>
      <c r="K17" s="7" t="s">
        <v>300</v>
      </c>
      <c r="L17" s="7" t="s">
        <v>289</v>
      </c>
      <c r="M17" s="7" t="s">
        <v>290</v>
      </c>
      <c r="N17" s="525">
        <v>39899</v>
      </c>
      <c r="O17" s="9" t="s">
        <v>261</v>
      </c>
      <c r="P17" s="549"/>
    </row>
    <row r="18" spans="2:16" ht="30" customHeight="1">
      <c r="B18" s="649"/>
      <c r="C18" s="7" t="s">
        <v>56</v>
      </c>
      <c r="D18" s="9" t="s">
        <v>57</v>
      </c>
      <c r="E18" s="7" t="s">
        <v>299</v>
      </c>
      <c r="F18" s="7" t="s">
        <v>291</v>
      </c>
      <c r="G18" s="7">
        <v>500</v>
      </c>
      <c r="H18" s="7" t="s">
        <v>281</v>
      </c>
      <c r="I18" s="7" t="s">
        <v>287</v>
      </c>
      <c r="J18" s="7">
        <v>30</v>
      </c>
      <c r="K18" s="7" t="s">
        <v>300</v>
      </c>
      <c r="L18" s="7" t="s">
        <v>289</v>
      </c>
      <c r="M18" s="7" t="s">
        <v>290</v>
      </c>
      <c r="N18" s="525">
        <v>41719</v>
      </c>
      <c r="O18" s="9" t="s">
        <v>261</v>
      </c>
      <c r="P18" s="549"/>
    </row>
    <row r="19" spans="2:16" ht="30" customHeight="1">
      <c r="B19" s="649"/>
      <c r="C19" s="7" t="s">
        <v>45</v>
      </c>
      <c r="D19" s="9" t="s">
        <v>46</v>
      </c>
      <c r="E19" s="7" t="s">
        <v>299</v>
      </c>
      <c r="F19" s="7" t="s">
        <v>291</v>
      </c>
      <c r="G19" s="7">
        <v>500</v>
      </c>
      <c r="H19" s="7" t="s">
        <v>281</v>
      </c>
      <c r="I19" s="7" t="s">
        <v>287</v>
      </c>
      <c r="J19" s="7">
        <v>30</v>
      </c>
      <c r="K19" s="7" t="s">
        <v>300</v>
      </c>
      <c r="L19" s="7" t="s">
        <v>289</v>
      </c>
      <c r="M19" s="7" t="s">
        <v>290</v>
      </c>
      <c r="N19" s="525">
        <v>39899</v>
      </c>
      <c r="O19" s="9"/>
      <c r="P19" s="549"/>
    </row>
    <row r="20" spans="2:16" ht="30" customHeight="1">
      <c r="B20" s="649"/>
      <c r="C20" s="7" t="s">
        <v>71</v>
      </c>
      <c r="D20" s="9" t="s">
        <v>72</v>
      </c>
      <c r="E20" s="7" t="s">
        <v>301</v>
      </c>
      <c r="F20" s="7" t="s">
        <v>293</v>
      </c>
      <c r="G20" s="7">
        <v>500</v>
      </c>
      <c r="H20" s="7" t="s">
        <v>281</v>
      </c>
      <c r="I20" s="7" t="s">
        <v>287</v>
      </c>
      <c r="J20" s="7">
        <v>5</v>
      </c>
      <c r="K20" s="7" t="s">
        <v>294</v>
      </c>
      <c r="L20" s="7" t="s">
        <v>289</v>
      </c>
      <c r="M20" s="7" t="s">
        <v>290</v>
      </c>
      <c r="N20" s="525">
        <v>34029</v>
      </c>
      <c r="O20" s="9" t="s">
        <v>261</v>
      </c>
      <c r="P20" s="549"/>
    </row>
    <row r="21" spans="2:16" ht="30" customHeight="1">
      <c r="B21" s="649"/>
      <c r="C21" s="7" t="s">
        <v>302</v>
      </c>
      <c r="D21" s="9" t="s">
        <v>69</v>
      </c>
      <c r="E21" s="7" t="s">
        <v>301</v>
      </c>
      <c r="F21" s="7" t="s">
        <v>286</v>
      </c>
      <c r="G21" s="7">
        <v>500</v>
      </c>
      <c r="H21" s="7" t="s">
        <v>281</v>
      </c>
      <c r="I21" s="7" t="s">
        <v>287</v>
      </c>
      <c r="J21" s="7">
        <v>5</v>
      </c>
      <c r="K21" s="7" t="s">
        <v>294</v>
      </c>
      <c r="L21" s="7" t="s">
        <v>289</v>
      </c>
      <c r="M21" s="7" t="s">
        <v>290</v>
      </c>
      <c r="N21" s="525">
        <v>33752</v>
      </c>
      <c r="O21" s="9" t="s">
        <v>261</v>
      </c>
      <c r="P21" s="549"/>
    </row>
    <row r="22" spans="2:16" ht="30" customHeight="1">
      <c r="B22" s="649"/>
      <c r="C22" s="7" t="s">
        <v>75</v>
      </c>
      <c r="D22" s="9" t="s">
        <v>76</v>
      </c>
      <c r="E22" s="7" t="s">
        <v>301</v>
      </c>
      <c r="F22" s="7" t="s">
        <v>286</v>
      </c>
      <c r="G22" s="7">
        <v>500</v>
      </c>
      <c r="H22" s="7" t="s">
        <v>281</v>
      </c>
      <c r="I22" s="7" t="s">
        <v>287</v>
      </c>
      <c r="J22" s="7">
        <v>5</v>
      </c>
      <c r="K22" s="7" t="s">
        <v>294</v>
      </c>
      <c r="L22" s="7" t="s">
        <v>289</v>
      </c>
      <c r="M22" s="7" t="s">
        <v>290</v>
      </c>
      <c r="N22" s="525">
        <v>39167</v>
      </c>
      <c r="O22" s="9" t="s">
        <v>261</v>
      </c>
      <c r="P22" s="549"/>
    </row>
    <row r="23" spans="2:16" ht="30" customHeight="1">
      <c r="B23" s="649"/>
      <c r="C23" s="7" t="s">
        <v>77</v>
      </c>
      <c r="D23" s="9" t="s">
        <v>78</v>
      </c>
      <c r="E23" s="7" t="s">
        <v>301</v>
      </c>
      <c r="F23" s="7" t="s">
        <v>286</v>
      </c>
      <c r="G23" s="7">
        <v>500</v>
      </c>
      <c r="H23" s="7" t="s">
        <v>281</v>
      </c>
      <c r="I23" s="7" t="s">
        <v>287</v>
      </c>
      <c r="J23" s="7">
        <v>5</v>
      </c>
      <c r="K23" s="7" t="s">
        <v>294</v>
      </c>
      <c r="L23" s="7" t="s">
        <v>289</v>
      </c>
      <c r="M23" s="7" t="s">
        <v>290</v>
      </c>
      <c r="N23" s="525">
        <v>40626</v>
      </c>
      <c r="O23" s="9"/>
      <c r="P23" s="549"/>
    </row>
    <row r="24" spans="2:16" ht="30" customHeight="1">
      <c r="B24" s="649"/>
      <c r="C24" s="7" t="s">
        <v>83</v>
      </c>
      <c r="D24" s="9" t="s">
        <v>84</v>
      </c>
      <c r="E24" s="7" t="s">
        <v>303</v>
      </c>
      <c r="F24" s="7" t="s">
        <v>291</v>
      </c>
      <c r="G24" s="7">
        <v>500</v>
      </c>
      <c r="H24" s="7" t="s">
        <v>281</v>
      </c>
      <c r="I24" s="7" t="s">
        <v>287</v>
      </c>
      <c r="J24" s="7">
        <v>15</v>
      </c>
      <c r="K24" s="7" t="s">
        <v>304</v>
      </c>
      <c r="L24" s="7" t="s">
        <v>289</v>
      </c>
      <c r="M24" s="7" t="s">
        <v>290</v>
      </c>
      <c r="N24" s="525">
        <v>45096</v>
      </c>
      <c r="O24" s="9"/>
      <c r="P24" s="549"/>
    </row>
    <row r="25" spans="2:16" ht="30" customHeight="1">
      <c r="B25" s="649"/>
      <c r="C25" s="7" t="s">
        <v>73</v>
      </c>
      <c r="D25" s="9" t="s">
        <v>74</v>
      </c>
      <c r="E25" s="7" t="s">
        <v>292</v>
      </c>
      <c r="F25" s="7" t="s">
        <v>286</v>
      </c>
      <c r="G25" s="7">
        <v>500</v>
      </c>
      <c r="H25" s="7" t="s">
        <v>281</v>
      </c>
      <c r="I25" s="7" t="s">
        <v>287</v>
      </c>
      <c r="J25" s="7">
        <v>12</v>
      </c>
      <c r="K25" s="7" t="s">
        <v>305</v>
      </c>
      <c r="L25" s="7" t="s">
        <v>289</v>
      </c>
      <c r="M25" s="7" t="s">
        <v>290</v>
      </c>
      <c r="N25" s="525">
        <v>43733</v>
      </c>
      <c r="O25" s="9" t="s">
        <v>261</v>
      </c>
      <c r="P25" s="549"/>
    </row>
    <row r="26" spans="2:16" ht="30" customHeight="1">
      <c r="B26" s="649"/>
      <c r="C26" s="7" t="s">
        <v>79</v>
      </c>
      <c r="D26" s="9" t="s">
        <v>80</v>
      </c>
      <c r="E26" s="7" t="s">
        <v>306</v>
      </c>
      <c r="F26" s="7" t="s">
        <v>293</v>
      </c>
      <c r="G26" s="7">
        <v>500</v>
      </c>
      <c r="H26" s="7" t="s">
        <v>281</v>
      </c>
      <c r="I26" s="7" t="s">
        <v>287</v>
      </c>
      <c r="J26" s="7">
        <v>6</v>
      </c>
      <c r="K26" s="7" t="s">
        <v>307</v>
      </c>
      <c r="L26" s="7" t="s">
        <v>289</v>
      </c>
      <c r="M26" s="7" t="s">
        <v>290</v>
      </c>
      <c r="N26" s="525">
        <v>42090</v>
      </c>
      <c r="O26" s="9"/>
      <c r="P26" s="549"/>
    </row>
    <row r="27" spans="2:16" ht="30" customHeight="1">
      <c r="B27" s="649"/>
      <c r="C27" s="7" t="s">
        <v>81</v>
      </c>
      <c r="D27" s="9" t="s">
        <v>82</v>
      </c>
      <c r="E27" s="7" t="s">
        <v>306</v>
      </c>
      <c r="F27" s="7" t="s">
        <v>293</v>
      </c>
      <c r="G27" s="7">
        <v>500</v>
      </c>
      <c r="H27" s="7" t="s">
        <v>281</v>
      </c>
      <c r="I27" s="7" t="s">
        <v>287</v>
      </c>
      <c r="J27" s="7">
        <v>2</v>
      </c>
      <c r="K27" s="7" t="s">
        <v>308</v>
      </c>
      <c r="L27" s="7" t="s">
        <v>289</v>
      </c>
      <c r="M27" s="7" t="s">
        <v>290</v>
      </c>
      <c r="N27" s="525">
        <v>42090</v>
      </c>
      <c r="O27" s="9"/>
      <c r="P27" s="549"/>
    </row>
    <row r="28" spans="2:16" ht="30" customHeight="1">
      <c r="B28" s="649"/>
      <c r="C28" s="7" t="s">
        <v>85</v>
      </c>
      <c r="D28" s="9" t="s">
        <v>86</v>
      </c>
      <c r="E28" s="7" t="s">
        <v>309</v>
      </c>
      <c r="F28" s="7" t="s">
        <v>310</v>
      </c>
      <c r="G28" s="7">
        <v>500</v>
      </c>
      <c r="H28" s="7" t="s">
        <v>281</v>
      </c>
      <c r="I28" s="7" t="s">
        <v>311</v>
      </c>
      <c r="J28" s="7">
        <v>3</v>
      </c>
      <c r="K28" s="7" t="s">
        <v>312</v>
      </c>
      <c r="L28" s="7" t="s">
        <v>289</v>
      </c>
      <c r="M28" s="7" t="s">
        <v>290</v>
      </c>
      <c r="N28" s="525">
        <v>39456</v>
      </c>
      <c r="O28" s="9" t="s">
        <v>261</v>
      </c>
      <c r="P28" s="549"/>
    </row>
    <row r="29" spans="2:16" ht="30" customHeight="1">
      <c r="B29" s="649"/>
      <c r="C29" s="7" t="s">
        <v>88</v>
      </c>
      <c r="D29" s="9" t="s">
        <v>89</v>
      </c>
      <c r="E29" s="7" t="s">
        <v>313</v>
      </c>
      <c r="F29" s="7" t="s">
        <v>314</v>
      </c>
      <c r="G29" s="7">
        <v>500</v>
      </c>
      <c r="H29" s="7" t="s">
        <v>281</v>
      </c>
      <c r="I29" s="7" t="s">
        <v>287</v>
      </c>
      <c r="J29" s="7">
        <v>2</v>
      </c>
      <c r="K29" s="7" t="s">
        <v>315</v>
      </c>
      <c r="L29" s="7" t="s">
        <v>289</v>
      </c>
      <c r="M29" s="7" t="s">
        <v>290</v>
      </c>
      <c r="N29" s="525">
        <v>41039</v>
      </c>
      <c r="O29" s="9" t="s">
        <v>261</v>
      </c>
      <c r="P29" s="549"/>
    </row>
    <row r="30" spans="2:16" ht="30" customHeight="1">
      <c r="B30" s="649"/>
      <c r="C30" s="7" t="s">
        <v>62</v>
      </c>
      <c r="D30" s="9" t="s">
        <v>63</v>
      </c>
      <c r="E30" s="7" t="s">
        <v>285</v>
      </c>
      <c r="F30" s="7" t="s">
        <v>286</v>
      </c>
      <c r="G30" s="7">
        <v>500</v>
      </c>
      <c r="H30" s="7" t="s">
        <v>281</v>
      </c>
      <c r="I30" s="7" t="s">
        <v>316</v>
      </c>
      <c r="J30" s="7">
        <v>1</v>
      </c>
      <c r="K30" s="7" t="s">
        <v>258</v>
      </c>
      <c r="L30" s="7" t="s">
        <v>289</v>
      </c>
      <c r="M30" s="7" t="s">
        <v>290</v>
      </c>
      <c r="N30" s="525">
        <v>34055</v>
      </c>
      <c r="O30" s="9"/>
      <c r="P30" s="549"/>
    </row>
    <row r="31" spans="2:16" ht="30" customHeight="1">
      <c r="B31" s="649"/>
      <c r="C31" s="7" t="s">
        <v>60</v>
      </c>
      <c r="D31" s="9" t="s">
        <v>61</v>
      </c>
      <c r="E31" s="7" t="s">
        <v>285</v>
      </c>
      <c r="F31" s="7" t="s">
        <v>291</v>
      </c>
      <c r="G31" s="7">
        <v>500</v>
      </c>
      <c r="H31" s="7" t="s">
        <v>281</v>
      </c>
      <c r="I31" s="550" t="s">
        <v>317</v>
      </c>
      <c r="J31" s="7">
        <v>1</v>
      </c>
      <c r="K31" s="7" t="s">
        <v>258</v>
      </c>
      <c r="L31" s="7" t="s">
        <v>289</v>
      </c>
      <c r="M31" s="7" t="s">
        <v>290</v>
      </c>
      <c r="N31" s="525">
        <v>41556</v>
      </c>
      <c r="O31" s="9"/>
      <c r="P31" s="549"/>
    </row>
    <row r="32" spans="2:16" ht="30" customHeight="1">
      <c r="B32" s="649"/>
      <c r="C32" s="7" t="s">
        <v>318</v>
      </c>
      <c r="D32" s="9" t="s">
        <v>67</v>
      </c>
      <c r="E32" s="7" t="s">
        <v>285</v>
      </c>
      <c r="F32" s="7" t="s">
        <v>319</v>
      </c>
      <c r="G32" s="7">
        <v>500</v>
      </c>
      <c r="H32" s="7" t="s">
        <v>281</v>
      </c>
      <c r="I32" s="7" t="s">
        <v>287</v>
      </c>
      <c r="J32" s="7">
        <v>2</v>
      </c>
      <c r="K32" s="7" t="s">
        <v>315</v>
      </c>
      <c r="L32" s="7" t="s">
        <v>289</v>
      </c>
      <c r="M32" s="7" t="s">
        <v>290</v>
      </c>
      <c r="N32" s="525">
        <v>43431</v>
      </c>
      <c r="O32" s="9" t="s">
        <v>261</v>
      </c>
      <c r="P32" s="549"/>
    </row>
    <row r="33" spans="1:16" ht="30" customHeight="1">
      <c r="B33" s="649"/>
      <c r="C33" s="7" t="s">
        <v>320</v>
      </c>
      <c r="D33" s="9" t="s">
        <v>59</v>
      </c>
      <c r="E33" s="7" t="s">
        <v>285</v>
      </c>
      <c r="F33" s="7" t="s">
        <v>291</v>
      </c>
      <c r="G33" s="7">
        <v>500</v>
      </c>
      <c r="H33" s="7" t="s">
        <v>281</v>
      </c>
      <c r="I33" s="7" t="s">
        <v>287</v>
      </c>
      <c r="J33" s="7">
        <v>1</v>
      </c>
      <c r="K33" s="7" t="s">
        <v>258</v>
      </c>
      <c r="L33" s="7" t="s">
        <v>321</v>
      </c>
      <c r="M33" s="7" t="s">
        <v>290</v>
      </c>
      <c r="N33" s="525">
        <v>38224</v>
      </c>
      <c r="O33" s="9" t="s">
        <v>261</v>
      </c>
      <c r="P33" s="549"/>
    </row>
    <row r="34" spans="1:16" ht="30" customHeight="1">
      <c r="B34" s="649"/>
      <c r="C34" s="7" t="s">
        <v>322</v>
      </c>
      <c r="D34" s="9" t="s">
        <v>65</v>
      </c>
      <c r="E34" s="7" t="s">
        <v>292</v>
      </c>
      <c r="F34" s="7" t="s">
        <v>286</v>
      </c>
      <c r="G34" s="7">
        <v>500</v>
      </c>
      <c r="H34" s="7" t="s">
        <v>281</v>
      </c>
      <c r="I34" s="7" t="s">
        <v>287</v>
      </c>
      <c r="J34" s="7">
        <v>2</v>
      </c>
      <c r="K34" s="7" t="s">
        <v>315</v>
      </c>
      <c r="L34" s="7" t="s">
        <v>289</v>
      </c>
      <c r="M34" s="7" t="s">
        <v>290</v>
      </c>
      <c r="N34" s="525">
        <v>45135</v>
      </c>
      <c r="O34" s="9"/>
      <c r="P34" s="549"/>
    </row>
    <row r="35" spans="1:16" ht="30" customHeight="1">
      <c r="B35" s="650" t="s">
        <v>12</v>
      </c>
      <c r="C35" s="7" t="s">
        <v>323</v>
      </c>
      <c r="D35" s="546" t="s">
        <v>104</v>
      </c>
      <c r="E35" s="518" t="s">
        <v>324</v>
      </c>
      <c r="F35" s="7" t="s">
        <v>325</v>
      </c>
      <c r="G35" s="7">
        <v>1000</v>
      </c>
      <c r="H35" s="7">
        <v>1000</v>
      </c>
      <c r="I35" s="7" t="s">
        <v>326</v>
      </c>
      <c r="J35" s="7">
        <v>1</v>
      </c>
      <c r="K35" s="7" t="s">
        <v>327</v>
      </c>
      <c r="L35" s="7" t="s">
        <v>328</v>
      </c>
      <c r="M35" s="7" t="s">
        <v>327</v>
      </c>
      <c r="N35" s="525">
        <v>37330</v>
      </c>
      <c r="O35" s="9" t="s">
        <v>261</v>
      </c>
      <c r="P35" s="549" t="s">
        <v>261</v>
      </c>
    </row>
    <row r="36" spans="1:16" ht="30" customHeight="1">
      <c r="B36" s="651"/>
      <c r="C36" s="7" t="s">
        <v>329</v>
      </c>
      <c r="D36" s="546" t="s">
        <v>107</v>
      </c>
      <c r="E36" s="518" t="s">
        <v>324</v>
      </c>
      <c r="F36" s="7" t="s">
        <v>325</v>
      </c>
      <c r="G36" s="7">
        <v>1000</v>
      </c>
      <c r="H36" s="7">
        <v>1000</v>
      </c>
      <c r="I36" s="7" t="s">
        <v>287</v>
      </c>
      <c r="J36" s="7">
        <v>100</v>
      </c>
      <c r="K36" s="7" t="s">
        <v>327</v>
      </c>
      <c r="L36" s="7" t="s">
        <v>328</v>
      </c>
      <c r="M36" s="7" t="s">
        <v>327</v>
      </c>
      <c r="N36" s="525">
        <v>38343</v>
      </c>
      <c r="O36" s="9" t="s">
        <v>261</v>
      </c>
      <c r="P36" s="549" t="s">
        <v>261</v>
      </c>
    </row>
    <row r="37" spans="1:16" ht="30" customHeight="1">
      <c r="B37" s="651"/>
      <c r="C37" s="7" t="s">
        <v>108</v>
      </c>
      <c r="D37" s="546" t="s">
        <v>109</v>
      </c>
      <c r="E37" s="518" t="s">
        <v>324</v>
      </c>
      <c r="F37" s="7" t="s">
        <v>325</v>
      </c>
      <c r="G37" s="7">
        <v>1000</v>
      </c>
      <c r="H37" s="7">
        <v>1000</v>
      </c>
      <c r="I37" s="7" t="s">
        <v>330</v>
      </c>
      <c r="J37" s="7">
        <v>1</v>
      </c>
      <c r="K37" s="7" t="s">
        <v>327</v>
      </c>
      <c r="L37" s="7" t="s">
        <v>328</v>
      </c>
      <c r="M37" s="7" t="s">
        <v>327</v>
      </c>
      <c r="N37" s="525">
        <v>36724</v>
      </c>
      <c r="O37" s="9" t="s">
        <v>261</v>
      </c>
      <c r="P37" s="549" t="s">
        <v>261</v>
      </c>
    </row>
    <row r="38" spans="1:16" ht="30" customHeight="1">
      <c r="B38" s="651"/>
      <c r="C38" s="7" t="s">
        <v>110</v>
      </c>
      <c r="D38" s="546" t="s">
        <v>111</v>
      </c>
      <c r="E38" s="518" t="s">
        <v>324</v>
      </c>
      <c r="F38" s="518" t="s">
        <v>331</v>
      </c>
      <c r="G38" s="7">
        <v>1000</v>
      </c>
      <c r="H38" s="7">
        <v>1000</v>
      </c>
      <c r="I38" s="7" t="s">
        <v>330</v>
      </c>
      <c r="J38" s="7">
        <v>1</v>
      </c>
      <c r="K38" s="7" t="s">
        <v>327</v>
      </c>
      <c r="L38" s="7" t="s">
        <v>328</v>
      </c>
      <c r="M38" s="7" t="s">
        <v>327</v>
      </c>
      <c r="N38" s="525">
        <v>38726</v>
      </c>
      <c r="O38" s="9" t="s">
        <v>261</v>
      </c>
      <c r="P38" s="549" t="s">
        <v>261</v>
      </c>
    </row>
    <row r="39" spans="1:16" ht="30" customHeight="1">
      <c r="B39" s="651"/>
      <c r="C39" s="7" t="s">
        <v>112</v>
      </c>
      <c r="D39" s="546" t="s">
        <v>113</v>
      </c>
      <c r="E39" s="518" t="s">
        <v>324</v>
      </c>
      <c r="F39" s="518" t="s">
        <v>331</v>
      </c>
      <c r="G39" s="7">
        <v>1000</v>
      </c>
      <c r="H39" s="7">
        <v>1000</v>
      </c>
      <c r="I39" s="7" t="s">
        <v>287</v>
      </c>
      <c r="J39" s="7">
        <v>1</v>
      </c>
      <c r="K39" s="7" t="s">
        <v>327</v>
      </c>
      <c r="L39" s="7" t="s">
        <v>328</v>
      </c>
      <c r="M39" s="7" t="s">
        <v>327</v>
      </c>
      <c r="N39" s="525">
        <v>39384</v>
      </c>
      <c r="O39" s="9" t="s">
        <v>261</v>
      </c>
      <c r="P39" s="549" t="s">
        <v>261</v>
      </c>
    </row>
    <row r="40" spans="1:16" ht="30" customHeight="1">
      <c r="B40" s="651"/>
      <c r="C40" s="7" t="s">
        <v>130</v>
      </c>
      <c r="D40" s="9" t="s">
        <v>131</v>
      </c>
      <c r="E40" s="7" t="s">
        <v>332</v>
      </c>
      <c r="F40" s="518" t="s">
        <v>333</v>
      </c>
      <c r="G40" s="7">
        <v>1000</v>
      </c>
      <c r="H40" s="7">
        <v>1000</v>
      </c>
      <c r="I40" s="7" t="s">
        <v>287</v>
      </c>
      <c r="J40" s="8" t="s">
        <v>334</v>
      </c>
      <c r="K40" s="7" t="s">
        <v>327</v>
      </c>
      <c r="L40" s="7" t="s">
        <v>328</v>
      </c>
      <c r="M40" s="7" t="s">
        <v>327</v>
      </c>
      <c r="N40" s="525">
        <v>41355</v>
      </c>
      <c r="O40" s="9"/>
      <c r="P40" s="549"/>
    </row>
    <row r="41" spans="1:16" ht="30" customHeight="1">
      <c r="B41" s="651"/>
      <c r="C41" s="7" t="s">
        <v>335</v>
      </c>
      <c r="D41" s="546" t="s">
        <v>129</v>
      </c>
      <c r="E41" s="518" t="s">
        <v>336</v>
      </c>
      <c r="F41" s="518" t="s">
        <v>333</v>
      </c>
      <c r="G41" s="7">
        <v>500</v>
      </c>
      <c r="H41" s="7">
        <v>500</v>
      </c>
      <c r="I41" s="7" t="s">
        <v>287</v>
      </c>
      <c r="J41" s="8" t="s">
        <v>337</v>
      </c>
      <c r="K41" s="7" t="s">
        <v>327</v>
      </c>
      <c r="L41" s="7" t="s">
        <v>328</v>
      </c>
      <c r="M41" s="7" t="s">
        <v>327</v>
      </c>
      <c r="N41" s="525">
        <v>40648</v>
      </c>
      <c r="O41" s="9"/>
      <c r="P41" s="549"/>
    </row>
    <row r="42" spans="1:16" ht="30" customHeight="1">
      <c r="B42" s="651"/>
      <c r="C42" s="7" t="s">
        <v>136</v>
      </c>
      <c r="D42" s="546" t="s">
        <v>137</v>
      </c>
      <c r="E42" s="518" t="s">
        <v>336</v>
      </c>
      <c r="F42" s="518" t="s">
        <v>333</v>
      </c>
      <c r="G42" s="7">
        <v>1000</v>
      </c>
      <c r="H42" s="7">
        <v>1000</v>
      </c>
      <c r="I42" s="7" t="s">
        <v>287</v>
      </c>
      <c r="J42" s="8" t="s">
        <v>338</v>
      </c>
      <c r="K42" s="7" t="s">
        <v>327</v>
      </c>
      <c r="L42" s="7" t="s">
        <v>328</v>
      </c>
      <c r="M42" s="7" t="s">
        <v>327</v>
      </c>
      <c r="N42" s="525">
        <v>41565</v>
      </c>
      <c r="O42" s="9" t="s">
        <v>261</v>
      </c>
      <c r="P42" s="549" t="s">
        <v>261</v>
      </c>
    </row>
    <row r="43" spans="1:16" ht="30" customHeight="1">
      <c r="B43" s="651"/>
      <c r="C43" s="7" t="s">
        <v>114</v>
      </c>
      <c r="D43" s="546" t="s">
        <v>115</v>
      </c>
      <c r="E43" s="518" t="s">
        <v>324</v>
      </c>
      <c r="F43" s="7" t="s">
        <v>325</v>
      </c>
      <c r="G43" s="7">
        <v>2000</v>
      </c>
      <c r="H43" s="7">
        <v>2000</v>
      </c>
      <c r="I43" s="7" t="s">
        <v>326</v>
      </c>
      <c r="J43" s="7">
        <v>1</v>
      </c>
      <c r="K43" s="7" t="s">
        <v>327</v>
      </c>
      <c r="L43" s="7" t="s">
        <v>328</v>
      </c>
      <c r="M43" s="7" t="s">
        <v>327</v>
      </c>
      <c r="N43" s="525">
        <v>38252</v>
      </c>
      <c r="O43" s="9"/>
      <c r="P43" s="549"/>
    </row>
    <row r="44" spans="1:16" ht="30" customHeight="1">
      <c r="B44" s="651"/>
      <c r="C44" s="7" t="s">
        <v>116</v>
      </c>
      <c r="D44" s="546" t="s">
        <v>117</v>
      </c>
      <c r="E44" s="518" t="s">
        <v>324</v>
      </c>
      <c r="F44" s="7" t="s">
        <v>325</v>
      </c>
      <c r="G44" s="7">
        <v>1000</v>
      </c>
      <c r="H44" s="7">
        <v>1000</v>
      </c>
      <c r="I44" s="7" t="s">
        <v>326</v>
      </c>
      <c r="J44" s="7">
        <v>1</v>
      </c>
      <c r="K44" s="7" t="s">
        <v>327</v>
      </c>
      <c r="L44" s="7" t="s">
        <v>328</v>
      </c>
      <c r="M44" s="7" t="s">
        <v>327</v>
      </c>
      <c r="N44" s="525">
        <v>41992</v>
      </c>
      <c r="O44" s="9"/>
      <c r="P44" s="549"/>
    </row>
    <row r="45" spans="1:16" ht="30" customHeight="1">
      <c r="B45" s="651"/>
      <c r="C45" s="7" t="s">
        <v>122</v>
      </c>
      <c r="D45" s="546" t="s">
        <v>123</v>
      </c>
      <c r="E45" s="518" t="s">
        <v>339</v>
      </c>
      <c r="F45" s="7" t="s">
        <v>325</v>
      </c>
      <c r="G45" s="7">
        <v>1000</v>
      </c>
      <c r="H45" s="7">
        <v>1000</v>
      </c>
      <c r="I45" s="7" t="s">
        <v>287</v>
      </c>
      <c r="J45" s="7">
        <v>1</v>
      </c>
      <c r="K45" s="7" t="s">
        <v>327</v>
      </c>
      <c r="L45" s="7" t="s">
        <v>328</v>
      </c>
      <c r="M45" s="7" t="s">
        <v>327</v>
      </c>
      <c r="N45" s="525">
        <v>39294</v>
      </c>
      <c r="O45" s="9" t="s">
        <v>261</v>
      </c>
      <c r="P45" s="549"/>
    </row>
    <row r="46" spans="1:16" ht="30" customHeight="1">
      <c r="B46" s="651"/>
      <c r="C46" s="7" t="s">
        <v>118</v>
      </c>
      <c r="D46" s="546" t="s">
        <v>119</v>
      </c>
      <c r="E46" s="518" t="s">
        <v>339</v>
      </c>
      <c r="F46" s="7" t="s">
        <v>325</v>
      </c>
      <c r="G46" s="7">
        <v>1000</v>
      </c>
      <c r="H46" s="7">
        <v>1000</v>
      </c>
      <c r="I46" s="7" t="s">
        <v>287</v>
      </c>
      <c r="J46" s="7">
        <v>1</v>
      </c>
      <c r="K46" s="7" t="s">
        <v>327</v>
      </c>
      <c r="L46" s="7" t="s">
        <v>328</v>
      </c>
      <c r="M46" s="7" t="s">
        <v>327</v>
      </c>
      <c r="N46" s="525">
        <v>39958</v>
      </c>
      <c r="O46" s="9" t="s">
        <v>261</v>
      </c>
      <c r="P46" s="549"/>
    </row>
    <row r="47" spans="1:16" ht="30" customHeight="1">
      <c r="B47" s="651"/>
      <c r="C47" s="7" t="s">
        <v>120</v>
      </c>
      <c r="D47" s="546" t="s">
        <v>121</v>
      </c>
      <c r="E47" s="518" t="s">
        <v>339</v>
      </c>
      <c r="F47" s="7" t="s">
        <v>325</v>
      </c>
      <c r="G47" s="7">
        <v>1000</v>
      </c>
      <c r="H47" s="7">
        <v>1000</v>
      </c>
      <c r="I47" s="7" t="s">
        <v>287</v>
      </c>
      <c r="J47" s="7">
        <v>1</v>
      </c>
      <c r="K47" s="7" t="s">
        <v>327</v>
      </c>
      <c r="L47" s="7" t="s">
        <v>328</v>
      </c>
      <c r="M47" s="7" t="s">
        <v>327</v>
      </c>
      <c r="N47" s="525">
        <v>41698</v>
      </c>
      <c r="O47" s="9" t="s">
        <v>261</v>
      </c>
      <c r="P47" s="549"/>
    </row>
    <row r="48" spans="1:16" ht="30" customHeight="1">
      <c r="A48" s="547" t="s">
        <v>340</v>
      </c>
      <c r="B48" s="651"/>
      <c r="C48" s="7" t="s">
        <v>126</v>
      </c>
      <c r="D48" s="9" t="s">
        <v>127</v>
      </c>
      <c r="E48" s="7" t="s">
        <v>285</v>
      </c>
      <c r="F48" s="7" t="s">
        <v>325</v>
      </c>
      <c r="G48" s="7">
        <v>1000</v>
      </c>
      <c r="H48" s="7">
        <v>1000</v>
      </c>
      <c r="I48" s="7" t="s">
        <v>287</v>
      </c>
      <c r="J48" s="7">
        <v>1</v>
      </c>
      <c r="K48" s="7" t="s">
        <v>327</v>
      </c>
      <c r="L48" s="7" t="s">
        <v>341</v>
      </c>
      <c r="M48" s="7" t="s">
        <v>327</v>
      </c>
      <c r="N48" s="525">
        <v>43444</v>
      </c>
      <c r="O48" s="9"/>
      <c r="P48" s="549"/>
    </row>
    <row r="49" spans="2:16" ht="30" customHeight="1">
      <c r="B49" s="651"/>
      <c r="C49" s="7" t="s">
        <v>134</v>
      </c>
      <c r="D49" s="9" t="s">
        <v>135</v>
      </c>
      <c r="E49" s="7" t="s">
        <v>339</v>
      </c>
      <c r="F49" s="7" t="s">
        <v>325</v>
      </c>
      <c r="G49" s="7">
        <v>1000</v>
      </c>
      <c r="H49" s="7">
        <v>1000</v>
      </c>
      <c r="I49" s="7" t="s">
        <v>287</v>
      </c>
      <c r="J49" s="7">
        <v>1</v>
      </c>
      <c r="K49" s="7" t="s">
        <v>327</v>
      </c>
      <c r="L49" s="7" t="s">
        <v>341</v>
      </c>
      <c r="M49" s="7" t="s">
        <v>327</v>
      </c>
      <c r="N49" s="525">
        <v>43734</v>
      </c>
      <c r="O49" s="9" t="s">
        <v>261</v>
      </c>
      <c r="P49" s="549"/>
    </row>
    <row r="50" spans="2:16" ht="30" customHeight="1">
      <c r="B50" s="651"/>
      <c r="C50" s="7" t="s">
        <v>124</v>
      </c>
      <c r="D50" s="9" t="s">
        <v>125</v>
      </c>
      <c r="E50" s="7" t="s">
        <v>303</v>
      </c>
      <c r="F50" s="7" t="s">
        <v>325</v>
      </c>
      <c r="G50" s="7">
        <v>1000</v>
      </c>
      <c r="H50" s="7">
        <v>1000</v>
      </c>
      <c r="I50" s="7" t="s">
        <v>287</v>
      </c>
      <c r="J50" s="7">
        <v>1</v>
      </c>
      <c r="K50" s="7" t="s">
        <v>327</v>
      </c>
      <c r="L50" s="7" t="s">
        <v>341</v>
      </c>
      <c r="M50" s="7" t="s">
        <v>327</v>
      </c>
      <c r="N50" s="525">
        <v>43920</v>
      </c>
      <c r="O50" s="9"/>
      <c r="P50" s="549"/>
    </row>
    <row r="51" spans="2:16" ht="30" customHeight="1">
      <c r="B51" s="651"/>
      <c r="C51" s="7" t="s">
        <v>132</v>
      </c>
      <c r="D51" s="9" t="s">
        <v>133</v>
      </c>
      <c r="E51" s="7" t="s">
        <v>285</v>
      </c>
      <c r="F51" s="7" t="s">
        <v>325</v>
      </c>
      <c r="G51" s="7">
        <v>1000</v>
      </c>
      <c r="H51" s="7">
        <v>1000</v>
      </c>
      <c r="I51" s="7" t="s">
        <v>287</v>
      </c>
      <c r="J51" s="7">
        <v>1</v>
      </c>
      <c r="K51" s="7" t="s">
        <v>327</v>
      </c>
      <c r="L51" s="7" t="s">
        <v>328</v>
      </c>
      <c r="M51" s="7" t="s">
        <v>327</v>
      </c>
      <c r="N51" s="525">
        <v>43693</v>
      </c>
      <c r="O51" s="9"/>
      <c r="P51" s="549"/>
    </row>
    <row r="52" spans="2:16" ht="30" customHeight="1">
      <c r="B52" s="651"/>
      <c r="C52" s="8" t="s">
        <v>142</v>
      </c>
      <c r="D52" s="9" t="s">
        <v>143</v>
      </c>
      <c r="E52" s="8" t="s">
        <v>342</v>
      </c>
      <c r="F52" s="8" t="s">
        <v>343</v>
      </c>
      <c r="G52" s="8">
        <v>1000</v>
      </c>
      <c r="H52" s="8">
        <v>1000</v>
      </c>
      <c r="I52" s="8" t="s">
        <v>344</v>
      </c>
      <c r="J52" s="7">
        <v>1</v>
      </c>
      <c r="K52" s="7" t="s">
        <v>327</v>
      </c>
      <c r="L52" s="7" t="s">
        <v>328</v>
      </c>
      <c r="M52" s="7" t="s">
        <v>327</v>
      </c>
      <c r="N52" s="525">
        <v>41614</v>
      </c>
      <c r="O52" s="9"/>
      <c r="P52" s="549"/>
    </row>
    <row r="53" spans="2:16" ht="30" customHeight="1">
      <c r="B53" s="651"/>
      <c r="C53" s="7" t="s">
        <v>144</v>
      </c>
      <c r="D53" s="9" t="s">
        <v>145</v>
      </c>
      <c r="E53" s="7" t="s">
        <v>345</v>
      </c>
      <c r="F53" s="7" t="s">
        <v>346</v>
      </c>
      <c r="G53" s="7">
        <v>1000</v>
      </c>
      <c r="H53" s="7">
        <v>1000</v>
      </c>
      <c r="I53" s="7" t="s">
        <v>287</v>
      </c>
      <c r="J53" s="7">
        <v>1</v>
      </c>
      <c r="K53" s="7" t="s">
        <v>327</v>
      </c>
      <c r="L53" s="7" t="s">
        <v>328</v>
      </c>
      <c r="M53" s="7" t="s">
        <v>327</v>
      </c>
      <c r="N53" s="525">
        <v>41614</v>
      </c>
      <c r="O53" s="9"/>
      <c r="P53" s="549"/>
    </row>
    <row r="54" spans="2:16" ht="30" customHeight="1">
      <c r="B54" s="651"/>
      <c r="C54" s="8" t="s">
        <v>146</v>
      </c>
      <c r="D54" s="9" t="s">
        <v>147</v>
      </c>
      <c r="E54" s="8" t="s">
        <v>347</v>
      </c>
      <c r="F54" s="8" t="s">
        <v>346</v>
      </c>
      <c r="G54" s="8">
        <v>1000</v>
      </c>
      <c r="H54" s="8">
        <v>1000</v>
      </c>
      <c r="I54" s="8" t="s">
        <v>326</v>
      </c>
      <c r="J54" s="8">
        <v>1</v>
      </c>
      <c r="K54" s="8" t="s">
        <v>327</v>
      </c>
      <c r="L54" s="8" t="s">
        <v>341</v>
      </c>
      <c r="M54" s="8" t="s">
        <v>327</v>
      </c>
      <c r="N54" s="525">
        <v>45614</v>
      </c>
      <c r="O54" s="9"/>
      <c r="P54" s="549"/>
    </row>
    <row r="55" spans="2:16" ht="30" customHeight="1">
      <c r="B55" s="651"/>
      <c r="C55" s="7" t="s">
        <v>138</v>
      </c>
      <c r="D55" s="9" t="s">
        <v>139</v>
      </c>
      <c r="E55" s="7" t="s">
        <v>292</v>
      </c>
      <c r="F55" s="7" t="s">
        <v>348</v>
      </c>
      <c r="G55" s="7">
        <v>300</v>
      </c>
      <c r="H55" s="7">
        <v>300</v>
      </c>
      <c r="I55" s="7" t="s">
        <v>287</v>
      </c>
      <c r="J55" s="7">
        <v>1</v>
      </c>
      <c r="K55" s="7" t="s">
        <v>327</v>
      </c>
      <c r="L55" s="7" t="s">
        <v>341</v>
      </c>
      <c r="M55" s="7" t="s">
        <v>327</v>
      </c>
      <c r="N55" s="525">
        <v>41586</v>
      </c>
      <c r="O55" s="9"/>
      <c r="P55" s="549"/>
    </row>
    <row r="56" spans="2:16" ht="30" customHeight="1">
      <c r="B56" s="651"/>
      <c r="C56" s="7" t="s">
        <v>140</v>
      </c>
      <c r="D56" s="9" t="s">
        <v>141</v>
      </c>
      <c r="E56" s="7" t="s">
        <v>349</v>
      </c>
      <c r="F56" s="7" t="s">
        <v>286</v>
      </c>
      <c r="G56" s="7">
        <v>50</v>
      </c>
      <c r="H56" s="7">
        <v>50</v>
      </c>
      <c r="I56" s="7" t="s">
        <v>350</v>
      </c>
      <c r="J56" s="7">
        <v>1</v>
      </c>
      <c r="K56" s="7" t="s">
        <v>327</v>
      </c>
      <c r="L56" s="7" t="s">
        <v>341</v>
      </c>
      <c r="M56" s="7" t="s">
        <v>327</v>
      </c>
      <c r="N56" s="525">
        <v>44204</v>
      </c>
      <c r="O56" s="9"/>
      <c r="P56" s="549"/>
    </row>
    <row r="57" spans="2:16" ht="30" customHeight="1">
      <c r="B57" s="652" t="s">
        <v>15</v>
      </c>
      <c r="C57" s="7" t="s">
        <v>149</v>
      </c>
      <c r="D57" s="9" t="s">
        <v>150</v>
      </c>
      <c r="E57" s="7" t="s">
        <v>339</v>
      </c>
      <c r="F57" s="7" t="s">
        <v>286</v>
      </c>
      <c r="G57" s="7">
        <v>1000</v>
      </c>
      <c r="H57" s="7">
        <v>200</v>
      </c>
      <c r="I57" s="7" t="s">
        <v>350</v>
      </c>
      <c r="J57" s="7">
        <v>8</v>
      </c>
      <c r="K57" s="7" t="s">
        <v>327</v>
      </c>
      <c r="L57" s="7" t="s">
        <v>328</v>
      </c>
      <c r="M57" s="7" t="s">
        <v>327</v>
      </c>
      <c r="N57" s="525">
        <v>38139</v>
      </c>
      <c r="O57" s="9"/>
      <c r="P57" s="549"/>
    </row>
    <row r="58" spans="2:16" ht="30" customHeight="1">
      <c r="B58" s="653"/>
      <c r="C58" s="7" t="s">
        <v>152</v>
      </c>
      <c r="D58" s="9" t="s">
        <v>153</v>
      </c>
      <c r="E58" s="7" t="s">
        <v>292</v>
      </c>
      <c r="F58" s="7" t="s">
        <v>286</v>
      </c>
      <c r="G58" s="7">
        <v>1000</v>
      </c>
      <c r="H58" s="7">
        <v>200</v>
      </c>
      <c r="I58" s="7" t="s">
        <v>287</v>
      </c>
      <c r="J58" s="7">
        <v>4</v>
      </c>
      <c r="K58" s="7" t="s">
        <v>327</v>
      </c>
      <c r="L58" s="7" t="s">
        <v>328</v>
      </c>
      <c r="M58" s="7" t="s">
        <v>327</v>
      </c>
      <c r="N58" s="525">
        <v>42965</v>
      </c>
      <c r="O58" s="9"/>
      <c r="P58" s="549"/>
    </row>
    <row r="59" spans="2:16" ht="30" customHeight="1">
      <c r="B59" s="653"/>
      <c r="C59" s="7" t="s">
        <v>154</v>
      </c>
      <c r="D59" s="9" t="s">
        <v>155</v>
      </c>
      <c r="E59" s="7" t="s">
        <v>324</v>
      </c>
      <c r="F59" s="7" t="s">
        <v>351</v>
      </c>
      <c r="G59" s="7">
        <v>1000</v>
      </c>
      <c r="H59" s="7">
        <v>200</v>
      </c>
      <c r="I59" s="7" t="s">
        <v>350</v>
      </c>
      <c r="J59" s="7">
        <v>1</v>
      </c>
      <c r="K59" s="7" t="s">
        <v>327</v>
      </c>
      <c r="L59" s="7" t="s">
        <v>328</v>
      </c>
      <c r="M59" s="7" t="s">
        <v>327</v>
      </c>
      <c r="N59" s="525">
        <v>38723</v>
      </c>
      <c r="O59" s="9" t="s">
        <v>261</v>
      </c>
      <c r="P59" s="549"/>
    </row>
    <row r="60" spans="2:16" ht="30" customHeight="1">
      <c r="B60" s="653"/>
      <c r="C60" s="7" t="s">
        <v>352</v>
      </c>
      <c r="D60" s="9" t="s">
        <v>163</v>
      </c>
      <c r="E60" s="7" t="s">
        <v>339</v>
      </c>
      <c r="F60" s="7" t="s">
        <v>319</v>
      </c>
      <c r="G60" s="7">
        <v>1000</v>
      </c>
      <c r="H60" s="7">
        <v>200</v>
      </c>
      <c r="I60" s="7" t="s">
        <v>287</v>
      </c>
      <c r="J60" s="7">
        <v>1</v>
      </c>
      <c r="K60" s="7" t="s">
        <v>327</v>
      </c>
      <c r="L60" s="7" t="s">
        <v>328</v>
      </c>
      <c r="M60" s="7" t="s">
        <v>327</v>
      </c>
      <c r="N60" s="525">
        <v>39069</v>
      </c>
      <c r="O60" s="9" t="s">
        <v>261</v>
      </c>
      <c r="P60" s="549" t="s">
        <v>261</v>
      </c>
    </row>
    <row r="61" spans="2:16" ht="30" customHeight="1">
      <c r="B61" s="653"/>
      <c r="C61" s="7" t="s">
        <v>164</v>
      </c>
      <c r="D61" s="9" t="s">
        <v>165</v>
      </c>
      <c r="E61" s="7" t="s">
        <v>339</v>
      </c>
      <c r="F61" s="7" t="s">
        <v>319</v>
      </c>
      <c r="G61" s="7">
        <v>1000</v>
      </c>
      <c r="H61" s="7">
        <v>200</v>
      </c>
      <c r="I61" s="7" t="s">
        <v>287</v>
      </c>
      <c r="J61" s="7">
        <v>1</v>
      </c>
      <c r="K61" s="7" t="s">
        <v>327</v>
      </c>
      <c r="L61" s="7" t="s">
        <v>328</v>
      </c>
      <c r="M61" s="7" t="s">
        <v>327</v>
      </c>
      <c r="N61" s="525">
        <v>44116</v>
      </c>
      <c r="O61" s="9" t="s">
        <v>261</v>
      </c>
      <c r="P61" s="549"/>
    </row>
    <row r="62" spans="2:16" ht="30" customHeight="1">
      <c r="B62" s="653"/>
      <c r="C62" s="7" t="s">
        <v>156</v>
      </c>
      <c r="D62" s="9" t="s">
        <v>157</v>
      </c>
      <c r="E62" s="7" t="s">
        <v>303</v>
      </c>
      <c r="F62" s="7" t="s">
        <v>353</v>
      </c>
      <c r="G62" s="7">
        <v>1000</v>
      </c>
      <c r="H62" s="7">
        <v>200</v>
      </c>
      <c r="I62" s="7" t="s">
        <v>287</v>
      </c>
      <c r="J62" s="7">
        <v>1</v>
      </c>
      <c r="K62" s="7" t="s">
        <v>327</v>
      </c>
      <c r="L62" s="7" t="s">
        <v>328</v>
      </c>
      <c r="M62" s="7" t="s">
        <v>327</v>
      </c>
      <c r="N62" s="525">
        <v>41246</v>
      </c>
      <c r="O62" s="9"/>
      <c r="P62" s="549"/>
    </row>
    <row r="63" spans="2:16" ht="30" customHeight="1">
      <c r="B63" s="653"/>
      <c r="C63" s="7" t="s">
        <v>160</v>
      </c>
      <c r="D63" s="9" t="s">
        <v>161</v>
      </c>
      <c r="E63" s="7" t="s">
        <v>285</v>
      </c>
      <c r="F63" s="7" t="s">
        <v>353</v>
      </c>
      <c r="G63" s="7">
        <v>1000</v>
      </c>
      <c r="H63" s="7">
        <v>200</v>
      </c>
      <c r="I63" s="7" t="s">
        <v>287</v>
      </c>
      <c r="J63" s="7">
        <v>1</v>
      </c>
      <c r="K63" s="7" t="s">
        <v>327</v>
      </c>
      <c r="L63" s="7" t="s">
        <v>328</v>
      </c>
      <c r="M63" s="7" t="s">
        <v>327</v>
      </c>
      <c r="N63" s="525">
        <v>40844</v>
      </c>
      <c r="O63" s="9" t="s">
        <v>261</v>
      </c>
      <c r="P63" s="549"/>
    </row>
    <row r="64" spans="2:16" ht="30" customHeight="1">
      <c r="B64" s="653"/>
      <c r="C64" s="7" t="s">
        <v>158</v>
      </c>
      <c r="D64" s="9" t="s">
        <v>159</v>
      </c>
      <c r="E64" s="7" t="s">
        <v>303</v>
      </c>
      <c r="F64" s="7" t="s">
        <v>291</v>
      </c>
      <c r="G64" s="302">
        <v>1000</v>
      </c>
      <c r="H64" s="302">
        <v>200</v>
      </c>
      <c r="I64" s="7" t="s">
        <v>287</v>
      </c>
      <c r="J64" s="7">
        <v>1</v>
      </c>
      <c r="K64" s="7" t="s">
        <v>327</v>
      </c>
      <c r="L64" s="7" t="s">
        <v>328</v>
      </c>
      <c r="M64" s="7" t="s">
        <v>327</v>
      </c>
      <c r="N64" s="525">
        <v>43805</v>
      </c>
      <c r="O64" s="9"/>
      <c r="P64" s="549"/>
    </row>
    <row r="65" spans="2:16" ht="30" customHeight="1">
      <c r="B65" s="653"/>
      <c r="C65" s="551" t="s">
        <v>168</v>
      </c>
      <c r="D65" s="552" t="s">
        <v>169</v>
      </c>
      <c r="E65" s="7" t="s">
        <v>285</v>
      </c>
      <c r="F65" s="7" t="s">
        <v>353</v>
      </c>
      <c r="G65" s="7">
        <v>1000</v>
      </c>
      <c r="H65" s="7">
        <v>200</v>
      </c>
      <c r="I65" s="7" t="s">
        <v>354</v>
      </c>
      <c r="J65" s="7">
        <v>1</v>
      </c>
      <c r="K65" s="7" t="s">
        <v>327</v>
      </c>
      <c r="L65" s="7" t="s">
        <v>328</v>
      </c>
      <c r="M65" s="7" t="s">
        <v>327</v>
      </c>
      <c r="N65" s="525">
        <v>41271</v>
      </c>
      <c r="O65" s="9" t="s">
        <v>261</v>
      </c>
      <c r="P65" s="549" t="s">
        <v>261</v>
      </c>
    </row>
    <row r="66" spans="2:16" ht="30" customHeight="1">
      <c r="B66" s="653"/>
      <c r="C66" s="7" t="s">
        <v>355</v>
      </c>
      <c r="D66" s="9" t="s">
        <v>167</v>
      </c>
      <c r="E66" s="7" t="s">
        <v>324</v>
      </c>
      <c r="F66" s="7" t="s">
        <v>291</v>
      </c>
      <c r="G66" s="7">
        <v>1000</v>
      </c>
      <c r="H66" s="7">
        <v>200</v>
      </c>
      <c r="I66" s="7" t="s">
        <v>350</v>
      </c>
      <c r="J66" s="7">
        <v>1</v>
      </c>
      <c r="K66" s="7" t="s">
        <v>327</v>
      </c>
      <c r="L66" s="7" t="s">
        <v>328</v>
      </c>
      <c r="M66" s="7" t="s">
        <v>327</v>
      </c>
      <c r="N66" s="525">
        <v>39241</v>
      </c>
      <c r="O66" s="9" t="s">
        <v>261</v>
      </c>
      <c r="P66" s="549" t="s">
        <v>261</v>
      </c>
    </row>
    <row r="67" spans="2:16" ht="30" customHeight="1">
      <c r="B67" s="653"/>
      <c r="C67" s="7" t="s">
        <v>176</v>
      </c>
      <c r="D67" s="9" t="s">
        <v>177</v>
      </c>
      <c r="E67" s="7" t="s">
        <v>336</v>
      </c>
      <c r="F67" s="7" t="s">
        <v>356</v>
      </c>
      <c r="G67" s="302">
        <v>50</v>
      </c>
      <c r="H67" s="302">
        <v>10</v>
      </c>
      <c r="I67" s="7" t="s">
        <v>287</v>
      </c>
      <c r="J67" s="7">
        <v>200</v>
      </c>
      <c r="K67" s="7" t="s">
        <v>327</v>
      </c>
      <c r="L67" s="7" t="s">
        <v>357</v>
      </c>
      <c r="M67" s="7" t="s">
        <v>327</v>
      </c>
      <c r="N67" s="525">
        <v>41543</v>
      </c>
      <c r="O67" s="9"/>
      <c r="P67" s="549"/>
    </row>
    <row r="68" spans="2:16" ht="30" customHeight="1">
      <c r="B68" s="653"/>
      <c r="C68" s="7" t="s">
        <v>192</v>
      </c>
      <c r="D68" s="9" t="s">
        <v>193</v>
      </c>
      <c r="E68" s="7" t="s">
        <v>358</v>
      </c>
      <c r="F68" s="7" t="s">
        <v>353</v>
      </c>
      <c r="G68" s="302">
        <v>1000</v>
      </c>
      <c r="H68" s="302">
        <v>200</v>
      </c>
      <c r="I68" s="7" t="s">
        <v>350</v>
      </c>
      <c r="J68" s="7">
        <v>1</v>
      </c>
      <c r="K68" s="7" t="s">
        <v>327</v>
      </c>
      <c r="L68" s="7" t="s">
        <v>359</v>
      </c>
      <c r="M68" s="7" t="s">
        <v>327</v>
      </c>
      <c r="N68" s="525">
        <v>37708</v>
      </c>
      <c r="O68" s="9"/>
      <c r="P68" s="549"/>
    </row>
    <row r="69" spans="2:16" ht="30" customHeight="1">
      <c r="B69" s="653"/>
      <c r="C69" s="7" t="s">
        <v>180</v>
      </c>
      <c r="D69" s="9" t="s">
        <v>181</v>
      </c>
      <c r="E69" s="7" t="s">
        <v>360</v>
      </c>
      <c r="F69" s="7" t="s">
        <v>291</v>
      </c>
      <c r="G69" s="302">
        <v>1000</v>
      </c>
      <c r="H69" s="301">
        <v>200</v>
      </c>
      <c r="I69" s="7" t="s">
        <v>350</v>
      </c>
      <c r="J69" s="7">
        <v>1</v>
      </c>
      <c r="K69" s="7" t="s">
        <v>327</v>
      </c>
      <c r="L69" s="7" t="s">
        <v>359</v>
      </c>
      <c r="M69" s="7" t="s">
        <v>327</v>
      </c>
      <c r="N69" s="525">
        <v>40925</v>
      </c>
      <c r="O69" s="9"/>
      <c r="P69" s="549"/>
    </row>
    <row r="70" spans="2:16" ht="30" customHeight="1">
      <c r="B70" s="653"/>
      <c r="C70" s="7" t="s">
        <v>200</v>
      </c>
      <c r="D70" s="9" t="s">
        <v>201</v>
      </c>
      <c r="E70" s="7" t="s">
        <v>361</v>
      </c>
      <c r="F70" s="518" t="s">
        <v>353</v>
      </c>
      <c r="G70" s="302">
        <v>1000</v>
      </c>
      <c r="H70" s="302">
        <v>200</v>
      </c>
      <c r="I70" s="7" t="s">
        <v>350</v>
      </c>
      <c r="J70" s="7">
        <v>1</v>
      </c>
      <c r="K70" s="7" t="s">
        <v>327</v>
      </c>
      <c r="L70" s="7" t="s">
        <v>359</v>
      </c>
      <c r="M70" s="7" t="s">
        <v>327</v>
      </c>
      <c r="N70" s="525">
        <v>39923</v>
      </c>
      <c r="O70" s="9"/>
      <c r="P70" s="549"/>
    </row>
    <row r="71" spans="2:16" ht="30" customHeight="1">
      <c r="B71" s="653"/>
      <c r="C71" s="7" t="s">
        <v>198</v>
      </c>
      <c r="D71" s="9" t="s">
        <v>199</v>
      </c>
      <c r="E71" s="7" t="s">
        <v>361</v>
      </c>
      <c r="F71" s="518" t="s">
        <v>353</v>
      </c>
      <c r="G71" s="302">
        <v>1000</v>
      </c>
      <c r="H71" s="302">
        <v>200</v>
      </c>
      <c r="I71" s="7" t="s">
        <v>350</v>
      </c>
      <c r="J71" s="7">
        <v>1</v>
      </c>
      <c r="K71" s="7" t="s">
        <v>327</v>
      </c>
      <c r="L71" s="7" t="s">
        <v>359</v>
      </c>
      <c r="M71" s="7" t="s">
        <v>327</v>
      </c>
      <c r="N71" s="525">
        <v>41828</v>
      </c>
      <c r="O71" s="9"/>
      <c r="P71" s="549"/>
    </row>
    <row r="72" spans="2:16" ht="30" customHeight="1">
      <c r="B72" s="653"/>
      <c r="C72" s="7" t="s">
        <v>182</v>
      </c>
      <c r="D72" s="9" t="s">
        <v>183</v>
      </c>
      <c r="E72" s="7" t="s">
        <v>361</v>
      </c>
      <c r="F72" s="518" t="s">
        <v>353</v>
      </c>
      <c r="G72" s="302">
        <v>1000</v>
      </c>
      <c r="H72" s="302">
        <v>200</v>
      </c>
      <c r="I72" s="7" t="s">
        <v>350</v>
      </c>
      <c r="J72" s="7">
        <v>1</v>
      </c>
      <c r="K72" s="7" t="s">
        <v>327</v>
      </c>
      <c r="L72" s="7" t="s">
        <v>359</v>
      </c>
      <c r="M72" s="7" t="s">
        <v>327</v>
      </c>
      <c r="N72" s="525">
        <v>41596</v>
      </c>
      <c r="O72" s="9"/>
      <c r="P72" s="549"/>
    </row>
    <row r="73" spans="2:16" ht="30" customHeight="1">
      <c r="B73" s="653"/>
      <c r="C73" s="7" t="s">
        <v>186</v>
      </c>
      <c r="D73" s="9" t="s">
        <v>187</v>
      </c>
      <c r="E73" s="7" t="s">
        <v>285</v>
      </c>
      <c r="F73" s="7" t="s">
        <v>291</v>
      </c>
      <c r="G73" s="7">
        <v>1000</v>
      </c>
      <c r="H73" s="7">
        <v>200</v>
      </c>
      <c r="I73" s="7" t="s">
        <v>362</v>
      </c>
      <c r="J73" s="7">
        <v>1</v>
      </c>
      <c r="K73" s="7" t="s">
        <v>327</v>
      </c>
      <c r="L73" s="7" t="s">
        <v>359</v>
      </c>
      <c r="M73" s="7" t="s">
        <v>327</v>
      </c>
      <c r="N73" s="525">
        <v>43091</v>
      </c>
      <c r="O73" s="9"/>
      <c r="P73" s="549"/>
    </row>
    <row r="74" spans="2:16" ht="30" customHeight="1">
      <c r="B74" s="653"/>
      <c r="C74" s="7" t="s">
        <v>190</v>
      </c>
      <c r="D74" s="9" t="s">
        <v>191</v>
      </c>
      <c r="E74" s="7" t="s">
        <v>292</v>
      </c>
      <c r="F74" s="7" t="s">
        <v>286</v>
      </c>
      <c r="G74" s="7">
        <v>100</v>
      </c>
      <c r="H74" s="7">
        <v>20</v>
      </c>
      <c r="I74" s="7" t="s">
        <v>363</v>
      </c>
      <c r="J74" s="7">
        <v>1</v>
      </c>
      <c r="K74" s="7" t="s">
        <v>327</v>
      </c>
      <c r="L74" s="7" t="s">
        <v>359</v>
      </c>
      <c r="M74" s="7" t="s">
        <v>327</v>
      </c>
      <c r="N74" s="525">
        <v>43585</v>
      </c>
      <c r="O74" s="9"/>
      <c r="P74" s="549"/>
    </row>
    <row r="75" spans="2:16" ht="30" customHeight="1">
      <c r="B75" s="653"/>
      <c r="C75" s="7" t="s">
        <v>194</v>
      </c>
      <c r="D75" s="9" t="s">
        <v>195</v>
      </c>
      <c r="E75" s="7" t="s">
        <v>303</v>
      </c>
      <c r="F75" s="7" t="s">
        <v>291</v>
      </c>
      <c r="G75" s="301">
        <v>1000</v>
      </c>
      <c r="H75" s="301">
        <v>200</v>
      </c>
      <c r="I75" s="7" t="s">
        <v>287</v>
      </c>
      <c r="J75" s="7">
        <v>1</v>
      </c>
      <c r="K75" s="7" t="s">
        <v>327</v>
      </c>
      <c r="L75" s="7" t="s">
        <v>359</v>
      </c>
      <c r="M75" s="7" t="s">
        <v>327</v>
      </c>
      <c r="N75" s="525">
        <v>43686</v>
      </c>
      <c r="O75" s="9"/>
      <c r="P75" s="549"/>
    </row>
    <row r="76" spans="2:16" ht="30" customHeight="1">
      <c r="B76" s="653"/>
      <c r="C76" s="7" t="s">
        <v>196</v>
      </c>
      <c r="D76" s="9" t="s">
        <v>197</v>
      </c>
      <c r="E76" s="7" t="s">
        <v>292</v>
      </c>
      <c r="F76" s="7" t="s">
        <v>319</v>
      </c>
      <c r="G76" s="7">
        <v>1000</v>
      </c>
      <c r="H76" s="7">
        <v>200</v>
      </c>
      <c r="I76" s="7" t="s">
        <v>362</v>
      </c>
      <c r="J76" s="7">
        <v>1</v>
      </c>
      <c r="K76" s="7" t="s">
        <v>327</v>
      </c>
      <c r="L76" s="7" t="s">
        <v>359</v>
      </c>
      <c r="M76" s="7" t="s">
        <v>327</v>
      </c>
      <c r="N76" s="525">
        <v>44228</v>
      </c>
      <c r="O76" s="9" t="s">
        <v>261</v>
      </c>
      <c r="P76" s="549" t="s">
        <v>261</v>
      </c>
    </row>
    <row r="77" spans="2:16" ht="30" customHeight="1">
      <c r="B77" s="653"/>
      <c r="C77" s="7" t="s">
        <v>188</v>
      </c>
      <c r="D77" s="9" t="s">
        <v>189</v>
      </c>
      <c r="E77" s="7" t="s">
        <v>285</v>
      </c>
      <c r="F77" s="7" t="s">
        <v>353</v>
      </c>
      <c r="G77" s="7">
        <v>1000</v>
      </c>
      <c r="H77" s="7">
        <v>200</v>
      </c>
      <c r="I77" s="7" t="s">
        <v>364</v>
      </c>
      <c r="J77" s="7">
        <v>1</v>
      </c>
      <c r="K77" s="7" t="s">
        <v>327</v>
      </c>
      <c r="L77" s="7" t="s">
        <v>359</v>
      </c>
      <c r="M77" s="7" t="s">
        <v>327</v>
      </c>
      <c r="N77" s="525">
        <v>41271</v>
      </c>
      <c r="O77" s="9"/>
      <c r="P77" s="549"/>
    </row>
    <row r="78" spans="2:16" ht="30" customHeight="1">
      <c r="B78" s="653"/>
      <c r="C78" s="7" t="s">
        <v>178</v>
      </c>
      <c r="D78" s="9" t="s">
        <v>179</v>
      </c>
      <c r="E78" s="7" t="s">
        <v>292</v>
      </c>
      <c r="F78" s="7" t="s">
        <v>319</v>
      </c>
      <c r="G78" s="7">
        <v>1000</v>
      </c>
      <c r="H78" s="7">
        <v>200</v>
      </c>
      <c r="I78" s="7" t="s">
        <v>287</v>
      </c>
      <c r="J78" s="7">
        <v>1</v>
      </c>
      <c r="K78" s="7" t="s">
        <v>327</v>
      </c>
      <c r="L78" s="7" t="s">
        <v>359</v>
      </c>
      <c r="M78" s="7" t="s">
        <v>327</v>
      </c>
      <c r="N78" s="525">
        <v>41859</v>
      </c>
      <c r="O78" s="9" t="s">
        <v>261</v>
      </c>
      <c r="P78" s="549"/>
    </row>
    <row r="79" spans="2:16" ht="30" customHeight="1">
      <c r="B79" s="653"/>
      <c r="C79" s="7" t="s">
        <v>184</v>
      </c>
      <c r="D79" s="9" t="s">
        <v>185</v>
      </c>
      <c r="E79" s="7" t="s">
        <v>292</v>
      </c>
      <c r="F79" s="7" t="s">
        <v>319</v>
      </c>
      <c r="G79" s="7">
        <v>1000</v>
      </c>
      <c r="H79" s="7">
        <v>200</v>
      </c>
      <c r="I79" s="7" t="s">
        <v>287</v>
      </c>
      <c r="J79" s="7">
        <v>1</v>
      </c>
      <c r="K79" s="7" t="s">
        <v>327</v>
      </c>
      <c r="L79" s="7" t="s">
        <v>359</v>
      </c>
      <c r="M79" s="7" t="s">
        <v>327</v>
      </c>
      <c r="N79" s="525">
        <v>41859</v>
      </c>
      <c r="O79" s="9"/>
      <c r="P79" s="549"/>
    </row>
    <row r="80" spans="2:16" ht="30" customHeight="1">
      <c r="B80" s="653"/>
      <c r="C80" s="7" t="s">
        <v>170</v>
      </c>
      <c r="D80" s="9" t="s">
        <v>171</v>
      </c>
      <c r="E80" s="7" t="s">
        <v>292</v>
      </c>
      <c r="F80" s="7" t="s">
        <v>319</v>
      </c>
      <c r="G80" s="7">
        <v>1000</v>
      </c>
      <c r="H80" s="7">
        <v>200</v>
      </c>
      <c r="I80" s="7" t="s">
        <v>287</v>
      </c>
      <c r="J80" s="7">
        <v>1</v>
      </c>
      <c r="K80" s="7" t="s">
        <v>327</v>
      </c>
      <c r="L80" s="7" t="s">
        <v>359</v>
      </c>
      <c r="M80" s="7" t="s">
        <v>327</v>
      </c>
      <c r="N80" s="525">
        <v>45184</v>
      </c>
      <c r="O80" s="9" t="s">
        <v>261</v>
      </c>
      <c r="P80" s="549"/>
    </row>
    <row r="81" spans="1:27" ht="30" customHeight="1">
      <c r="B81" s="653"/>
      <c r="C81" s="7" t="s">
        <v>172</v>
      </c>
      <c r="D81" s="9" t="s">
        <v>173</v>
      </c>
      <c r="E81" s="7" t="s">
        <v>365</v>
      </c>
      <c r="F81" s="7" t="s">
        <v>291</v>
      </c>
      <c r="G81" s="7">
        <v>1000</v>
      </c>
      <c r="H81" s="7">
        <v>200</v>
      </c>
      <c r="I81" s="7" t="s">
        <v>287</v>
      </c>
      <c r="J81" s="7">
        <v>1</v>
      </c>
      <c r="K81" s="7" t="s">
        <v>327</v>
      </c>
      <c r="L81" s="7" t="s">
        <v>359</v>
      </c>
      <c r="M81" s="7" t="s">
        <v>327</v>
      </c>
      <c r="N81" s="525">
        <v>45184</v>
      </c>
      <c r="O81" s="9"/>
      <c r="P81" s="549"/>
    </row>
    <row r="82" spans="1:27" s="544" customFormat="1" ht="30" customHeight="1">
      <c r="A82" s="491"/>
      <c r="B82" s="654"/>
      <c r="C82" s="8" t="s">
        <v>174</v>
      </c>
      <c r="D82" s="9" t="s">
        <v>175</v>
      </c>
      <c r="E82" s="8" t="s">
        <v>366</v>
      </c>
      <c r="F82" s="8" t="s">
        <v>319</v>
      </c>
      <c r="G82" s="8">
        <v>1000</v>
      </c>
      <c r="H82" s="8">
        <v>200</v>
      </c>
      <c r="I82" s="8" t="s">
        <v>287</v>
      </c>
      <c r="J82" s="8">
        <v>1</v>
      </c>
      <c r="K82" s="8" t="s">
        <v>327</v>
      </c>
      <c r="L82" s="8" t="s">
        <v>359</v>
      </c>
      <c r="M82" s="8" t="s">
        <v>327</v>
      </c>
      <c r="N82" s="525">
        <v>45534</v>
      </c>
      <c r="O82" s="9" t="s">
        <v>261</v>
      </c>
      <c r="P82" s="549"/>
      <c r="Q82" s="491"/>
      <c r="R82" s="491"/>
      <c r="S82" s="491"/>
      <c r="T82" s="491"/>
      <c r="U82" s="491"/>
      <c r="V82" s="491"/>
      <c r="W82" s="491"/>
      <c r="X82" s="491"/>
      <c r="Y82" s="491"/>
      <c r="Z82" s="491"/>
      <c r="AA82" s="491"/>
    </row>
    <row r="83" spans="1:27" ht="30" customHeight="1">
      <c r="B83" s="655" t="s">
        <v>18</v>
      </c>
      <c r="C83" s="7" t="s">
        <v>203</v>
      </c>
      <c r="D83" s="9" t="s">
        <v>204</v>
      </c>
      <c r="E83" s="7" t="s">
        <v>292</v>
      </c>
      <c r="F83" s="7" t="s">
        <v>286</v>
      </c>
      <c r="G83" s="7">
        <v>1000</v>
      </c>
      <c r="H83" s="7">
        <v>1000</v>
      </c>
      <c r="I83" s="8" t="s">
        <v>287</v>
      </c>
      <c r="J83" s="7">
        <v>1</v>
      </c>
      <c r="K83" s="7" t="s">
        <v>327</v>
      </c>
      <c r="L83" s="7" t="s">
        <v>367</v>
      </c>
      <c r="M83" s="7" t="s">
        <v>327</v>
      </c>
      <c r="N83" s="525">
        <v>44917</v>
      </c>
      <c r="O83" s="9" t="s">
        <v>261</v>
      </c>
      <c r="P83" s="549"/>
    </row>
    <row r="84" spans="1:27" ht="30" customHeight="1">
      <c r="B84" s="656"/>
      <c r="C84" s="7" t="s">
        <v>206</v>
      </c>
      <c r="D84" s="9" t="s">
        <v>207</v>
      </c>
      <c r="E84" s="7" t="s">
        <v>306</v>
      </c>
      <c r="F84" s="8" t="s">
        <v>368</v>
      </c>
      <c r="G84" s="7">
        <v>1000</v>
      </c>
      <c r="H84" s="7">
        <v>1000</v>
      </c>
      <c r="I84" s="7" t="s">
        <v>287</v>
      </c>
      <c r="J84" s="7">
        <v>1</v>
      </c>
      <c r="K84" s="7" t="s">
        <v>327</v>
      </c>
      <c r="L84" s="7" t="s">
        <v>367</v>
      </c>
      <c r="M84" s="7" t="s">
        <v>327</v>
      </c>
      <c r="N84" s="525">
        <v>45128</v>
      </c>
      <c r="O84" s="9" t="s">
        <v>261</v>
      </c>
      <c r="P84" s="549"/>
    </row>
    <row r="85" spans="1:27" ht="30" customHeight="1">
      <c r="B85" s="656"/>
      <c r="C85" s="338" t="s">
        <v>208</v>
      </c>
      <c r="D85" s="546" t="s">
        <v>209</v>
      </c>
      <c r="E85" s="338" t="s">
        <v>369</v>
      </c>
      <c r="F85" s="338" t="s">
        <v>286</v>
      </c>
      <c r="G85" s="338">
        <v>1000</v>
      </c>
      <c r="H85" s="338">
        <v>1000</v>
      </c>
      <c r="I85" s="338" t="s">
        <v>287</v>
      </c>
      <c r="J85" s="338">
        <v>1</v>
      </c>
      <c r="K85" s="338" t="s">
        <v>327</v>
      </c>
      <c r="L85" s="338" t="s">
        <v>367</v>
      </c>
      <c r="M85" s="338" t="s">
        <v>327</v>
      </c>
      <c r="N85" s="540">
        <v>45652</v>
      </c>
      <c r="O85" s="546" t="s">
        <v>261</v>
      </c>
      <c r="P85" s="553"/>
    </row>
    <row r="86" spans="1:27" ht="30" customHeight="1">
      <c r="B86" s="643" t="s">
        <v>370</v>
      </c>
      <c r="C86" s="644"/>
      <c r="D86" s="644"/>
      <c r="E86" s="644"/>
      <c r="F86" s="644"/>
      <c r="G86" s="644"/>
      <c r="H86" s="644"/>
      <c r="I86" s="644"/>
      <c r="J86" s="644"/>
      <c r="K86" s="644"/>
      <c r="L86" s="644"/>
      <c r="M86" s="644"/>
      <c r="N86" s="644"/>
      <c r="O86" s="644"/>
      <c r="P86" s="645"/>
    </row>
  </sheetData>
  <mergeCells count="9">
    <mergeCell ref="A1:C1"/>
    <mergeCell ref="B2:P2"/>
    <mergeCell ref="B86:P86"/>
    <mergeCell ref="B4:B11"/>
    <mergeCell ref="B12:B16"/>
    <mergeCell ref="B17:B34"/>
    <mergeCell ref="B35:B56"/>
    <mergeCell ref="B57:B82"/>
    <mergeCell ref="B83:B85"/>
  </mergeCells>
  <phoneticPr fontId="106" type="noConversion"/>
  <hyperlinks>
    <hyperlink ref="A1" location="'目录'!A1" display="点此返回目录"/>
  </hyperlinks>
  <pageMargins left="0.75" right="0.75" top="1" bottom="1" header="0.5" footer="0.5"/>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AA212"/>
  <sheetViews>
    <sheetView zoomScale="80" zoomScaleNormal="80" workbookViewId="0">
      <selection sqref="A1:C1"/>
    </sheetView>
  </sheetViews>
  <sheetFormatPr defaultColWidth="9" defaultRowHeight="16.5"/>
  <cols>
    <col min="1" max="1" width="3.625" style="28" customWidth="1"/>
    <col min="2" max="2" width="9" style="28"/>
    <col min="3" max="3" width="21.375" style="28" customWidth="1"/>
    <col min="4" max="4" width="10.25" style="28" customWidth="1"/>
    <col min="5" max="5" width="19.375" style="28" customWidth="1"/>
    <col min="6" max="6" width="13.5" style="28" customWidth="1"/>
    <col min="7" max="7" width="24.5" style="28" customWidth="1"/>
    <col min="8" max="8" width="36.375" style="28" customWidth="1"/>
    <col min="9" max="9" width="16.625" style="28" customWidth="1"/>
    <col min="10" max="10" width="9.625" style="28" customWidth="1"/>
    <col min="11" max="11" width="9.75" style="28" customWidth="1"/>
    <col min="12" max="12" width="24.375" style="28" customWidth="1"/>
    <col min="13" max="13" width="13.375" style="28" customWidth="1"/>
    <col min="14" max="14" width="70.375" style="28" customWidth="1"/>
    <col min="15" max="15" width="22.375" style="28" customWidth="1"/>
    <col min="16" max="16" width="9.875" style="28" customWidth="1"/>
    <col min="17" max="17" width="8.125" style="28" customWidth="1"/>
    <col min="18" max="18" width="8.875" style="28" customWidth="1"/>
    <col min="19" max="19" width="14.25" style="492" customWidth="1"/>
    <col min="20" max="20" width="13.625" style="28" customWidth="1"/>
    <col min="21" max="21" width="10.75" style="28" customWidth="1"/>
    <col min="22" max="27" width="9" style="28"/>
  </cols>
  <sheetData>
    <row r="1" spans="1:21" ht="26.25" customHeight="1">
      <c r="A1" s="623" t="s">
        <v>33</v>
      </c>
      <c r="B1" s="623"/>
      <c r="C1" s="623"/>
      <c r="D1" s="14"/>
    </row>
    <row r="2" spans="1:21" ht="48.95" customHeight="1">
      <c r="B2" s="701" t="s">
        <v>371</v>
      </c>
      <c r="C2" s="702"/>
      <c r="D2" s="702"/>
      <c r="E2" s="702"/>
      <c r="F2" s="702"/>
      <c r="G2" s="702"/>
      <c r="H2" s="702"/>
      <c r="I2" s="702"/>
      <c r="J2" s="702"/>
      <c r="K2" s="702"/>
      <c r="L2" s="702"/>
      <c r="M2" s="702"/>
      <c r="N2" s="702"/>
      <c r="O2" s="702"/>
      <c r="P2" s="702"/>
      <c r="Q2" s="702"/>
      <c r="R2" s="702"/>
      <c r="S2" s="703"/>
      <c r="T2" s="702"/>
      <c r="U2" s="702"/>
    </row>
    <row r="3" spans="1:21" ht="45">
      <c r="B3" s="493" t="s">
        <v>35</v>
      </c>
      <c r="C3" s="494" t="s">
        <v>36</v>
      </c>
      <c r="D3" s="494" t="s">
        <v>37</v>
      </c>
      <c r="E3" s="494" t="s">
        <v>372</v>
      </c>
      <c r="F3" s="494" t="s">
        <v>373</v>
      </c>
      <c r="G3" s="494" t="s">
        <v>374</v>
      </c>
      <c r="H3" s="494" t="s">
        <v>375</v>
      </c>
      <c r="I3" s="494" t="s">
        <v>376</v>
      </c>
      <c r="J3" s="494" t="s">
        <v>377</v>
      </c>
      <c r="K3" s="494" t="s">
        <v>242</v>
      </c>
      <c r="L3" s="494" t="s">
        <v>243</v>
      </c>
      <c r="M3" s="494" t="s">
        <v>244</v>
      </c>
      <c r="N3" s="494" t="s">
        <v>245</v>
      </c>
      <c r="O3" s="494" t="s">
        <v>248</v>
      </c>
      <c r="P3" s="494" t="s">
        <v>378</v>
      </c>
      <c r="Q3" s="346" t="s">
        <v>379</v>
      </c>
      <c r="R3" s="346" t="s">
        <v>380</v>
      </c>
      <c r="S3" s="524" t="s">
        <v>250</v>
      </c>
      <c r="T3" s="346" t="s">
        <v>251</v>
      </c>
      <c r="U3" s="487" t="s">
        <v>252</v>
      </c>
    </row>
    <row r="4" spans="1:21" s="28" customFormat="1" ht="38.1" customHeight="1">
      <c r="B4" s="704" t="s">
        <v>210</v>
      </c>
      <c r="C4" s="495" t="s">
        <v>381</v>
      </c>
      <c r="D4" s="496" t="s">
        <v>231</v>
      </c>
      <c r="E4" s="495" t="s">
        <v>253</v>
      </c>
      <c r="F4" s="495" t="s">
        <v>260</v>
      </c>
      <c r="G4" s="675" t="s">
        <v>382</v>
      </c>
      <c r="H4" s="683" t="s">
        <v>383</v>
      </c>
      <c r="I4" s="675" t="s">
        <v>384</v>
      </c>
      <c r="J4" s="7">
        <v>100</v>
      </c>
      <c r="K4" s="495" t="s">
        <v>255</v>
      </c>
      <c r="L4" s="7">
        <v>20</v>
      </c>
      <c r="M4" s="7" t="s">
        <v>385</v>
      </c>
      <c r="N4" s="495" t="s">
        <v>386</v>
      </c>
      <c r="O4" s="675" t="s">
        <v>387</v>
      </c>
      <c r="P4" s="675" t="s">
        <v>388</v>
      </c>
      <c r="Q4" s="667" t="s">
        <v>389</v>
      </c>
      <c r="R4" s="667" t="s">
        <v>390</v>
      </c>
      <c r="S4" s="525">
        <v>43822</v>
      </c>
      <c r="T4" s="496" t="s">
        <v>261</v>
      </c>
      <c r="U4" s="526"/>
    </row>
    <row r="5" spans="1:21" s="28" customFormat="1" ht="38.1" customHeight="1">
      <c r="B5" s="704"/>
      <c r="C5" s="495" t="s">
        <v>391</v>
      </c>
      <c r="D5" s="497" t="s">
        <v>235</v>
      </c>
      <c r="E5" s="495" t="s">
        <v>265</v>
      </c>
      <c r="F5" s="495" t="s">
        <v>260</v>
      </c>
      <c r="G5" s="675"/>
      <c r="H5" s="683"/>
      <c r="I5" s="675"/>
      <c r="J5" s="7">
        <v>100</v>
      </c>
      <c r="K5" s="495" t="s">
        <v>255</v>
      </c>
      <c r="L5" s="7">
        <v>20</v>
      </c>
      <c r="M5" s="7" t="s">
        <v>385</v>
      </c>
      <c r="N5" s="495" t="s">
        <v>386</v>
      </c>
      <c r="O5" s="675"/>
      <c r="P5" s="675"/>
      <c r="Q5" s="667"/>
      <c r="R5" s="668"/>
      <c r="S5" s="525">
        <v>44764</v>
      </c>
      <c r="T5" s="496" t="s">
        <v>261</v>
      </c>
      <c r="U5" s="526"/>
    </row>
    <row r="6" spans="1:21" s="28" customFormat="1" ht="38.1" customHeight="1">
      <c r="B6" s="705"/>
      <c r="C6" s="498" t="s">
        <v>392</v>
      </c>
      <c r="D6" s="499" t="s">
        <v>237</v>
      </c>
      <c r="E6" s="500" t="s">
        <v>262</v>
      </c>
      <c r="F6" s="501" t="s">
        <v>260</v>
      </c>
      <c r="G6" s="682"/>
      <c r="H6" s="684"/>
      <c r="I6" s="682"/>
      <c r="J6" s="518">
        <v>100</v>
      </c>
      <c r="K6" s="501" t="s">
        <v>255</v>
      </c>
      <c r="L6" s="518">
        <v>20</v>
      </c>
      <c r="M6" s="518" t="s">
        <v>385</v>
      </c>
      <c r="N6" s="501" t="s">
        <v>386</v>
      </c>
      <c r="O6" s="682"/>
      <c r="P6" s="682"/>
      <c r="Q6" s="676"/>
      <c r="R6" s="711"/>
      <c r="S6" s="527">
        <v>44914</v>
      </c>
      <c r="T6" s="499" t="s">
        <v>261</v>
      </c>
      <c r="U6" s="528"/>
    </row>
    <row r="7" spans="1:21" s="28" customFormat="1" ht="42.95" customHeight="1">
      <c r="B7" s="502" t="s">
        <v>90</v>
      </c>
      <c r="C7" s="503" t="s">
        <v>393</v>
      </c>
      <c r="D7" s="504" t="s">
        <v>394</v>
      </c>
      <c r="E7" s="505" t="s">
        <v>395</v>
      </c>
      <c r="F7" s="505" t="s">
        <v>396</v>
      </c>
      <c r="G7" s="685" t="s">
        <v>397</v>
      </c>
      <c r="H7" s="685" t="s">
        <v>398</v>
      </c>
      <c r="I7" s="685" t="s">
        <v>399</v>
      </c>
      <c r="J7" s="505" t="s">
        <v>279</v>
      </c>
      <c r="K7" s="505" t="s">
        <v>400</v>
      </c>
      <c r="L7" s="519">
        <v>100</v>
      </c>
      <c r="M7" s="519" t="s">
        <v>385</v>
      </c>
      <c r="N7" s="505" t="s">
        <v>401</v>
      </c>
      <c r="O7" s="517" t="s">
        <v>402</v>
      </c>
      <c r="P7" s="517" t="s">
        <v>388</v>
      </c>
      <c r="Q7" s="529" t="s">
        <v>403</v>
      </c>
      <c r="R7" s="529" t="s">
        <v>404</v>
      </c>
      <c r="S7" s="525">
        <v>44368</v>
      </c>
      <c r="T7" s="496" t="s">
        <v>261</v>
      </c>
      <c r="U7" s="526" t="s">
        <v>261</v>
      </c>
    </row>
    <row r="8" spans="1:21" s="28" customFormat="1" ht="42.95" customHeight="1">
      <c r="B8" s="706" t="s">
        <v>44</v>
      </c>
      <c r="C8" s="506" t="s">
        <v>405</v>
      </c>
      <c r="D8" s="496" t="s">
        <v>406</v>
      </c>
      <c r="E8" s="333" t="s">
        <v>407</v>
      </c>
      <c r="F8" s="333" t="s">
        <v>408</v>
      </c>
      <c r="G8" s="679"/>
      <c r="H8" s="679"/>
      <c r="I8" s="679"/>
      <c r="J8" s="333" t="s">
        <v>339</v>
      </c>
      <c r="K8" s="333" t="s">
        <v>319</v>
      </c>
      <c r="L8" s="8">
        <v>100</v>
      </c>
      <c r="M8" s="8" t="s">
        <v>385</v>
      </c>
      <c r="N8" s="333" t="s">
        <v>409</v>
      </c>
      <c r="O8" s="682" t="s">
        <v>410</v>
      </c>
      <c r="P8" s="682" t="s">
        <v>388</v>
      </c>
      <c r="Q8" s="676" t="s">
        <v>403</v>
      </c>
      <c r="R8" s="676" t="s">
        <v>404</v>
      </c>
      <c r="S8" s="525">
        <v>43364</v>
      </c>
      <c r="T8" s="496" t="s">
        <v>261</v>
      </c>
      <c r="U8" s="526"/>
    </row>
    <row r="9" spans="1:21" s="28" customFormat="1" ht="42.95" customHeight="1">
      <c r="B9" s="707"/>
      <c r="C9" s="506" t="s">
        <v>411</v>
      </c>
      <c r="D9" s="496" t="s">
        <v>412</v>
      </c>
      <c r="E9" s="333" t="s">
        <v>413</v>
      </c>
      <c r="F9" s="333" t="s">
        <v>414</v>
      </c>
      <c r="G9" s="679"/>
      <c r="H9" s="679"/>
      <c r="I9" s="679"/>
      <c r="J9" s="333" t="s">
        <v>285</v>
      </c>
      <c r="K9" s="333" t="s">
        <v>353</v>
      </c>
      <c r="L9" s="8">
        <v>100</v>
      </c>
      <c r="M9" s="8" t="s">
        <v>385</v>
      </c>
      <c r="N9" s="333" t="s">
        <v>415</v>
      </c>
      <c r="O9" s="659"/>
      <c r="P9" s="659"/>
      <c r="Q9" s="661"/>
      <c r="R9" s="661"/>
      <c r="S9" s="525">
        <v>43493</v>
      </c>
      <c r="T9" s="496"/>
      <c r="U9" s="526"/>
    </row>
    <row r="10" spans="1:21" s="28" customFormat="1" ht="42.95" customHeight="1">
      <c r="B10" s="707"/>
      <c r="C10" s="506" t="s">
        <v>416</v>
      </c>
      <c r="D10" s="496" t="s">
        <v>417</v>
      </c>
      <c r="E10" s="333" t="s">
        <v>418</v>
      </c>
      <c r="F10" s="333" t="s">
        <v>396</v>
      </c>
      <c r="G10" s="679"/>
      <c r="H10" s="679"/>
      <c r="I10" s="679"/>
      <c r="J10" s="333" t="s">
        <v>309</v>
      </c>
      <c r="K10" s="333" t="s">
        <v>310</v>
      </c>
      <c r="L10" s="8">
        <v>100</v>
      </c>
      <c r="M10" s="8" t="s">
        <v>385</v>
      </c>
      <c r="N10" s="333" t="s">
        <v>401</v>
      </c>
      <c r="O10" s="659"/>
      <c r="P10" s="659"/>
      <c r="Q10" s="661"/>
      <c r="R10" s="661"/>
      <c r="S10" s="525">
        <v>43819</v>
      </c>
      <c r="T10" s="496" t="s">
        <v>261</v>
      </c>
      <c r="U10" s="526"/>
    </row>
    <row r="11" spans="1:21" s="28" customFormat="1" ht="42.95" customHeight="1">
      <c r="B11" s="707"/>
      <c r="C11" s="506" t="s">
        <v>419</v>
      </c>
      <c r="D11" s="496" t="s">
        <v>420</v>
      </c>
      <c r="E11" s="333" t="s">
        <v>421</v>
      </c>
      <c r="F11" s="333" t="s">
        <v>408</v>
      </c>
      <c r="G11" s="679"/>
      <c r="H11" s="679"/>
      <c r="I11" s="679"/>
      <c r="J11" s="333" t="s">
        <v>339</v>
      </c>
      <c r="K11" s="333" t="s">
        <v>291</v>
      </c>
      <c r="L11" s="8">
        <v>100</v>
      </c>
      <c r="M11" s="8" t="s">
        <v>385</v>
      </c>
      <c r="N11" s="333" t="s">
        <v>422</v>
      </c>
      <c r="O11" s="659"/>
      <c r="P11" s="659"/>
      <c r="Q11" s="661"/>
      <c r="R11" s="661"/>
      <c r="S11" s="525">
        <v>44053</v>
      </c>
      <c r="T11" s="496" t="s">
        <v>261</v>
      </c>
      <c r="U11" s="526"/>
    </row>
    <row r="12" spans="1:21" s="28" customFormat="1" ht="42.95" customHeight="1">
      <c r="B12" s="707"/>
      <c r="C12" s="506" t="s">
        <v>423</v>
      </c>
      <c r="D12" s="496" t="s">
        <v>424</v>
      </c>
      <c r="E12" s="333" t="s">
        <v>425</v>
      </c>
      <c r="F12" s="333" t="s">
        <v>408</v>
      </c>
      <c r="G12" s="679"/>
      <c r="H12" s="679"/>
      <c r="I12" s="679"/>
      <c r="J12" s="333" t="s">
        <v>339</v>
      </c>
      <c r="K12" s="333" t="s">
        <v>291</v>
      </c>
      <c r="L12" s="8">
        <v>100</v>
      </c>
      <c r="M12" s="8" t="s">
        <v>385</v>
      </c>
      <c r="N12" s="333" t="s">
        <v>426</v>
      </c>
      <c r="O12" s="659"/>
      <c r="P12" s="659"/>
      <c r="Q12" s="661"/>
      <c r="R12" s="661"/>
      <c r="S12" s="525">
        <v>44053</v>
      </c>
      <c r="T12" s="496" t="s">
        <v>261</v>
      </c>
      <c r="U12" s="526"/>
    </row>
    <row r="13" spans="1:21" s="28" customFormat="1" ht="42.95" customHeight="1">
      <c r="B13" s="707"/>
      <c r="C13" s="506" t="s">
        <v>427</v>
      </c>
      <c r="D13" s="496" t="s">
        <v>428</v>
      </c>
      <c r="E13" s="333" t="s">
        <v>429</v>
      </c>
      <c r="F13" s="333" t="s">
        <v>414</v>
      </c>
      <c r="G13" s="679"/>
      <c r="H13" s="679"/>
      <c r="I13" s="679"/>
      <c r="J13" s="333" t="s">
        <v>285</v>
      </c>
      <c r="K13" s="333" t="s">
        <v>430</v>
      </c>
      <c r="L13" s="8">
        <v>100</v>
      </c>
      <c r="M13" s="8" t="s">
        <v>385</v>
      </c>
      <c r="N13" s="333" t="s">
        <v>431</v>
      </c>
      <c r="O13" s="659"/>
      <c r="P13" s="659"/>
      <c r="Q13" s="661"/>
      <c r="R13" s="662"/>
      <c r="S13" s="525">
        <v>44921</v>
      </c>
      <c r="T13" s="496" t="s">
        <v>261</v>
      </c>
      <c r="U13" s="526"/>
    </row>
    <row r="14" spans="1:21" s="28" customFormat="1" ht="42.95" customHeight="1">
      <c r="B14" s="707"/>
      <c r="C14" s="506" t="s">
        <v>432</v>
      </c>
      <c r="D14" s="496" t="s">
        <v>433</v>
      </c>
      <c r="E14" s="333" t="s">
        <v>434</v>
      </c>
      <c r="F14" s="333" t="s">
        <v>396</v>
      </c>
      <c r="G14" s="679"/>
      <c r="H14" s="679"/>
      <c r="I14" s="679"/>
      <c r="J14" s="333" t="s">
        <v>313</v>
      </c>
      <c r="K14" s="333" t="s">
        <v>435</v>
      </c>
      <c r="L14" s="8">
        <v>100</v>
      </c>
      <c r="M14" s="8" t="s">
        <v>385</v>
      </c>
      <c r="N14" s="333" t="s">
        <v>436</v>
      </c>
      <c r="O14" s="659"/>
      <c r="P14" s="659"/>
      <c r="Q14" s="661"/>
      <c r="R14" s="662"/>
      <c r="S14" s="525">
        <v>44921</v>
      </c>
      <c r="T14" s="496" t="s">
        <v>261</v>
      </c>
      <c r="U14" s="526"/>
    </row>
    <row r="15" spans="1:21" s="28" customFormat="1" ht="42.95" customHeight="1">
      <c r="B15" s="707"/>
      <c r="C15" s="508" t="s">
        <v>437</v>
      </c>
      <c r="D15" s="496" t="s">
        <v>438</v>
      </c>
      <c r="E15" s="328" t="s">
        <v>439</v>
      </c>
      <c r="F15" s="328" t="s">
        <v>414</v>
      </c>
      <c r="G15" s="679"/>
      <c r="H15" s="679"/>
      <c r="I15" s="679"/>
      <c r="J15" s="328" t="s">
        <v>292</v>
      </c>
      <c r="K15" s="328" t="s">
        <v>291</v>
      </c>
      <c r="L15" s="338">
        <v>100</v>
      </c>
      <c r="M15" s="338" t="s">
        <v>385</v>
      </c>
      <c r="N15" s="328" t="s">
        <v>426</v>
      </c>
      <c r="O15" s="659"/>
      <c r="P15" s="659"/>
      <c r="Q15" s="661"/>
      <c r="R15" s="661"/>
      <c r="S15" s="525">
        <v>45138</v>
      </c>
      <c r="T15" s="496"/>
      <c r="U15" s="526"/>
    </row>
    <row r="16" spans="1:21" s="28" customFormat="1" ht="42.95" customHeight="1">
      <c r="B16" s="707"/>
      <c r="C16" s="506" t="s">
        <v>440</v>
      </c>
      <c r="D16" s="496" t="s">
        <v>441</v>
      </c>
      <c r="E16" s="333" t="s">
        <v>442</v>
      </c>
      <c r="F16" s="333" t="s">
        <v>408</v>
      </c>
      <c r="G16" s="679"/>
      <c r="H16" s="679"/>
      <c r="I16" s="679"/>
      <c r="J16" s="328" t="s">
        <v>292</v>
      </c>
      <c r="K16" s="333" t="s">
        <v>291</v>
      </c>
      <c r="L16" s="8">
        <v>100</v>
      </c>
      <c r="M16" s="338" t="s">
        <v>385</v>
      </c>
      <c r="N16" s="333" t="s">
        <v>443</v>
      </c>
      <c r="O16" s="659"/>
      <c r="P16" s="659"/>
      <c r="Q16" s="661"/>
      <c r="R16" s="661"/>
      <c r="S16" s="525">
        <v>45537</v>
      </c>
      <c r="T16" s="496"/>
      <c r="U16" s="526"/>
    </row>
    <row r="17" spans="2:21" s="28" customFormat="1" ht="42.95" customHeight="1">
      <c r="B17" s="707"/>
      <c r="C17" s="506" t="s">
        <v>444</v>
      </c>
      <c r="D17" s="496" t="s">
        <v>445</v>
      </c>
      <c r="E17" s="333" t="s">
        <v>446</v>
      </c>
      <c r="F17" s="333" t="s">
        <v>408</v>
      </c>
      <c r="G17" s="679"/>
      <c r="H17" s="679"/>
      <c r="I17" s="679"/>
      <c r="J17" s="328" t="s">
        <v>306</v>
      </c>
      <c r="K17" s="333" t="s">
        <v>319</v>
      </c>
      <c r="L17" s="8">
        <v>100</v>
      </c>
      <c r="M17" s="338" t="s">
        <v>385</v>
      </c>
      <c r="N17" s="333" t="s">
        <v>443</v>
      </c>
      <c r="O17" s="659"/>
      <c r="P17" s="659"/>
      <c r="Q17" s="661"/>
      <c r="R17" s="661"/>
      <c r="S17" s="525">
        <v>45537</v>
      </c>
      <c r="T17" s="496"/>
      <c r="U17" s="526"/>
    </row>
    <row r="18" spans="2:21" s="28" customFormat="1" ht="42.95" customHeight="1">
      <c r="B18" s="707"/>
      <c r="C18" s="506" t="s">
        <v>447</v>
      </c>
      <c r="D18" s="496" t="s">
        <v>448</v>
      </c>
      <c r="E18" s="333" t="s">
        <v>449</v>
      </c>
      <c r="F18" s="333" t="s">
        <v>408</v>
      </c>
      <c r="G18" s="679"/>
      <c r="H18" s="679"/>
      <c r="I18" s="679"/>
      <c r="J18" s="328" t="s">
        <v>306</v>
      </c>
      <c r="K18" s="333" t="s">
        <v>319</v>
      </c>
      <c r="L18" s="8">
        <v>100</v>
      </c>
      <c r="M18" s="338" t="s">
        <v>385</v>
      </c>
      <c r="N18" s="333" t="s">
        <v>443</v>
      </c>
      <c r="O18" s="659"/>
      <c r="P18" s="659"/>
      <c r="Q18" s="661"/>
      <c r="R18" s="661"/>
      <c r="S18" s="525">
        <v>45537</v>
      </c>
      <c r="T18" s="496"/>
      <c r="U18" s="526"/>
    </row>
    <row r="19" spans="2:21" s="28" customFormat="1" ht="42.95" customHeight="1">
      <c r="B19" s="707"/>
      <c r="C19" s="508" t="s">
        <v>450</v>
      </c>
      <c r="D19" s="499" t="s">
        <v>451</v>
      </c>
      <c r="E19" s="328" t="s">
        <v>452</v>
      </c>
      <c r="F19" s="328" t="s">
        <v>408</v>
      </c>
      <c r="G19" s="679"/>
      <c r="H19" s="679"/>
      <c r="I19" s="679"/>
      <c r="J19" s="328" t="s">
        <v>303</v>
      </c>
      <c r="K19" s="328" t="s">
        <v>430</v>
      </c>
      <c r="L19" s="338">
        <v>100</v>
      </c>
      <c r="M19" s="338" t="s">
        <v>385</v>
      </c>
      <c r="N19" s="328" t="s">
        <v>443</v>
      </c>
      <c r="O19" s="659"/>
      <c r="P19" s="659"/>
      <c r="Q19" s="661"/>
      <c r="R19" s="662"/>
      <c r="S19" s="527">
        <v>45537</v>
      </c>
      <c r="T19" s="499"/>
      <c r="U19" s="530"/>
    </row>
    <row r="20" spans="2:21" s="28" customFormat="1" ht="30" customHeight="1">
      <c r="B20" s="708" t="s">
        <v>102</v>
      </c>
      <c r="C20" s="509" t="s">
        <v>453</v>
      </c>
      <c r="D20" s="504" t="s">
        <v>454</v>
      </c>
      <c r="E20" s="505" t="s">
        <v>455</v>
      </c>
      <c r="F20" s="505" t="s">
        <v>414</v>
      </c>
      <c r="G20" s="685" t="s">
        <v>397</v>
      </c>
      <c r="H20" s="685" t="s">
        <v>398</v>
      </c>
      <c r="I20" s="685" t="s">
        <v>399</v>
      </c>
      <c r="J20" s="505" t="s">
        <v>324</v>
      </c>
      <c r="K20" s="505" t="s">
        <v>430</v>
      </c>
      <c r="L20" s="519">
        <v>1000</v>
      </c>
      <c r="M20" s="519" t="s">
        <v>385</v>
      </c>
      <c r="N20" s="505" t="s">
        <v>330</v>
      </c>
      <c r="O20" s="677" t="s">
        <v>456</v>
      </c>
      <c r="P20" s="677" t="s">
        <v>388</v>
      </c>
      <c r="Q20" s="677" t="s">
        <v>403</v>
      </c>
      <c r="R20" s="657" t="s">
        <v>404</v>
      </c>
      <c r="S20" s="531">
        <v>42825</v>
      </c>
      <c r="T20" s="504" t="s">
        <v>261</v>
      </c>
      <c r="U20" s="532" t="s">
        <v>261</v>
      </c>
    </row>
    <row r="21" spans="2:21" s="28" customFormat="1" ht="30" customHeight="1">
      <c r="B21" s="709"/>
      <c r="C21" s="510" t="s">
        <v>457</v>
      </c>
      <c r="D21" s="496" t="s">
        <v>458</v>
      </c>
      <c r="E21" s="333" t="s">
        <v>459</v>
      </c>
      <c r="F21" s="333" t="s">
        <v>414</v>
      </c>
      <c r="G21" s="679"/>
      <c r="H21" s="679"/>
      <c r="I21" s="679"/>
      <c r="J21" s="333" t="s">
        <v>324</v>
      </c>
      <c r="K21" s="333" t="s">
        <v>430</v>
      </c>
      <c r="L21" s="8">
        <v>2000</v>
      </c>
      <c r="M21" s="8" t="s">
        <v>385</v>
      </c>
      <c r="N21" s="333" t="s">
        <v>350</v>
      </c>
      <c r="O21" s="659"/>
      <c r="P21" s="659"/>
      <c r="Q21" s="659"/>
      <c r="R21" s="658"/>
      <c r="S21" s="525">
        <v>43493</v>
      </c>
      <c r="T21" s="496"/>
      <c r="U21" s="526"/>
    </row>
    <row r="22" spans="2:21" s="28" customFormat="1" ht="30" customHeight="1">
      <c r="B22" s="709"/>
      <c r="C22" s="510" t="s">
        <v>460</v>
      </c>
      <c r="D22" s="496" t="s">
        <v>461</v>
      </c>
      <c r="E22" s="333" t="s">
        <v>462</v>
      </c>
      <c r="F22" s="333" t="s">
        <v>414</v>
      </c>
      <c r="G22" s="679"/>
      <c r="H22" s="679"/>
      <c r="I22" s="679"/>
      <c r="J22" s="333" t="s">
        <v>336</v>
      </c>
      <c r="K22" s="333" t="s">
        <v>463</v>
      </c>
      <c r="L22" s="8">
        <v>1000</v>
      </c>
      <c r="M22" s="8" t="s">
        <v>385</v>
      </c>
      <c r="N22" s="333" t="s">
        <v>287</v>
      </c>
      <c r="O22" s="659"/>
      <c r="P22" s="659"/>
      <c r="Q22" s="659"/>
      <c r="R22" s="658"/>
      <c r="S22" s="525">
        <v>43808</v>
      </c>
      <c r="T22" s="496" t="s">
        <v>261</v>
      </c>
      <c r="U22" s="526"/>
    </row>
    <row r="23" spans="2:21" s="28" customFormat="1" ht="30" customHeight="1">
      <c r="B23" s="709"/>
      <c r="C23" s="510" t="s">
        <v>464</v>
      </c>
      <c r="D23" s="496" t="s">
        <v>465</v>
      </c>
      <c r="E23" s="333" t="s">
        <v>466</v>
      </c>
      <c r="F23" s="333" t="s">
        <v>414</v>
      </c>
      <c r="G23" s="679"/>
      <c r="H23" s="679"/>
      <c r="I23" s="679"/>
      <c r="J23" s="333" t="s">
        <v>303</v>
      </c>
      <c r="K23" s="333" t="s">
        <v>356</v>
      </c>
      <c r="L23" s="8">
        <v>1000</v>
      </c>
      <c r="M23" s="8" t="s">
        <v>385</v>
      </c>
      <c r="N23" s="333" t="s">
        <v>287</v>
      </c>
      <c r="O23" s="659"/>
      <c r="P23" s="659"/>
      <c r="Q23" s="659"/>
      <c r="R23" s="658"/>
      <c r="S23" s="525">
        <v>43920</v>
      </c>
      <c r="T23" s="496"/>
      <c r="U23" s="526"/>
    </row>
    <row r="24" spans="2:21" s="28" customFormat="1" ht="30" customHeight="1">
      <c r="B24" s="709"/>
      <c r="C24" s="510" t="s">
        <v>467</v>
      </c>
      <c r="D24" s="496" t="s">
        <v>468</v>
      </c>
      <c r="E24" s="333" t="s">
        <v>469</v>
      </c>
      <c r="F24" s="333" t="s">
        <v>414</v>
      </c>
      <c r="G24" s="679"/>
      <c r="H24" s="679"/>
      <c r="I24" s="679"/>
      <c r="J24" s="333" t="s">
        <v>292</v>
      </c>
      <c r="K24" s="333" t="s">
        <v>430</v>
      </c>
      <c r="L24" s="8">
        <v>1000</v>
      </c>
      <c r="M24" s="8" t="s">
        <v>385</v>
      </c>
      <c r="N24" s="333" t="s">
        <v>287</v>
      </c>
      <c r="O24" s="659"/>
      <c r="P24" s="659"/>
      <c r="Q24" s="659"/>
      <c r="R24" s="659"/>
      <c r="S24" s="533">
        <v>44018</v>
      </c>
      <c r="T24" s="534" t="s">
        <v>261</v>
      </c>
      <c r="U24" s="526"/>
    </row>
    <row r="25" spans="2:21" s="28" customFormat="1" ht="30" customHeight="1">
      <c r="B25" s="709"/>
      <c r="C25" s="510" t="s">
        <v>470</v>
      </c>
      <c r="D25" s="496" t="s">
        <v>471</v>
      </c>
      <c r="E25" s="333" t="s">
        <v>472</v>
      </c>
      <c r="F25" s="333" t="s">
        <v>414</v>
      </c>
      <c r="G25" s="679"/>
      <c r="H25" s="679"/>
      <c r="I25" s="679"/>
      <c r="J25" s="333" t="s">
        <v>292</v>
      </c>
      <c r="K25" s="333" t="s">
        <v>430</v>
      </c>
      <c r="L25" s="8">
        <v>1000</v>
      </c>
      <c r="M25" s="8" t="s">
        <v>385</v>
      </c>
      <c r="N25" s="333" t="s">
        <v>287</v>
      </c>
      <c r="O25" s="659"/>
      <c r="P25" s="659"/>
      <c r="Q25" s="659"/>
      <c r="R25" s="659"/>
      <c r="S25" s="533">
        <v>44018</v>
      </c>
      <c r="T25" s="534" t="s">
        <v>261</v>
      </c>
      <c r="U25" s="526"/>
    </row>
    <row r="26" spans="2:21" s="28" customFormat="1" ht="30" customHeight="1">
      <c r="B26" s="709"/>
      <c r="C26" s="510" t="s">
        <v>473</v>
      </c>
      <c r="D26" s="496" t="s">
        <v>474</v>
      </c>
      <c r="E26" s="333" t="s">
        <v>475</v>
      </c>
      <c r="F26" s="333" t="s">
        <v>414</v>
      </c>
      <c r="G26" s="679"/>
      <c r="H26" s="679"/>
      <c r="I26" s="679"/>
      <c r="J26" s="333" t="s">
        <v>292</v>
      </c>
      <c r="K26" s="333" t="s">
        <v>430</v>
      </c>
      <c r="L26" s="8">
        <v>1000</v>
      </c>
      <c r="M26" s="8" t="s">
        <v>385</v>
      </c>
      <c r="N26" s="333" t="s">
        <v>287</v>
      </c>
      <c r="O26" s="659"/>
      <c r="P26" s="659"/>
      <c r="Q26" s="659"/>
      <c r="R26" s="658"/>
      <c r="S26" s="525">
        <v>44018</v>
      </c>
      <c r="T26" s="496" t="s">
        <v>261</v>
      </c>
      <c r="U26" s="526"/>
    </row>
    <row r="27" spans="2:21" s="28" customFormat="1" ht="30" customHeight="1">
      <c r="B27" s="709"/>
      <c r="C27" s="510" t="s">
        <v>476</v>
      </c>
      <c r="D27" s="496" t="s">
        <v>477</v>
      </c>
      <c r="E27" s="333" t="s">
        <v>478</v>
      </c>
      <c r="F27" s="333" t="s">
        <v>414</v>
      </c>
      <c r="G27" s="679"/>
      <c r="H27" s="679"/>
      <c r="I27" s="679"/>
      <c r="J27" s="333" t="s">
        <v>285</v>
      </c>
      <c r="K27" s="333" t="s">
        <v>430</v>
      </c>
      <c r="L27" s="8">
        <v>1000</v>
      </c>
      <c r="M27" s="8" t="s">
        <v>385</v>
      </c>
      <c r="N27" s="333" t="s">
        <v>287</v>
      </c>
      <c r="O27" s="659"/>
      <c r="P27" s="659"/>
      <c r="Q27" s="659"/>
      <c r="R27" s="658"/>
      <c r="S27" s="525">
        <v>44365</v>
      </c>
      <c r="T27" s="496" t="s">
        <v>261</v>
      </c>
      <c r="U27" s="526" t="s">
        <v>261</v>
      </c>
    </row>
    <row r="28" spans="2:21" s="28" customFormat="1" ht="30" customHeight="1">
      <c r="B28" s="709"/>
      <c r="C28" s="510" t="s">
        <v>479</v>
      </c>
      <c r="D28" s="496" t="s">
        <v>480</v>
      </c>
      <c r="E28" s="333" t="s">
        <v>481</v>
      </c>
      <c r="F28" s="333" t="s">
        <v>414</v>
      </c>
      <c r="G28" s="679"/>
      <c r="H28" s="679"/>
      <c r="I28" s="679"/>
      <c r="J28" s="333" t="s">
        <v>285</v>
      </c>
      <c r="K28" s="333" t="s">
        <v>430</v>
      </c>
      <c r="L28" s="8">
        <v>1000</v>
      </c>
      <c r="M28" s="8" t="s">
        <v>385</v>
      </c>
      <c r="N28" s="333" t="s">
        <v>326</v>
      </c>
      <c r="O28" s="659"/>
      <c r="P28" s="659"/>
      <c r="Q28" s="659"/>
      <c r="R28" s="658"/>
      <c r="S28" s="525">
        <v>44781</v>
      </c>
      <c r="T28" s="496" t="s">
        <v>261</v>
      </c>
      <c r="U28" s="526" t="s">
        <v>261</v>
      </c>
    </row>
    <row r="29" spans="2:21" s="28" customFormat="1" ht="30" customHeight="1">
      <c r="B29" s="709"/>
      <c r="C29" s="510" t="s">
        <v>482</v>
      </c>
      <c r="D29" s="496" t="s">
        <v>483</v>
      </c>
      <c r="E29" s="333" t="s">
        <v>484</v>
      </c>
      <c r="F29" s="333" t="s">
        <v>414</v>
      </c>
      <c r="G29" s="679"/>
      <c r="H29" s="679"/>
      <c r="I29" s="679"/>
      <c r="J29" s="333" t="s">
        <v>285</v>
      </c>
      <c r="K29" s="333" t="s">
        <v>430</v>
      </c>
      <c r="L29" s="8">
        <v>1000</v>
      </c>
      <c r="M29" s="8" t="s">
        <v>385</v>
      </c>
      <c r="N29" s="333" t="s">
        <v>287</v>
      </c>
      <c r="O29" s="659"/>
      <c r="P29" s="659"/>
      <c r="Q29" s="659"/>
      <c r="R29" s="659"/>
      <c r="S29" s="533">
        <v>44781</v>
      </c>
      <c r="T29" s="534" t="s">
        <v>261</v>
      </c>
      <c r="U29" s="526" t="s">
        <v>261</v>
      </c>
    </row>
    <row r="30" spans="2:21" s="28" customFormat="1" ht="30" customHeight="1">
      <c r="B30" s="709"/>
      <c r="C30" s="510" t="s">
        <v>485</v>
      </c>
      <c r="D30" s="496" t="s">
        <v>486</v>
      </c>
      <c r="E30" s="333" t="s">
        <v>487</v>
      </c>
      <c r="F30" s="333" t="s">
        <v>414</v>
      </c>
      <c r="G30" s="679"/>
      <c r="H30" s="679"/>
      <c r="I30" s="679"/>
      <c r="J30" s="333" t="s">
        <v>285</v>
      </c>
      <c r="K30" s="333" t="s">
        <v>430</v>
      </c>
      <c r="L30" s="8">
        <v>1000</v>
      </c>
      <c r="M30" s="8" t="s">
        <v>385</v>
      </c>
      <c r="N30" s="333" t="s">
        <v>330</v>
      </c>
      <c r="O30" s="659"/>
      <c r="P30" s="659"/>
      <c r="Q30" s="659"/>
      <c r="R30" s="659"/>
      <c r="S30" s="525">
        <v>44781</v>
      </c>
      <c r="T30" s="496" t="s">
        <v>261</v>
      </c>
      <c r="U30" s="526" t="s">
        <v>261</v>
      </c>
    </row>
    <row r="31" spans="2:21" s="28" customFormat="1" ht="30" customHeight="1">
      <c r="B31" s="709"/>
      <c r="C31" s="510" t="s">
        <v>488</v>
      </c>
      <c r="D31" s="496" t="s">
        <v>489</v>
      </c>
      <c r="E31" s="333" t="s">
        <v>490</v>
      </c>
      <c r="F31" s="333" t="s">
        <v>414</v>
      </c>
      <c r="G31" s="679"/>
      <c r="H31" s="679"/>
      <c r="I31" s="679"/>
      <c r="J31" s="333" t="s">
        <v>285</v>
      </c>
      <c r="K31" s="333" t="s">
        <v>430</v>
      </c>
      <c r="L31" s="8">
        <v>1000</v>
      </c>
      <c r="M31" s="8" t="s">
        <v>385</v>
      </c>
      <c r="N31" s="333" t="s">
        <v>287</v>
      </c>
      <c r="O31" s="659"/>
      <c r="P31" s="659"/>
      <c r="Q31" s="659"/>
      <c r="R31" s="659"/>
      <c r="S31" s="533">
        <v>45061</v>
      </c>
      <c r="T31" s="534"/>
      <c r="U31" s="526"/>
    </row>
    <row r="32" spans="2:21" s="28" customFormat="1" ht="30" customHeight="1">
      <c r="B32" s="709"/>
      <c r="C32" s="510" t="s">
        <v>491</v>
      </c>
      <c r="D32" s="496" t="s">
        <v>492</v>
      </c>
      <c r="E32" s="333" t="s">
        <v>493</v>
      </c>
      <c r="F32" s="333" t="s">
        <v>414</v>
      </c>
      <c r="G32" s="679"/>
      <c r="H32" s="679"/>
      <c r="I32" s="679"/>
      <c r="J32" s="333" t="s">
        <v>292</v>
      </c>
      <c r="K32" s="333" t="s">
        <v>430</v>
      </c>
      <c r="L32" s="8">
        <v>1000</v>
      </c>
      <c r="M32" s="8" t="s">
        <v>385</v>
      </c>
      <c r="N32" s="333" t="s">
        <v>287</v>
      </c>
      <c r="O32" s="659"/>
      <c r="P32" s="659"/>
      <c r="Q32" s="659"/>
      <c r="R32" s="658"/>
      <c r="S32" s="525">
        <v>45061</v>
      </c>
      <c r="T32" s="496" t="s">
        <v>261</v>
      </c>
      <c r="U32" s="526"/>
    </row>
    <row r="33" spans="2:21" s="28" customFormat="1" ht="30" customHeight="1">
      <c r="B33" s="709"/>
      <c r="C33" s="510" t="s">
        <v>494</v>
      </c>
      <c r="D33" s="496" t="s">
        <v>495</v>
      </c>
      <c r="E33" s="333" t="s">
        <v>496</v>
      </c>
      <c r="F33" s="333" t="s">
        <v>260</v>
      </c>
      <c r="G33" s="679"/>
      <c r="H33" s="679"/>
      <c r="I33" s="679"/>
      <c r="J33" s="333" t="s">
        <v>292</v>
      </c>
      <c r="K33" s="333" t="s">
        <v>497</v>
      </c>
      <c r="L33" s="8">
        <v>300</v>
      </c>
      <c r="M33" s="8" t="s">
        <v>385</v>
      </c>
      <c r="N33" s="333" t="s">
        <v>287</v>
      </c>
      <c r="O33" s="659"/>
      <c r="P33" s="659"/>
      <c r="Q33" s="659"/>
      <c r="R33" s="659"/>
      <c r="S33" s="533">
        <v>45527</v>
      </c>
      <c r="T33" s="534"/>
      <c r="U33" s="526"/>
    </row>
    <row r="34" spans="2:21" s="28" customFormat="1" ht="30" customHeight="1">
      <c r="B34" s="709"/>
      <c r="C34" s="510" t="s">
        <v>498</v>
      </c>
      <c r="D34" s="496" t="s">
        <v>499</v>
      </c>
      <c r="E34" s="333" t="s">
        <v>500</v>
      </c>
      <c r="F34" s="333" t="s">
        <v>260</v>
      </c>
      <c r="G34" s="679"/>
      <c r="H34" s="679"/>
      <c r="I34" s="679"/>
      <c r="J34" s="333" t="s">
        <v>349</v>
      </c>
      <c r="K34" s="333" t="s">
        <v>501</v>
      </c>
      <c r="L34" s="8">
        <v>50</v>
      </c>
      <c r="M34" s="8" t="s">
        <v>385</v>
      </c>
      <c r="N34" s="333" t="s">
        <v>350</v>
      </c>
      <c r="O34" s="659"/>
      <c r="P34" s="659"/>
      <c r="Q34" s="659"/>
      <c r="R34" s="659"/>
      <c r="S34" s="533">
        <v>45527</v>
      </c>
      <c r="T34" s="534"/>
      <c r="U34" s="526"/>
    </row>
    <row r="35" spans="2:21" s="28" customFormat="1" ht="30" customHeight="1">
      <c r="B35" s="709"/>
      <c r="C35" s="510" t="s">
        <v>502</v>
      </c>
      <c r="D35" s="496" t="s">
        <v>503</v>
      </c>
      <c r="E35" s="333" t="s">
        <v>504</v>
      </c>
      <c r="F35" s="333" t="s">
        <v>414</v>
      </c>
      <c r="G35" s="679"/>
      <c r="H35" s="679"/>
      <c r="I35" s="679"/>
      <c r="J35" s="333" t="s">
        <v>285</v>
      </c>
      <c r="K35" s="333" t="s">
        <v>430</v>
      </c>
      <c r="L35" s="8">
        <v>1000</v>
      </c>
      <c r="M35" s="8" t="s">
        <v>385</v>
      </c>
      <c r="N35" s="333" t="s">
        <v>350</v>
      </c>
      <c r="O35" s="659"/>
      <c r="P35" s="659"/>
      <c r="Q35" s="659"/>
      <c r="R35" s="658"/>
      <c r="S35" s="525">
        <v>45527</v>
      </c>
      <c r="T35" s="496"/>
      <c r="U35" s="526"/>
    </row>
    <row r="36" spans="2:21" s="28" customFormat="1" ht="30" customHeight="1">
      <c r="B36" s="710"/>
      <c r="C36" s="511" t="s">
        <v>505</v>
      </c>
      <c r="D36" s="499" t="s">
        <v>506</v>
      </c>
      <c r="E36" s="512" t="s">
        <v>507</v>
      </c>
      <c r="F36" s="512" t="s">
        <v>260</v>
      </c>
      <c r="G36" s="686"/>
      <c r="H36" s="686"/>
      <c r="I36" s="686"/>
      <c r="J36" s="512" t="s">
        <v>347</v>
      </c>
      <c r="K36" s="512" t="s">
        <v>508</v>
      </c>
      <c r="L36" s="312">
        <v>1000</v>
      </c>
      <c r="M36" s="312" t="s">
        <v>385</v>
      </c>
      <c r="N36" s="512" t="s">
        <v>350</v>
      </c>
      <c r="O36" s="660"/>
      <c r="P36" s="660"/>
      <c r="Q36" s="660"/>
      <c r="R36" s="660"/>
      <c r="S36" s="535">
        <v>45615</v>
      </c>
      <c r="T36" s="536"/>
      <c r="U36" s="530"/>
    </row>
    <row r="37" spans="2:21" s="28" customFormat="1" ht="41.1" customHeight="1">
      <c r="B37" s="690" t="s">
        <v>148</v>
      </c>
      <c r="C37" s="513" t="s">
        <v>509</v>
      </c>
      <c r="D37" s="504" t="s">
        <v>510</v>
      </c>
      <c r="E37" s="513" t="s">
        <v>511</v>
      </c>
      <c r="F37" s="513" t="s">
        <v>414</v>
      </c>
      <c r="G37" s="679" t="s">
        <v>397</v>
      </c>
      <c r="H37" s="679" t="s">
        <v>398</v>
      </c>
      <c r="I37" s="679" t="s">
        <v>399</v>
      </c>
      <c r="J37" s="513" t="s">
        <v>324</v>
      </c>
      <c r="K37" s="513" t="s">
        <v>430</v>
      </c>
      <c r="L37" s="311">
        <v>100</v>
      </c>
      <c r="M37" s="311">
        <v>2</v>
      </c>
      <c r="N37" s="513" t="s">
        <v>512</v>
      </c>
      <c r="O37" s="659" t="s">
        <v>513</v>
      </c>
      <c r="P37" s="659" t="s">
        <v>388</v>
      </c>
      <c r="Q37" s="661" t="s">
        <v>403</v>
      </c>
      <c r="R37" s="661" t="s">
        <v>404</v>
      </c>
      <c r="S37" s="537">
        <v>42844</v>
      </c>
      <c r="T37" s="538" t="s">
        <v>261</v>
      </c>
      <c r="U37" s="532"/>
    </row>
    <row r="38" spans="2:21" s="28" customFormat="1" ht="41.1" customHeight="1">
      <c r="B38" s="690"/>
      <c r="C38" s="333" t="s">
        <v>514</v>
      </c>
      <c r="D38" s="496" t="s">
        <v>515</v>
      </c>
      <c r="E38" s="333" t="s">
        <v>516</v>
      </c>
      <c r="F38" s="333" t="s">
        <v>414</v>
      </c>
      <c r="G38" s="679"/>
      <c r="H38" s="679"/>
      <c r="I38" s="679"/>
      <c r="J38" s="333" t="s">
        <v>292</v>
      </c>
      <c r="K38" s="333" t="s">
        <v>291</v>
      </c>
      <c r="L38" s="8">
        <v>100</v>
      </c>
      <c r="M38" s="8">
        <v>2</v>
      </c>
      <c r="N38" s="333" t="s">
        <v>517</v>
      </c>
      <c r="O38" s="659"/>
      <c r="P38" s="659"/>
      <c r="Q38" s="661"/>
      <c r="R38" s="661"/>
      <c r="S38" s="525">
        <v>43493</v>
      </c>
      <c r="T38" s="496"/>
      <c r="U38" s="526"/>
    </row>
    <row r="39" spans="2:21" s="28" customFormat="1" ht="41.1" customHeight="1">
      <c r="B39" s="690"/>
      <c r="C39" s="333" t="s">
        <v>518</v>
      </c>
      <c r="D39" s="496" t="s">
        <v>519</v>
      </c>
      <c r="E39" s="333" t="s">
        <v>520</v>
      </c>
      <c r="F39" s="333" t="s">
        <v>414</v>
      </c>
      <c r="G39" s="679"/>
      <c r="H39" s="679"/>
      <c r="I39" s="679"/>
      <c r="J39" s="333" t="s">
        <v>292</v>
      </c>
      <c r="K39" s="333" t="s">
        <v>430</v>
      </c>
      <c r="L39" s="8">
        <v>100</v>
      </c>
      <c r="M39" s="8">
        <v>2</v>
      </c>
      <c r="N39" s="333" t="s">
        <v>521</v>
      </c>
      <c r="O39" s="659"/>
      <c r="P39" s="659"/>
      <c r="Q39" s="661"/>
      <c r="R39" s="662"/>
      <c r="S39" s="525">
        <v>43815</v>
      </c>
      <c r="T39" s="496" t="s">
        <v>261</v>
      </c>
      <c r="U39" s="526"/>
    </row>
    <row r="40" spans="2:21" s="28" customFormat="1" ht="41.1" customHeight="1">
      <c r="B40" s="690"/>
      <c r="C40" s="333" t="s">
        <v>522</v>
      </c>
      <c r="D40" s="496" t="s">
        <v>523</v>
      </c>
      <c r="E40" s="333" t="s">
        <v>524</v>
      </c>
      <c r="F40" s="333" t="s">
        <v>414</v>
      </c>
      <c r="G40" s="679"/>
      <c r="H40" s="679"/>
      <c r="I40" s="679"/>
      <c r="J40" s="333" t="s">
        <v>285</v>
      </c>
      <c r="K40" s="333" t="s">
        <v>430</v>
      </c>
      <c r="L40" s="8">
        <v>100</v>
      </c>
      <c r="M40" s="8">
        <v>2</v>
      </c>
      <c r="N40" s="333" t="s">
        <v>521</v>
      </c>
      <c r="O40" s="659"/>
      <c r="P40" s="659"/>
      <c r="Q40" s="661"/>
      <c r="R40" s="661"/>
      <c r="S40" s="525">
        <v>43815</v>
      </c>
      <c r="T40" s="496" t="s">
        <v>261</v>
      </c>
      <c r="U40" s="526"/>
    </row>
    <row r="41" spans="2:21" s="28" customFormat="1" ht="41.1" customHeight="1">
      <c r="B41" s="690"/>
      <c r="C41" s="333" t="s">
        <v>525</v>
      </c>
      <c r="D41" s="496" t="s">
        <v>526</v>
      </c>
      <c r="E41" s="333" t="s">
        <v>527</v>
      </c>
      <c r="F41" s="333" t="s">
        <v>414</v>
      </c>
      <c r="G41" s="679"/>
      <c r="H41" s="679"/>
      <c r="I41" s="679"/>
      <c r="J41" s="333" t="s">
        <v>285</v>
      </c>
      <c r="K41" s="333" t="s">
        <v>430</v>
      </c>
      <c r="L41" s="8">
        <v>100</v>
      </c>
      <c r="M41" s="8">
        <v>2</v>
      </c>
      <c r="N41" s="333" t="s">
        <v>517</v>
      </c>
      <c r="O41" s="659"/>
      <c r="P41" s="659"/>
      <c r="Q41" s="661"/>
      <c r="R41" s="661"/>
      <c r="S41" s="525">
        <v>43846</v>
      </c>
      <c r="T41" s="496" t="s">
        <v>261</v>
      </c>
      <c r="U41" s="526" t="s">
        <v>261</v>
      </c>
    </row>
    <row r="42" spans="2:21" s="28" customFormat="1" ht="41.1" customHeight="1">
      <c r="B42" s="690"/>
      <c r="C42" s="333" t="s">
        <v>528</v>
      </c>
      <c r="D42" s="496" t="s">
        <v>529</v>
      </c>
      <c r="E42" s="333" t="s">
        <v>530</v>
      </c>
      <c r="F42" s="333" t="s">
        <v>414</v>
      </c>
      <c r="G42" s="679"/>
      <c r="H42" s="679"/>
      <c r="I42" s="679"/>
      <c r="J42" s="333" t="s">
        <v>285</v>
      </c>
      <c r="K42" s="333" t="s">
        <v>430</v>
      </c>
      <c r="L42" s="8">
        <v>100</v>
      </c>
      <c r="M42" s="8">
        <v>2</v>
      </c>
      <c r="N42" s="333" t="s">
        <v>517</v>
      </c>
      <c r="O42" s="659"/>
      <c r="P42" s="659"/>
      <c r="Q42" s="661"/>
      <c r="R42" s="661"/>
      <c r="S42" s="525">
        <v>44799</v>
      </c>
      <c r="T42" s="496" t="s">
        <v>261</v>
      </c>
      <c r="U42" s="526" t="s">
        <v>261</v>
      </c>
    </row>
    <row r="43" spans="2:21" s="28" customFormat="1" ht="41.1" customHeight="1">
      <c r="B43" s="690"/>
      <c r="C43" s="333" t="s">
        <v>531</v>
      </c>
      <c r="D43" s="496" t="s">
        <v>532</v>
      </c>
      <c r="E43" s="333" t="s">
        <v>533</v>
      </c>
      <c r="F43" s="333" t="s">
        <v>47</v>
      </c>
      <c r="G43" s="679"/>
      <c r="H43" s="679"/>
      <c r="I43" s="679"/>
      <c r="J43" s="333" t="s">
        <v>292</v>
      </c>
      <c r="K43" s="333" t="s">
        <v>430</v>
      </c>
      <c r="L43" s="8">
        <v>100</v>
      </c>
      <c r="M43" s="8">
        <v>2</v>
      </c>
      <c r="N43" s="333" t="s">
        <v>517</v>
      </c>
      <c r="O43" s="659"/>
      <c r="P43" s="659"/>
      <c r="Q43" s="661"/>
      <c r="R43" s="662"/>
      <c r="S43" s="525">
        <v>44799</v>
      </c>
      <c r="T43" s="496" t="s">
        <v>261</v>
      </c>
      <c r="U43" s="526" t="s">
        <v>261</v>
      </c>
    </row>
    <row r="44" spans="2:21" s="28" customFormat="1" ht="41.1" customHeight="1">
      <c r="B44" s="690"/>
      <c r="C44" s="333" t="s">
        <v>534</v>
      </c>
      <c r="D44" s="496" t="s">
        <v>535</v>
      </c>
      <c r="E44" s="333" t="s">
        <v>536</v>
      </c>
      <c r="F44" s="333" t="s">
        <v>414</v>
      </c>
      <c r="G44" s="679"/>
      <c r="H44" s="679"/>
      <c r="I44" s="679"/>
      <c r="J44" s="333" t="s">
        <v>336</v>
      </c>
      <c r="K44" s="333" t="s">
        <v>463</v>
      </c>
      <c r="L44" s="8">
        <v>100</v>
      </c>
      <c r="M44" s="8">
        <v>2</v>
      </c>
      <c r="N44" s="333" t="s">
        <v>521</v>
      </c>
      <c r="O44" s="659"/>
      <c r="P44" s="659"/>
      <c r="Q44" s="661"/>
      <c r="R44" s="662"/>
      <c r="S44" s="525">
        <v>44012</v>
      </c>
      <c r="T44" s="496"/>
      <c r="U44" s="526"/>
    </row>
    <row r="45" spans="2:21" s="28" customFormat="1" ht="41.1" customHeight="1">
      <c r="B45" s="690"/>
      <c r="C45" s="333" t="s">
        <v>537</v>
      </c>
      <c r="D45" s="496" t="s">
        <v>538</v>
      </c>
      <c r="E45" s="333" t="s">
        <v>539</v>
      </c>
      <c r="F45" s="333" t="s">
        <v>414</v>
      </c>
      <c r="G45" s="679"/>
      <c r="H45" s="679"/>
      <c r="I45" s="679"/>
      <c r="J45" s="333" t="s">
        <v>365</v>
      </c>
      <c r="K45" s="333" t="s">
        <v>430</v>
      </c>
      <c r="L45" s="8">
        <v>100</v>
      </c>
      <c r="M45" s="8">
        <v>2</v>
      </c>
      <c r="N45" s="333" t="s">
        <v>521</v>
      </c>
      <c r="O45" s="659"/>
      <c r="P45" s="659"/>
      <c r="Q45" s="661"/>
      <c r="R45" s="661"/>
      <c r="S45" s="525">
        <v>45187</v>
      </c>
      <c r="T45" s="496"/>
      <c r="U45" s="526"/>
    </row>
    <row r="46" spans="2:21" s="28" customFormat="1" ht="41.1" customHeight="1">
      <c r="B46" s="690"/>
      <c r="C46" s="333" t="s">
        <v>540</v>
      </c>
      <c r="D46" s="496" t="s">
        <v>541</v>
      </c>
      <c r="E46" s="333" t="s">
        <v>542</v>
      </c>
      <c r="F46" s="333" t="s">
        <v>414</v>
      </c>
      <c r="G46" s="679"/>
      <c r="H46" s="679"/>
      <c r="I46" s="679"/>
      <c r="J46" s="333" t="s">
        <v>292</v>
      </c>
      <c r="K46" s="333" t="s">
        <v>430</v>
      </c>
      <c r="L46" s="8">
        <v>100</v>
      </c>
      <c r="M46" s="8">
        <v>2</v>
      </c>
      <c r="N46" s="333" t="s">
        <v>521</v>
      </c>
      <c r="O46" s="659"/>
      <c r="P46" s="659"/>
      <c r="Q46" s="661"/>
      <c r="R46" s="662"/>
      <c r="S46" s="525">
        <v>45219</v>
      </c>
      <c r="T46" s="496" t="s">
        <v>261</v>
      </c>
      <c r="U46" s="526"/>
    </row>
    <row r="47" spans="2:21" s="28" customFormat="1" ht="41.1" customHeight="1">
      <c r="B47" s="690"/>
      <c r="C47" s="333" t="s">
        <v>543</v>
      </c>
      <c r="D47" s="496" t="s">
        <v>544</v>
      </c>
      <c r="E47" s="333" t="s">
        <v>545</v>
      </c>
      <c r="F47" s="333" t="s">
        <v>414</v>
      </c>
      <c r="G47" s="679"/>
      <c r="H47" s="679"/>
      <c r="I47" s="679"/>
      <c r="J47" s="333" t="s">
        <v>303</v>
      </c>
      <c r="K47" s="333" t="s">
        <v>430</v>
      </c>
      <c r="L47" s="8">
        <v>100</v>
      </c>
      <c r="M47" s="8">
        <v>2</v>
      </c>
      <c r="N47" s="333" t="s">
        <v>521</v>
      </c>
      <c r="O47" s="659"/>
      <c r="P47" s="659"/>
      <c r="Q47" s="661"/>
      <c r="R47" s="661"/>
      <c r="S47" s="525">
        <v>45219</v>
      </c>
      <c r="T47" s="496"/>
      <c r="U47" s="526"/>
    </row>
    <row r="48" spans="2:21" s="28" customFormat="1" ht="41.1" customHeight="1">
      <c r="B48" s="690"/>
      <c r="C48" s="333" t="s">
        <v>546</v>
      </c>
      <c r="D48" s="496" t="s">
        <v>547</v>
      </c>
      <c r="E48" s="333" t="s">
        <v>548</v>
      </c>
      <c r="F48" s="333" t="s">
        <v>47</v>
      </c>
      <c r="G48" s="679"/>
      <c r="H48" s="679"/>
      <c r="I48" s="679"/>
      <c r="J48" s="333" t="s">
        <v>292</v>
      </c>
      <c r="K48" s="333" t="s">
        <v>291</v>
      </c>
      <c r="L48" s="8">
        <v>100</v>
      </c>
      <c r="M48" s="8">
        <v>2</v>
      </c>
      <c r="N48" s="333" t="s">
        <v>517</v>
      </c>
      <c r="O48" s="659"/>
      <c r="P48" s="659"/>
      <c r="Q48" s="661"/>
      <c r="R48" s="661"/>
      <c r="S48" s="525">
        <v>45219</v>
      </c>
      <c r="T48" s="496" t="s">
        <v>261</v>
      </c>
      <c r="U48" s="526"/>
    </row>
    <row r="49" spans="2:21" s="28" customFormat="1" ht="41.1" customHeight="1">
      <c r="B49" s="690"/>
      <c r="C49" s="333" t="s">
        <v>549</v>
      </c>
      <c r="D49" s="496" t="s">
        <v>550</v>
      </c>
      <c r="E49" s="333" t="s">
        <v>551</v>
      </c>
      <c r="F49" s="333" t="s">
        <v>47</v>
      </c>
      <c r="G49" s="679"/>
      <c r="H49" s="679"/>
      <c r="I49" s="679"/>
      <c r="J49" s="333" t="s">
        <v>292</v>
      </c>
      <c r="K49" s="333" t="s">
        <v>291</v>
      </c>
      <c r="L49" s="8">
        <v>100</v>
      </c>
      <c r="M49" s="8">
        <v>2</v>
      </c>
      <c r="N49" s="333" t="s">
        <v>517</v>
      </c>
      <c r="O49" s="659"/>
      <c r="P49" s="659"/>
      <c r="Q49" s="661"/>
      <c r="R49" s="661"/>
      <c r="S49" s="525">
        <v>45219</v>
      </c>
      <c r="T49" s="496"/>
      <c r="U49" s="526"/>
    </row>
    <row r="50" spans="2:21" s="28" customFormat="1" ht="41.1" customHeight="1">
      <c r="B50" s="690"/>
      <c r="C50" s="333" t="s">
        <v>552</v>
      </c>
      <c r="D50" s="496" t="s">
        <v>553</v>
      </c>
      <c r="E50" s="333" t="s">
        <v>554</v>
      </c>
      <c r="F50" s="333" t="s">
        <v>47</v>
      </c>
      <c r="G50" s="679"/>
      <c r="H50" s="679"/>
      <c r="I50" s="679"/>
      <c r="J50" s="333" t="s">
        <v>303</v>
      </c>
      <c r="K50" s="333" t="s">
        <v>430</v>
      </c>
      <c r="L50" s="8">
        <v>100</v>
      </c>
      <c r="M50" s="8">
        <v>2</v>
      </c>
      <c r="N50" s="333" t="s">
        <v>521</v>
      </c>
      <c r="O50" s="659"/>
      <c r="P50" s="659"/>
      <c r="Q50" s="661"/>
      <c r="R50" s="661"/>
      <c r="S50" s="525">
        <v>45219</v>
      </c>
      <c r="T50" s="496"/>
      <c r="U50" s="526"/>
    </row>
    <row r="51" spans="2:21" s="491" customFormat="1" ht="41.1" customHeight="1">
      <c r="B51" s="691"/>
      <c r="C51" s="333" t="s">
        <v>555</v>
      </c>
      <c r="D51" s="496" t="s">
        <v>556</v>
      </c>
      <c r="E51" s="333" t="s">
        <v>557</v>
      </c>
      <c r="F51" s="333" t="s">
        <v>414</v>
      </c>
      <c r="G51" s="679"/>
      <c r="H51" s="679"/>
      <c r="I51" s="679"/>
      <c r="J51" s="333" t="s">
        <v>303</v>
      </c>
      <c r="K51" s="333" t="s">
        <v>430</v>
      </c>
      <c r="L51" s="8">
        <v>100</v>
      </c>
      <c r="M51" s="8">
        <v>2</v>
      </c>
      <c r="N51" s="333" t="s">
        <v>521</v>
      </c>
      <c r="O51" s="659"/>
      <c r="P51" s="659"/>
      <c r="Q51" s="661"/>
      <c r="R51" s="661"/>
      <c r="S51" s="525">
        <v>45464</v>
      </c>
      <c r="T51" s="496"/>
      <c r="U51" s="526"/>
    </row>
    <row r="52" spans="2:21" s="491" customFormat="1" ht="41.1" customHeight="1">
      <c r="B52" s="691"/>
      <c r="C52" s="333" t="s">
        <v>558</v>
      </c>
      <c r="D52" s="496" t="s">
        <v>559</v>
      </c>
      <c r="E52" s="333" t="s">
        <v>560</v>
      </c>
      <c r="F52" s="333" t="s">
        <v>414</v>
      </c>
      <c r="G52" s="679"/>
      <c r="H52" s="679"/>
      <c r="I52" s="679"/>
      <c r="J52" s="333" t="s">
        <v>366</v>
      </c>
      <c r="K52" s="333" t="s">
        <v>430</v>
      </c>
      <c r="L52" s="8">
        <v>100</v>
      </c>
      <c r="M52" s="8">
        <v>2</v>
      </c>
      <c r="N52" s="333" t="s">
        <v>561</v>
      </c>
      <c r="O52" s="659"/>
      <c r="P52" s="659"/>
      <c r="Q52" s="661"/>
      <c r="R52" s="661"/>
      <c r="S52" s="525">
        <v>45653</v>
      </c>
      <c r="T52" s="496" t="s">
        <v>261</v>
      </c>
      <c r="U52" s="526"/>
    </row>
    <row r="53" spans="2:21" s="28" customFormat="1" ht="41.1" customHeight="1">
      <c r="B53" s="690"/>
      <c r="C53" s="333" t="s">
        <v>562</v>
      </c>
      <c r="D53" s="496" t="s">
        <v>563</v>
      </c>
      <c r="E53" s="333" t="s">
        <v>564</v>
      </c>
      <c r="F53" s="333" t="s">
        <v>414</v>
      </c>
      <c r="G53" s="679"/>
      <c r="H53" s="679"/>
      <c r="I53" s="679"/>
      <c r="J53" s="333" t="s">
        <v>292</v>
      </c>
      <c r="K53" s="333" t="s">
        <v>430</v>
      </c>
      <c r="L53" s="8">
        <v>100</v>
      </c>
      <c r="M53" s="8">
        <v>2</v>
      </c>
      <c r="N53" s="333" t="s">
        <v>521</v>
      </c>
      <c r="O53" s="682" t="s">
        <v>565</v>
      </c>
      <c r="P53" s="659"/>
      <c r="Q53" s="661"/>
      <c r="R53" s="661"/>
      <c r="S53" s="525">
        <v>45187</v>
      </c>
      <c r="T53" s="496" t="s">
        <v>261</v>
      </c>
      <c r="U53" s="526"/>
    </row>
    <row r="54" spans="2:21" s="28" customFormat="1" ht="41.1" customHeight="1">
      <c r="B54" s="690"/>
      <c r="C54" s="328" t="s">
        <v>566</v>
      </c>
      <c r="D54" s="496" t="s">
        <v>567</v>
      </c>
      <c r="E54" s="328" t="s">
        <v>568</v>
      </c>
      <c r="F54" s="328" t="s">
        <v>47</v>
      </c>
      <c r="G54" s="679"/>
      <c r="H54" s="679"/>
      <c r="I54" s="679"/>
      <c r="J54" s="328" t="s">
        <v>285</v>
      </c>
      <c r="K54" s="328" t="s">
        <v>430</v>
      </c>
      <c r="L54" s="338">
        <v>100</v>
      </c>
      <c r="M54" s="338">
        <v>2</v>
      </c>
      <c r="N54" s="328" t="s">
        <v>517</v>
      </c>
      <c r="O54" s="659"/>
      <c r="P54" s="659"/>
      <c r="Q54" s="661"/>
      <c r="R54" s="661"/>
      <c r="S54" s="525">
        <v>45219</v>
      </c>
      <c r="T54" s="496"/>
      <c r="U54" s="526"/>
    </row>
    <row r="55" spans="2:21" s="491" customFormat="1" ht="41.1" customHeight="1">
      <c r="B55" s="691"/>
      <c r="C55" s="328" t="s">
        <v>569</v>
      </c>
      <c r="D55" s="499" t="s">
        <v>570</v>
      </c>
      <c r="E55" s="328" t="s">
        <v>571</v>
      </c>
      <c r="F55" s="328" t="s">
        <v>47</v>
      </c>
      <c r="G55" s="679"/>
      <c r="H55" s="679"/>
      <c r="I55" s="679"/>
      <c r="J55" s="333" t="s">
        <v>292</v>
      </c>
      <c r="K55" s="333" t="s">
        <v>291</v>
      </c>
      <c r="L55" s="338">
        <v>100</v>
      </c>
      <c r="M55" s="338">
        <v>2</v>
      </c>
      <c r="N55" s="328" t="s">
        <v>517</v>
      </c>
      <c r="O55" s="671"/>
      <c r="P55" s="671"/>
      <c r="Q55" s="678"/>
      <c r="R55" s="663"/>
      <c r="S55" s="527">
        <v>45464</v>
      </c>
      <c r="T55" s="499"/>
      <c r="U55" s="528"/>
    </row>
    <row r="56" spans="2:21" s="28" customFormat="1" ht="39.950000000000003" customHeight="1">
      <c r="B56" s="692" t="s">
        <v>202</v>
      </c>
      <c r="C56" s="505" t="s">
        <v>572</v>
      </c>
      <c r="D56" s="504" t="s">
        <v>573</v>
      </c>
      <c r="E56" s="505" t="s">
        <v>574</v>
      </c>
      <c r="F56" s="680" t="s">
        <v>260</v>
      </c>
      <c r="G56" s="680" t="s">
        <v>397</v>
      </c>
      <c r="H56" s="687" t="s">
        <v>398</v>
      </c>
      <c r="I56" s="680" t="s">
        <v>399</v>
      </c>
      <c r="J56" s="505" t="s">
        <v>292</v>
      </c>
      <c r="K56" s="505" t="s">
        <v>291</v>
      </c>
      <c r="L56" s="519">
        <v>100</v>
      </c>
      <c r="M56" s="519" t="s">
        <v>385</v>
      </c>
      <c r="N56" s="505" t="s">
        <v>287</v>
      </c>
      <c r="O56" s="672" t="s">
        <v>575</v>
      </c>
      <c r="P56" s="672" t="s">
        <v>388</v>
      </c>
      <c r="Q56" s="664" t="s">
        <v>403</v>
      </c>
      <c r="R56" s="664" t="s">
        <v>404</v>
      </c>
      <c r="S56" s="531">
        <v>44918</v>
      </c>
      <c r="T56" s="504" t="s">
        <v>261</v>
      </c>
      <c r="U56" s="539"/>
    </row>
    <row r="57" spans="2:21" s="28" customFormat="1" ht="39.950000000000003" customHeight="1">
      <c r="B57" s="693"/>
      <c r="C57" s="507" t="s">
        <v>576</v>
      </c>
      <c r="D57" s="496" t="s">
        <v>577</v>
      </c>
      <c r="E57" s="507" t="s">
        <v>578</v>
      </c>
      <c r="F57" s="679"/>
      <c r="G57" s="679"/>
      <c r="H57" s="688"/>
      <c r="I57" s="679"/>
      <c r="J57" s="507" t="s">
        <v>306</v>
      </c>
      <c r="K57" s="507" t="s">
        <v>293</v>
      </c>
      <c r="L57" s="520">
        <v>100</v>
      </c>
      <c r="M57" s="520" t="s">
        <v>385</v>
      </c>
      <c r="N57" s="507" t="s">
        <v>287</v>
      </c>
      <c r="O57" s="659"/>
      <c r="P57" s="659"/>
      <c r="Q57" s="661"/>
      <c r="R57" s="661"/>
      <c r="S57" s="525">
        <v>45131</v>
      </c>
      <c r="T57" s="496" t="s">
        <v>261</v>
      </c>
      <c r="U57" s="526"/>
    </row>
    <row r="58" spans="2:21" s="28" customFormat="1" ht="39.950000000000003" customHeight="1">
      <c r="B58" s="694"/>
      <c r="C58" s="512" t="s">
        <v>579</v>
      </c>
      <c r="D58" s="499" t="s">
        <v>580</v>
      </c>
      <c r="E58" s="512" t="s">
        <v>581</v>
      </c>
      <c r="F58" s="681"/>
      <c r="G58" s="681"/>
      <c r="H58" s="689"/>
      <c r="I58" s="681"/>
      <c r="J58" s="512" t="s">
        <v>369</v>
      </c>
      <c r="K58" s="512" t="s">
        <v>291</v>
      </c>
      <c r="L58" s="312">
        <v>100</v>
      </c>
      <c r="M58" s="312" t="s">
        <v>385</v>
      </c>
      <c r="N58" s="512" t="s">
        <v>287</v>
      </c>
      <c r="O58" s="673"/>
      <c r="P58" s="673"/>
      <c r="Q58" s="665"/>
      <c r="R58" s="665"/>
      <c r="S58" s="527">
        <v>45653</v>
      </c>
      <c r="T58" s="499" t="s">
        <v>261</v>
      </c>
      <c r="U58" s="528"/>
    </row>
    <row r="59" spans="2:21" s="28" customFormat="1" ht="30" customHeight="1">
      <c r="B59" s="695" t="s">
        <v>582</v>
      </c>
      <c r="C59" s="514" t="s">
        <v>583</v>
      </c>
      <c r="D59" s="514"/>
      <c r="E59" s="515">
        <v>510050</v>
      </c>
      <c r="F59" s="674" t="s">
        <v>260</v>
      </c>
      <c r="G59" s="674" t="s">
        <v>584</v>
      </c>
      <c r="H59" s="659" t="s">
        <v>585</v>
      </c>
      <c r="I59" s="659" t="s">
        <v>586</v>
      </c>
      <c r="J59" s="514" t="s">
        <v>587</v>
      </c>
      <c r="K59" s="521">
        <v>1E-4</v>
      </c>
      <c r="L59" s="515">
        <v>50</v>
      </c>
      <c r="M59" s="515">
        <v>10</v>
      </c>
      <c r="N59" s="514" t="s">
        <v>257</v>
      </c>
      <c r="O59" s="674" t="s">
        <v>588</v>
      </c>
      <c r="P59" s="674" t="s">
        <v>589</v>
      </c>
      <c r="Q59" s="666" t="s">
        <v>389</v>
      </c>
      <c r="R59" s="666" t="s">
        <v>404</v>
      </c>
      <c r="S59" s="531">
        <v>42044</v>
      </c>
      <c r="T59" s="504"/>
      <c r="U59" s="539"/>
    </row>
    <row r="60" spans="2:21" s="28" customFormat="1" ht="30" customHeight="1">
      <c r="B60" s="696"/>
      <c r="C60" s="495" t="s">
        <v>590</v>
      </c>
      <c r="D60" s="495"/>
      <c r="E60" s="7">
        <v>510300</v>
      </c>
      <c r="F60" s="675"/>
      <c r="G60" s="675"/>
      <c r="H60" s="659"/>
      <c r="I60" s="659"/>
      <c r="J60" s="495" t="s">
        <v>587</v>
      </c>
      <c r="K60" s="522">
        <v>1E-4</v>
      </c>
      <c r="L60" s="7">
        <v>50</v>
      </c>
      <c r="M60" s="7">
        <v>10</v>
      </c>
      <c r="N60" s="495" t="s">
        <v>257</v>
      </c>
      <c r="O60" s="675"/>
      <c r="P60" s="675"/>
      <c r="Q60" s="667"/>
      <c r="R60" s="667"/>
      <c r="S60" s="525">
        <v>43822</v>
      </c>
      <c r="T60" s="496"/>
      <c r="U60" s="526"/>
    </row>
    <row r="61" spans="2:21" s="28" customFormat="1" ht="30" customHeight="1">
      <c r="B61" s="696"/>
      <c r="C61" s="495" t="s">
        <v>591</v>
      </c>
      <c r="D61" s="495"/>
      <c r="E61" s="7">
        <v>510500</v>
      </c>
      <c r="F61" s="675"/>
      <c r="G61" s="675"/>
      <c r="H61" s="659"/>
      <c r="I61" s="659"/>
      <c r="J61" s="495" t="s">
        <v>587</v>
      </c>
      <c r="K61" s="522">
        <v>1E-4</v>
      </c>
      <c r="L61" s="7">
        <v>50</v>
      </c>
      <c r="M61" s="7">
        <v>10</v>
      </c>
      <c r="N61" s="495" t="s">
        <v>257</v>
      </c>
      <c r="O61" s="675"/>
      <c r="P61" s="675"/>
      <c r="Q61" s="667"/>
      <c r="R61" s="667"/>
      <c r="S61" s="525">
        <v>44823</v>
      </c>
      <c r="T61" s="496"/>
      <c r="U61" s="526"/>
    </row>
    <row r="62" spans="2:21" s="28" customFormat="1" ht="30" customHeight="1">
      <c r="B62" s="696"/>
      <c r="C62" s="495" t="s">
        <v>592</v>
      </c>
      <c r="D62" s="495"/>
      <c r="E62" s="7">
        <v>588000</v>
      </c>
      <c r="F62" s="675"/>
      <c r="G62" s="675"/>
      <c r="H62" s="659"/>
      <c r="I62" s="659"/>
      <c r="J62" s="495" t="s">
        <v>587</v>
      </c>
      <c r="K62" s="522">
        <v>1E-4</v>
      </c>
      <c r="L62" s="7">
        <v>50</v>
      </c>
      <c r="M62" s="7">
        <v>10</v>
      </c>
      <c r="N62" s="495" t="s">
        <v>257</v>
      </c>
      <c r="O62" s="675"/>
      <c r="P62" s="675"/>
      <c r="Q62" s="667"/>
      <c r="R62" s="668"/>
      <c r="S62" s="525">
        <v>45082</v>
      </c>
      <c r="T62" s="496"/>
      <c r="U62" s="526"/>
    </row>
    <row r="63" spans="2:21" s="28" customFormat="1" ht="30" customHeight="1">
      <c r="B63" s="697"/>
      <c r="C63" s="516" t="s">
        <v>593</v>
      </c>
      <c r="D63" s="501"/>
      <c r="E63" s="323">
        <v>588080</v>
      </c>
      <c r="F63" s="673"/>
      <c r="G63" s="673"/>
      <c r="H63" s="659"/>
      <c r="I63" s="659"/>
      <c r="J63" s="516" t="s">
        <v>587</v>
      </c>
      <c r="K63" s="523">
        <v>1E-4</v>
      </c>
      <c r="L63" s="323">
        <v>50</v>
      </c>
      <c r="M63" s="323">
        <v>10</v>
      </c>
      <c r="N63" s="516" t="s">
        <v>257</v>
      </c>
      <c r="O63" s="673"/>
      <c r="P63" s="673"/>
      <c r="Q63" s="665"/>
      <c r="R63" s="669"/>
      <c r="S63" s="540">
        <v>45082</v>
      </c>
      <c r="T63" s="497"/>
      <c r="U63" s="528"/>
    </row>
    <row r="64" spans="2:21" s="28" customFormat="1" ht="30" customHeight="1">
      <c r="B64" s="698" t="s">
        <v>594</v>
      </c>
      <c r="C64" s="514" t="s">
        <v>590</v>
      </c>
      <c r="D64" s="517"/>
      <c r="E64" s="515">
        <v>159919</v>
      </c>
      <c r="F64" s="674" t="s">
        <v>260</v>
      </c>
      <c r="G64" s="674" t="s">
        <v>584</v>
      </c>
      <c r="H64" s="659"/>
      <c r="I64" s="659"/>
      <c r="J64" s="514" t="s">
        <v>587</v>
      </c>
      <c r="K64" s="521">
        <v>1E-4</v>
      </c>
      <c r="L64" s="515">
        <v>50</v>
      </c>
      <c r="M64" s="515">
        <v>10</v>
      </c>
      <c r="N64" s="514" t="s">
        <v>257</v>
      </c>
      <c r="O64" s="674" t="s">
        <v>588</v>
      </c>
      <c r="P64" s="674" t="s">
        <v>589</v>
      </c>
      <c r="Q64" s="666" t="s">
        <v>389</v>
      </c>
      <c r="R64" s="670" t="s">
        <v>404</v>
      </c>
      <c r="S64" s="537">
        <v>43822</v>
      </c>
      <c r="T64" s="538"/>
      <c r="U64" s="539"/>
    </row>
    <row r="65" spans="2:21" s="28" customFormat="1" ht="30" customHeight="1">
      <c r="B65" s="699"/>
      <c r="C65" s="495" t="s">
        <v>595</v>
      </c>
      <c r="D65" s="495"/>
      <c r="E65" s="7">
        <v>159915</v>
      </c>
      <c r="F65" s="675"/>
      <c r="G65" s="675"/>
      <c r="H65" s="659"/>
      <c r="I65" s="659"/>
      <c r="J65" s="495" t="s">
        <v>587</v>
      </c>
      <c r="K65" s="522">
        <v>1E-4</v>
      </c>
      <c r="L65" s="7">
        <v>50</v>
      </c>
      <c r="M65" s="7">
        <v>10</v>
      </c>
      <c r="N65" s="495" t="s">
        <v>257</v>
      </c>
      <c r="O65" s="675"/>
      <c r="P65" s="675"/>
      <c r="Q65" s="667"/>
      <c r="R65" s="668"/>
      <c r="S65" s="525">
        <v>44823</v>
      </c>
      <c r="T65" s="496"/>
      <c r="U65" s="526"/>
    </row>
    <row r="66" spans="2:21" s="28" customFormat="1" ht="30" customHeight="1">
      <c r="B66" s="699"/>
      <c r="C66" s="495" t="s">
        <v>591</v>
      </c>
      <c r="D66" s="495"/>
      <c r="E66" s="7">
        <v>159922</v>
      </c>
      <c r="F66" s="675"/>
      <c r="G66" s="675"/>
      <c r="H66" s="659"/>
      <c r="I66" s="659"/>
      <c r="J66" s="495" t="s">
        <v>587</v>
      </c>
      <c r="K66" s="522">
        <v>1E-4</v>
      </c>
      <c r="L66" s="7">
        <v>50</v>
      </c>
      <c r="M66" s="7">
        <v>10</v>
      </c>
      <c r="N66" s="495" t="s">
        <v>257</v>
      </c>
      <c r="O66" s="675"/>
      <c r="P66" s="675"/>
      <c r="Q66" s="667"/>
      <c r="R66" s="668"/>
      <c r="S66" s="525">
        <v>44823</v>
      </c>
      <c r="T66" s="496"/>
      <c r="U66" s="526"/>
    </row>
    <row r="67" spans="2:21" s="28" customFormat="1" ht="30" customHeight="1">
      <c r="B67" s="700"/>
      <c r="C67" s="516" t="s">
        <v>596</v>
      </c>
      <c r="D67" s="516"/>
      <c r="E67" s="323">
        <v>159901</v>
      </c>
      <c r="F67" s="673"/>
      <c r="G67" s="673"/>
      <c r="H67" s="660"/>
      <c r="I67" s="660"/>
      <c r="J67" s="516" t="s">
        <v>587</v>
      </c>
      <c r="K67" s="523">
        <v>1E-4</v>
      </c>
      <c r="L67" s="323">
        <v>50</v>
      </c>
      <c r="M67" s="323">
        <v>10</v>
      </c>
      <c r="N67" s="516" t="s">
        <v>257</v>
      </c>
      <c r="O67" s="673"/>
      <c r="P67" s="673"/>
      <c r="Q67" s="665"/>
      <c r="R67" s="665"/>
      <c r="S67" s="527">
        <v>44907</v>
      </c>
      <c r="T67" s="499"/>
      <c r="U67" s="528"/>
    </row>
    <row r="68" spans="2:21" ht="16.5" customHeight="1">
      <c r="B68" s="541"/>
      <c r="C68" s="541"/>
      <c r="D68" s="541"/>
      <c r="E68" s="541"/>
      <c r="F68" s="541"/>
      <c r="G68" s="541"/>
      <c r="H68" s="541"/>
      <c r="I68" s="541"/>
      <c r="J68" s="541"/>
      <c r="K68" s="541"/>
      <c r="L68" s="541"/>
      <c r="M68" s="541"/>
      <c r="N68" s="541"/>
      <c r="O68" s="541"/>
      <c r="P68" s="541"/>
      <c r="Q68" s="542"/>
      <c r="R68" s="542"/>
      <c r="S68" s="543"/>
    </row>
    <row r="69" spans="2:21" ht="16.5" customHeight="1">
      <c r="B69" s="541"/>
      <c r="C69" s="541"/>
      <c r="D69" s="541"/>
      <c r="E69" s="541"/>
      <c r="F69" s="541"/>
      <c r="G69" s="541"/>
      <c r="H69" s="541"/>
      <c r="I69" s="541"/>
      <c r="J69" s="541"/>
      <c r="K69" s="541"/>
      <c r="L69" s="541"/>
      <c r="M69" s="541"/>
      <c r="N69" s="541"/>
      <c r="O69" s="541"/>
      <c r="P69" s="541"/>
      <c r="Q69" s="542"/>
      <c r="R69" s="542"/>
      <c r="S69" s="543"/>
    </row>
    <row r="70" spans="2:21" ht="16.5" customHeight="1">
      <c r="B70" s="541"/>
      <c r="C70" s="541"/>
      <c r="D70" s="541"/>
      <c r="E70" s="541"/>
      <c r="F70" s="541"/>
      <c r="G70" s="541"/>
      <c r="H70" s="541"/>
      <c r="I70" s="541"/>
      <c r="J70" s="541"/>
      <c r="K70" s="541"/>
      <c r="L70" s="541"/>
      <c r="M70" s="541"/>
      <c r="N70" s="541"/>
      <c r="O70" s="541"/>
      <c r="P70" s="541"/>
      <c r="Q70" s="542"/>
      <c r="R70" s="542"/>
      <c r="S70" s="543"/>
    </row>
    <row r="71" spans="2:21" ht="16.5" customHeight="1">
      <c r="B71" s="541"/>
      <c r="C71" s="541"/>
      <c r="D71" s="541"/>
      <c r="E71" s="541"/>
      <c r="F71" s="541"/>
      <c r="G71" s="541"/>
      <c r="H71" s="541"/>
      <c r="I71" s="541"/>
      <c r="J71" s="541"/>
      <c r="K71" s="541"/>
      <c r="L71" s="541"/>
      <c r="M71" s="541"/>
      <c r="N71" s="541"/>
      <c r="O71" s="541"/>
      <c r="P71" s="541"/>
      <c r="Q71" s="542"/>
      <c r="R71" s="542"/>
      <c r="S71" s="543"/>
    </row>
    <row r="72" spans="2:21" ht="16.5" customHeight="1">
      <c r="B72" s="541"/>
      <c r="C72" s="541"/>
      <c r="D72" s="541"/>
      <c r="E72" s="541"/>
      <c r="F72" s="541"/>
      <c r="G72" s="541"/>
      <c r="H72" s="541"/>
      <c r="I72" s="541"/>
      <c r="J72" s="541"/>
      <c r="K72" s="541"/>
      <c r="L72" s="541"/>
      <c r="M72" s="541"/>
      <c r="N72" s="541"/>
      <c r="O72" s="541"/>
      <c r="P72" s="541"/>
      <c r="Q72" s="542"/>
      <c r="R72" s="542"/>
      <c r="S72" s="543"/>
    </row>
    <row r="73" spans="2:21" ht="16.5" customHeight="1">
      <c r="B73" s="541"/>
      <c r="C73" s="541"/>
      <c r="D73" s="541"/>
      <c r="E73" s="541"/>
      <c r="F73" s="541"/>
      <c r="G73" s="541"/>
      <c r="H73" s="541"/>
      <c r="I73" s="541"/>
      <c r="J73" s="541"/>
      <c r="K73" s="541"/>
      <c r="L73" s="541"/>
      <c r="M73" s="541"/>
      <c r="N73" s="541"/>
      <c r="O73" s="541"/>
      <c r="P73" s="541"/>
      <c r="Q73" s="542"/>
      <c r="R73" s="542"/>
      <c r="S73" s="543"/>
    </row>
    <row r="74" spans="2:21" ht="16.5" customHeight="1">
      <c r="B74" s="541"/>
      <c r="C74" s="541"/>
      <c r="D74" s="541"/>
      <c r="E74" s="541"/>
      <c r="F74" s="541"/>
      <c r="G74" s="541"/>
      <c r="H74" s="541"/>
      <c r="I74" s="541"/>
      <c r="J74" s="541"/>
      <c r="K74" s="541"/>
      <c r="L74" s="541"/>
      <c r="M74" s="541"/>
      <c r="N74" s="541"/>
      <c r="O74" s="541"/>
      <c r="P74" s="541"/>
      <c r="Q74" s="542"/>
      <c r="R74" s="542"/>
      <c r="S74" s="543"/>
    </row>
    <row r="75" spans="2:21" ht="16.5" customHeight="1">
      <c r="B75" s="541"/>
      <c r="C75" s="541"/>
      <c r="D75" s="541"/>
      <c r="E75" s="541"/>
      <c r="F75" s="541"/>
      <c r="G75" s="541"/>
      <c r="H75" s="541"/>
      <c r="I75" s="541"/>
      <c r="J75" s="541"/>
      <c r="K75" s="541"/>
      <c r="L75" s="541"/>
      <c r="M75" s="541"/>
      <c r="N75" s="541"/>
      <c r="O75" s="541"/>
      <c r="P75" s="541"/>
      <c r="Q75" s="542"/>
      <c r="R75" s="542"/>
      <c r="S75" s="543"/>
    </row>
    <row r="76" spans="2:21" ht="16.5" customHeight="1">
      <c r="B76" s="541"/>
      <c r="C76" s="541"/>
      <c r="D76" s="541"/>
      <c r="E76" s="541"/>
      <c r="F76" s="541"/>
      <c r="G76" s="541"/>
      <c r="H76" s="541"/>
      <c r="I76" s="541"/>
      <c r="J76" s="541"/>
      <c r="K76" s="541"/>
      <c r="L76" s="541"/>
      <c r="M76" s="541"/>
      <c r="N76" s="541"/>
      <c r="O76" s="541"/>
      <c r="P76" s="541"/>
      <c r="Q76" s="542"/>
      <c r="R76" s="542"/>
      <c r="S76" s="543"/>
    </row>
    <row r="77" spans="2:21" ht="16.5" customHeight="1">
      <c r="B77" s="541"/>
      <c r="C77" s="541"/>
      <c r="D77" s="541"/>
      <c r="E77" s="541"/>
      <c r="F77" s="541"/>
      <c r="G77" s="541"/>
      <c r="H77" s="541"/>
      <c r="I77" s="541"/>
      <c r="J77" s="541"/>
      <c r="K77" s="541"/>
      <c r="L77" s="541"/>
      <c r="M77" s="541"/>
      <c r="N77" s="541"/>
      <c r="O77" s="541"/>
      <c r="P77" s="541"/>
      <c r="Q77" s="542"/>
      <c r="R77" s="542"/>
      <c r="S77" s="543"/>
    </row>
    <row r="78" spans="2:21" ht="16.5" customHeight="1">
      <c r="B78" s="541"/>
      <c r="C78" s="541"/>
      <c r="D78" s="541"/>
      <c r="E78" s="541"/>
      <c r="F78" s="541"/>
      <c r="G78" s="541"/>
      <c r="H78" s="541"/>
      <c r="I78" s="541"/>
      <c r="J78" s="541"/>
      <c r="K78" s="541"/>
      <c r="L78" s="541"/>
      <c r="M78" s="541"/>
      <c r="N78" s="541"/>
      <c r="O78" s="541"/>
      <c r="P78" s="541"/>
      <c r="Q78" s="542"/>
      <c r="R78" s="542"/>
      <c r="S78" s="543"/>
    </row>
    <row r="79" spans="2:21" ht="16.5" customHeight="1">
      <c r="B79" s="541"/>
      <c r="C79" s="541"/>
      <c r="D79" s="541"/>
      <c r="E79" s="541"/>
      <c r="F79" s="541"/>
      <c r="G79" s="541"/>
      <c r="H79" s="541"/>
      <c r="I79" s="541"/>
      <c r="J79" s="541"/>
      <c r="K79" s="541"/>
      <c r="L79" s="541"/>
      <c r="M79" s="541"/>
      <c r="N79" s="541"/>
      <c r="O79" s="541"/>
      <c r="P79" s="541"/>
      <c r="Q79" s="542"/>
      <c r="R79" s="542"/>
      <c r="S79" s="543"/>
    </row>
    <row r="80" spans="2:21" ht="16.5" customHeight="1">
      <c r="B80" s="541"/>
      <c r="C80" s="541"/>
      <c r="D80" s="541"/>
      <c r="E80" s="541"/>
      <c r="F80" s="541"/>
      <c r="G80" s="541"/>
      <c r="H80" s="541"/>
      <c r="I80" s="541"/>
      <c r="J80" s="541"/>
      <c r="K80" s="541"/>
      <c r="L80" s="541"/>
      <c r="M80" s="541"/>
      <c r="N80" s="541"/>
      <c r="O80" s="541"/>
      <c r="P80" s="541"/>
      <c r="Q80" s="542"/>
      <c r="R80" s="542"/>
      <c r="S80" s="543"/>
    </row>
    <row r="81" spans="2:19" ht="16.5" customHeight="1">
      <c r="B81" s="541"/>
      <c r="C81" s="541"/>
      <c r="D81" s="541"/>
      <c r="E81" s="541"/>
      <c r="F81" s="541"/>
      <c r="G81" s="541"/>
      <c r="H81" s="541"/>
      <c r="I81" s="541"/>
      <c r="J81" s="541"/>
      <c r="K81" s="541"/>
      <c r="L81" s="541"/>
      <c r="M81" s="541"/>
      <c r="N81" s="541"/>
      <c r="O81" s="541"/>
      <c r="P81" s="541"/>
      <c r="Q81" s="542"/>
      <c r="R81" s="542"/>
      <c r="S81" s="543"/>
    </row>
    <row r="82" spans="2:19" ht="16.5" customHeight="1">
      <c r="B82" s="541"/>
      <c r="C82" s="541"/>
      <c r="D82" s="541"/>
      <c r="E82" s="541"/>
      <c r="F82" s="541"/>
      <c r="G82" s="541"/>
      <c r="H82" s="541"/>
      <c r="I82" s="541"/>
      <c r="J82" s="541"/>
      <c r="K82" s="541"/>
      <c r="L82" s="541"/>
      <c r="M82" s="541"/>
      <c r="N82" s="541"/>
      <c r="O82" s="541"/>
      <c r="P82" s="541"/>
      <c r="Q82" s="542"/>
      <c r="R82" s="542"/>
      <c r="S82" s="543"/>
    </row>
    <row r="83" spans="2:19" ht="16.5" customHeight="1">
      <c r="B83" s="541"/>
      <c r="C83" s="541"/>
      <c r="D83" s="541"/>
      <c r="E83" s="541"/>
      <c r="F83" s="541"/>
      <c r="G83" s="541"/>
      <c r="H83" s="541"/>
      <c r="I83" s="541"/>
      <c r="J83" s="541"/>
      <c r="K83" s="541"/>
      <c r="L83" s="541"/>
      <c r="M83" s="541"/>
      <c r="N83" s="541"/>
      <c r="O83" s="541"/>
      <c r="P83" s="541"/>
      <c r="Q83" s="542"/>
      <c r="R83" s="542"/>
      <c r="S83" s="543"/>
    </row>
    <row r="84" spans="2:19" ht="16.5" customHeight="1">
      <c r="B84" s="541"/>
      <c r="C84" s="541"/>
      <c r="D84" s="541"/>
      <c r="E84" s="541"/>
      <c r="F84" s="541"/>
      <c r="G84" s="541"/>
      <c r="H84" s="541"/>
      <c r="I84" s="541"/>
      <c r="J84" s="541"/>
      <c r="K84" s="541"/>
      <c r="L84" s="541"/>
      <c r="M84" s="541"/>
      <c r="N84" s="541"/>
      <c r="O84" s="541"/>
      <c r="P84" s="541"/>
      <c r="Q84" s="542"/>
      <c r="R84" s="542"/>
      <c r="S84" s="543"/>
    </row>
    <row r="85" spans="2:19" ht="16.5" customHeight="1">
      <c r="B85" s="541"/>
      <c r="C85" s="541"/>
      <c r="D85" s="541"/>
      <c r="E85" s="541"/>
      <c r="F85" s="541"/>
      <c r="G85" s="541"/>
      <c r="H85" s="541"/>
      <c r="I85" s="541"/>
      <c r="J85" s="541"/>
      <c r="K85" s="541"/>
      <c r="L85" s="541"/>
      <c r="M85" s="541"/>
      <c r="N85" s="541"/>
      <c r="O85" s="541"/>
      <c r="P85" s="541"/>
      <c r="Q85" s="542"/>
      <c r="R85" s="542"/>
      <c r="S85" s="543"/>
    </row>
    <row r="86" spans="2:19" ht="16.5" customHeight="1">
      <c r="B86" s="541"/>
      <c r="C86" s="541"/>
      <c r="D86" s="541"/>
      <c r="E86" s="541"/>
      <c r="F86" s="541"/>
      <c r="G86" s="541"/>
      <c r="H86" s="541"/>
      <c r="I86" s="541"/>
      <c r="J86" s="541"/>
      <c r="K86" s="541"/>
      <c r="L86" s="541"/>
      <c r="M86" s="541"/>
      <c r="N86" s="541"/>
      <c r="O86" s="541"/>
      <c r="P86" s="541"/>
      <c r="Q86" s="542"/>
      <c r="R86" s="542"/>
      <c r="S86" s="543"/>
    </row>
    <row r="87" spans="2:19" ht="16.5" customHeight="1">
      <c r="B87" s="541"/>
      <c r="C87" s="541"/>
      <c r="D87" s="541"/>
      <c r="E87" s="541"/>
      <c r="F87" s="541"/>
      <c r="G87" s="541"/>
      <c r="H87" s="541"/>
      <c r="I87" s="541"/>
      <c r="J87" s="541"/>
      <c r="K87" s="541"/>
      <c r="L87" s="541"/>
      <c r="M87" s="541"/>
      <c r="N87" s="541"/>
      <c r="O87" s="541"/>
      <c r="P87" s="541"/>
      <c r="Q87" s="542"/>
      <c r="R87" s="542"/>
      <c r="S87" s="543"/>
    </row>
    <row r="88" spans="2:19" ht="16.5" customHeight="1">
      <c r="B88" s="541"/>
      <c r="C88" s="541"/>
      <c r="D88" s="541"/>
      <c r="E88" s="541"/>
      <c r="F88" s="541"/>
      <c r="G88" s="541"/>
      <c r="H88" s="541"/>
      <c r="I88" s="541"/>
      <c r="J88" s="541"/>
      <c r="K88" s="541"/>
      <c r="L88" s="541"/>
      <c r="M88" s="541"/>
      <c r="N88" s="541"/>
      <c r="O88" s="541"/>
      <c r="P88" s="541"/>
      <c r="Q88" s="542"/>
      <c r="R88" s="542"/>
      <c r="S88" s="543"/>
    </row>
    <row r="89" spans="2:19" ht="16.5" customHeight="1">
      <c r="B89" s="541"/>
      <c r="C89" s="541"/>
      <c r="D89" s="541"/>
      <c r="E89" s="541"/>
      <c r="F89" s="541"/>
      <c r="G89" s="541"/>
      <c r="H89" s="541"/>
      <c r="I89" s="541"/>
      <c r="J89" s="541"/>
      <c r="K89" s="541"/>
      <c r="L89" s="541"/>
      <c r="M89" s="541"/>
      <c r="N89" s="541"/>
      <c r="O89" s="541"/>
      <c r="P89" s="541"/>
      <c r="Q89" s="542"/>
      <c r="R89" s="542"/>
      <c r="S89" s="543"/>
    </row>
    <row r="90" spans="2:19" ht="16.5" customHeight="1">
      <c r="B90" s="541"/>
      <c r="C90" s="541"/>
      <c r="D90" s="541"/>
      <c r="E90" s="541"/>
      <c r="F90" s="541"/>
      <c r="G90" s="541"/>
      <c r="H90" s="541"/>
      <c r="I90" s="541"/>
      <c r="J90" s="541"/>
      <c r="K90" s="541"/>
      <c r="L90" s="541"/>
      <c r="M90" s="541"/>
      <c r="N90" s="541"/>
      <c r="O90" s="541"/>
      <c r="P90" s="541"/>
      <c r="Q90" s="542"/>
      <c r="R90" s="542"/>
      <c r="S90" s="543"/>
    </row>
    <row r="91" spans="2:19" ht="16.5" customHeight="1">
      <c r="B91" s="541"/>
      <c r="C91" s="541"/>
      <c r="D91" s="541"/>
      <c r="E91" s="541"/>
      <c r="F91" s="541"/>
      <c r="G91" s="541"/>
      <c r="H91" s="541"/>
      <c r="I91" s="541"/>
      <c r="J91" s="541"/>
      <c r="K91" s="541"/>
      <c r="L91" s="541"/>
      <c r="M91" s="541"/>
      <c r="N91" s="541"/>
      <c r="O91" s="541"/>
      <c r="P91" s="541"/>
      <c r="Q91" s="542"/>
      <c r="R91" s="542"/>
      <c r="S91" s="543"/>
    </row>
    <row r="92" spans="2:19" ht="16.5" customHeight="1">
      <c r="B92" s="541"/>
      <c r="C92" s="541"/>
      <c r="D92" s="541"/>
      <c r="E92" s="541"/>
      <c r="F92" s="541"/>
      <c r="G92" s="541"/>
      <c r="H92" s="541"/>
      <c r="I92" s="541"/>
      <c r="J92" s="541"/>
      <c r="K92" s="541"/>
      <c r="L92" s="541"/>
      <c r="M92" s="541"/>
      <c r="N92" s="541"/>
      <c r="O92" s="541"/>
      <c r="P92" s="541"/>
      <c r="Q92" s="542"/>
      <c r="R92" s="542"/>
      <c r="S92" s="543"/>
    </row>
    <row r="93" spans="2:19" ht="16.5" customHeight="1">
      <c r="B93" s="541"/>
      <c r="C93" s="541"/>
      <c r="D93" s="541"/>
      <c r="E93" s="541"/>
      <c r="F93" s="541"/>
      <c r="G93" s="541"/>
      <c r="H93" s="541"/>
      <c r="I93" s="541"/>
      <c r="J93" s="541"/>
      <c r="K93" s="541"/>
      <c r="L93" s="541"/>
      <c r="M93" s="541"/>
      <c r="N93" s="541"/>
      <c r="O93" s="541"/>
      <c r="P93" s="541"/>
      <c r="Q93" s="542"/>
      <c r="R93" s="542"/>
      <c r="S93" s="543"/>
    </row>
    <row r="94" spans="2:19" ht="16.5" customHeight="1">
      <c r="B94" s="541"/>
      <c r="C94" s="541"/>
      <c r="D94" s="541"/>
      <c r="E94" s="541"/>
      <c r="F94" s="541"/>
      <c r="G94" s="541"/>
      <c r="H94" s="541"/>
      <c r="I94" s="541"/>
      <c r="J94" s="541"/>
      <c r="K94" s="541"/>
      <c r="L94" s="541"/>
      <c r="M94" s="541"/>
      <c r="N94" s="541"/>
      <c r="O94" s="541"/>
      <c r="P94" s="541"/>
      <c r="Q94" s="542"/>
      <c r="R94" s="542"/>
      <c r="S94" s="543"/>
    </row>
    <row r="95" spans="2:19" ht="16.5" customHeight="1">
      <c r="B95" s="541"/>
      <c r="C95" s="541"/>
      <c r="D95" s="541"/>
      <c r="E95" s="541"/>
      <c r="F95" s="541"/>
      <c r="G95" s="541"/>
      <c r="H95" s="541"/>
      <c r="I95" s="541"/>
      <c r="J95" s="541"/>
      <c r="K95" s="541"/>
      <c r="L95" s="541"/>
      <c r="M95" s="541"/>
      <c r="N95" s="541"/>
      <c r="O95" s="541"/>
      <c r="P95" s="541"/>
      <c r="Q95" s="542"/>
      <c r="R95" s="542"/>
      <c r="S95" s="543"/>
    </row>
    <row r="96" spans="2:19" ht="16.5" customHeight="1">
      <c r="B96" s="541"/>
      <c r="C96" s="541"/>
      <c r="D96" s="541"/>
      <c r="E96" s="541"/>
      <c r="F96" s="541"/>
      <c r="G96" s="541"/>
      <c r="H96" s="541"/>
      <c r="I96" s="541"/>
      <c r="J96" s="541"/>
      <c r="K96" s="541"/>
      <c r="L96" s="541"/>
      <c r="M96" s="541"/>
      <c r="N96" s="541"/>
      <c r="O96" s="541"/>
      <c r="P96" s="541"/>
      <c r="Q96" s="542"/>
      <c r="R96" s="542"/>
      <c r="S96" s="543"/>
    </row>
    <row r="97" spans="2:19" ht="16.5" customHeight="1">
      <c r="B97" s="541"/>
      <c r="C97" s="541"/>
      <c r="D97" s="541"/>
      <c r="E97" s="541"/>
      <c r="F97" s="541"/>
      <c r="G97" s="541"/>
      <c r="H97" s="541"/>
      <c r="I97" s="541"/>
      <c r="J97" s="541"/>
      <c r="K97" s="541"/>
      <c r="L97" s="541"/>
      <c r="M97" s="541"/>
      <c r="N97" s="541"/>
      <c r="O97" s="541"/>
      <c r="P97" s="541"/>
      <c r="Q97" s="542"/>
      <c r="R97" s="542"/>
      <c r="S97" s="543"/>
    </row>
    <row r="98" spans="2:19" ht="16.5" customHeight="1">
      <c r="B98" s="541"/>
      <c r="C98" s="541"/>
      <c r="D98" s="541"/>
      <c r="E98" s="541"/>
      <c r="F98" s="541"/>
      <c r="G98" s="541"/>
      <c r="H98" s="541"/>
      <c r="I98" s="541"/>
      <c r="J98" s="541"/>
      <c r="K98" s="541"/>
      <c r="L98" s="541"/>
      <c r="M98" s="541"/>
      <c r="N98" s="541"/>
      <c r="O98" s="541"/>
      <c r="P98" s="541"/>
      <c r="Q98" s="542"/>
      <c r="R98" s="542"/>
      <c r="S98" s="543"/>
    </row>
    <row r="99" spans="2:19" ht="16.5" customHeight="1">
      <c r="B99" s="541"/>
      <c r="C99" s="541"/>
      <c r="D99" s="541"/>
      <c r="E99" s="541"/>
      <c r="F99" s="541"/>
      <c r="G99" s="541"/>
      <c r="H99" s="541"/>
      <c r="I99" s="541"/>
      <c r="J99" s="541"/>
      <c r="K99" s="541"/>
      <c r="L99" s="541"/>
      <c r="M99" s="541"/>
      <c r="N99" s="541"/>
      <c r="O99" s="541"/>
      <c r="P99" s="541"/>
      <c r="Q99" s="542"/>
      <c r="R99" s="542"/>
      <c r="S99" s="543"/>
    </row>
    <row r="100" spans="2:19" ht="16.5" customHeight="1">
      <c r="B100" s="541"/>
      <c r="C100" s="541"/>
      <c r="D100" s="541"/>
      <c r="E100" s="541"/>
      <c r="F100" s="541"/>
      <c r="G100" s="541"/>
      <c r="H100" s="541"/>
      <c r="I100" s="541"/>
      <c r="J100" s="541"/>
      <c r="K100" s="541"/>
      <c r="L100" s="541"/>
      <c r="M100" s="541"/>
      <c r="N100" s="541"/>
      <c r="O100" s="541"/>
      <c r="P100" s="541"/>
      <c r="Q100" s="542"/>
      <c r="R100" s="542"/>
      <c r="S100" s="543"/>
    </row>
    <row r="101" spans="2:19" ht="16.5" customHeight="1">
      <c r="B101" s="541"/>
      <c r="C101" s="541"/>
      <c r="D101" s="541"/>
      <c r="E101" s="541"/>
      <c r="F101" s="541"/>
      <c r="G101" s="541"/>
      <c r="H101" s="541"/>
      <c r="I101" s="541"/>
      <c r="J101" s="541"/>
      <c r="K101" s="541"/>
      <c r="L101" s="541"/>
      <c r="M101" s="541"/>
      <c r="N101" s="541"/>
      <c r="O101" s="541"/>
      <c r="P101" s="541"/>
      <c r="Q101" s="542"/>
      <c r="R101" s="542"/>
      <c r="S101" s="543"/>
    </row>
    <row r="102" spans="2:19" ht="16.5" customHeight="1">
      <c r="B102" s="541"/>
      <c r="C102" s="541"/>
      <c r="D102" s="541"/>
      <c r="E102" s="541"/>
      <c r="F102" s="541"/>
      <c r="G102" s="541"/>
      <c r="H102" s="541"/>
      <c r="I102" s="541"/>
      <c r="J102" s="541"/>
      <c r="K102" s="541"/>
      <c r="L102" s="541"/>
      <c r="M102" s="541"/>
      <c r="N102" s="541"/>
      <c r="O102" s="541"/>
      <c r="P102" s="541"/>
      <c r="Q102" s="542"/>
      <c r="R102" s="542"/>
      <c r="S102" s="543"/>
    </row>
    <row r="103" spans="2:19" ht="16.5" customHeight="1">
      <c r="B103" s="541"/>
      <c r="C103" s="541"/>
      <c r="D103" s="541"/>
      <c r="E103" s="541"/>
      <c r="F103" s="541"/>
      <c r="G103" s="541"/>
      <c r="H103" s="541"/>
      <c r="I103" s="541"/>
      <c r="J103" s="541"/>
      <c r="K103" s="541"/>
      <c r="L103" s="541"/>
      <c r="M103" s="541"/>
      <c r="N103" s="541"/>
      <c r="O103" s="541"/>
      <c r="P103" s="541"/>
      <c r="Q103" s="542"/>
      <c r="R103" s="542"/>
      <c r="S103" s="543"/>
    </row>
    <row r="104" spans="2:19" ht="16.5" customHeight="1">
      <c r="B104" s="541"/>
      <c r="C104" s="541"/>
      <c r="D104" s="541"/>
      <c r="E104" s="541"/>
      <c r="F104" s="541"/>
      <c r="G104" s="541"/>
      <c r="H104" s="541"/>
      <c r="I104" s="541"/>
      <c r="J104" s="541"/>
      <c r="K104" s="541"/>
      <c r="L104" s="541"/>
      <c r="M104" s="541"/>
      <c r="N104" s="541"/>
      <c r="O104" s="541"/>
      <c r="P104" s="541"/>
      <c r="Q104" s="542"/>
      <c r="R104" s="542"/>
      <c r="S104" s="543"/>
    </row>
    <row r="105" spans="2:19" ht="16.5" customHeight="1">
      <c r="B105" s="541"/>
      <c r="C105" s="541"/>
      <c r="D105" s="541"/>
      <c r="E105" s="541"/>
      <c r="F105" s="541"/>
      <c r="G105" s="541"/>
      <c r="H105" s="541"/>
      <c r="I105" s="541"/>
      <c r="J105" s="541"/>
      <c r="K105" s="541"/>
      <c r="L105" s="541"/>
      <c r="M105" s="541"/>
      <c r="N105" s="541"/>
      <c r="O105" s="541"/>
      <c r="P105" s="541"/>
      <c r="Q105" s="542"/>
      <c r="R105" s="542"/>
      <c r="S105" s="543"/>
    </row>
    <row r="106" spans="2:19" ht="16.5" customHeight="1">
      <c r="B106" s="541"/>
      <c r="C106" s="541"/>
      <c r="D106" s="541"/>
      <c r="E106" s="541"/>
      <c r="F106" s="541"/>
      <c r="G106" s="541"/>
      <c r="H106" s="541"/>
      <c r="I106" s="541"/>
      <c r="J106" s="541"/>
      <c r="K106" s="541"/>
      <c r="L106" s="541"/>
      <c r="M106" s="541"/>
      <c r="N106" s="541"/>
      <c r="O106" s="541"/>
      <c r="P106" s="541"/>
      <c r="Q106" s="542"/>
      <c r="R106" s="542"/>
      <c r="S106" s="543"/>
    </row>
    <row r="107" spans="2:19" ht="16.5" customHeight="1">
      <c r="B107" s="541"/>
      <c r="C107" s="541"/>
      <c r="D107" s="541"/>
      <c r="E107" s="541"/>
      <c r="F107" s="541"/>
      <c r="G107" s="541"/>
      <c r="H107" s="541"/>
      <c r="I107" s="541"/>
      <c r="J107" s="541"/>
      <c r="K107" s="541"/>
      <c r="L107" s="541"/>
      <c r="M107" s="541"/>
      <c r="N107" s="541"/>
      <c r="O107" s="541"/>
      <c r="P107" s="541"/>
      <c r="Q107" s="542"/>
      <c r="R107" s="542"/>
      <c r="S107" s="543"/>
    </row>
    <row r="108" spans="2:19" ht="16.5" customHeight="1">
      <c r="B108" s="541"/>
      <c r="C108" s="541"/>
      <c r="D108" s="541"/>
      <c r="E108" s="541"/>
      <c r="F108" s="541"/>
      <c r="G108" s="541"/>
      <c r="H108" s="541"/>
      <c r="I108" s="541"/>
      <c r="J108" s="541"/>
      <c r="K108" s="541"/>
      <c r="L108" s="541"/>
      <c r="M108" s="541"/>
      <c r="N108" s="541"/>
      <c r="O108" s="541"/>
      <c r="P108" s="541"/>
      <c r="Q108" s="542"/>
      <c r="R108" s="542"/>
      <c r="S108" s="543"/>
    </row>
    <row r="109" spans="2:19" ht="16.5" customHeight="1">
      <c r="B109" s="541"/>
      <c r="C109" s="541"/>
      <c r="D109" s="541"/>
      <c r="E109" s="541"/>
      <c r="F109" s="541"/>
      <c r="G109" s="541"/>
      <c r="H109" s="541"/>
      <c r="I109" s="541"/>
      <c r="J109" s="541"/>
      <c r="K109" s="541"/>
      <c r="L109" s="541"/>
      <c r="M109" s="541"/>
      <c r="N109" s="541"/>
      <c r="O109" s="541"/>
      <c r="P109" s="541"/>
      <c r="Q109" s="542"/>
      <c r="R109" s="542"/>
      <c r="S109" s="543"/>
    </row>
    <row r="110" spans="2:19" ht="16.5" customHeight="1">
      <c r="B110" s="541"/>
      <c r="C110" s="541"/>
      <c r="D110" s="541"/>
      <c r="E110" s="541"/>
      <c r="F110" s="541"/>
      <c r="G110" s="541"/>
      <c r="H110" s="541"/>
      <c r="I110" s="541"/>
      <c r="J110" s="541"/>
      <c r="K110" s="541"/>
      <c r="L110" s="541"/>
      <c r="M110" s="541"/>
      <c r="N110" s="541"/>
      <c r="O110" s="541"/>
      <c r="P110" s="541"/>
      <c r="Q110" s="542"/>
      <c r="R110" s="542"/>
      <c r="S110" s="543"/>
    </row>
    <row r="111" spans="2:19" ht="16.5" customHeight="1">
      <c r="B111" s="541"/>
      <c r="C111" s="541"/>
      <c r="D111" s="541"/>
      <c r="E111" s="541"/>
      <c r="F111" s="541"/>
      <c r="G111" s="541"/>
      <c r="H111" s="541"/>
      <c r="I111" s="541"/>
      <c r="J111" s="541"/>
      <c r="K111" s="541"/>
      <c r="L111" s="541"/>
      <c r="M111" s="541"/>
      <c r="N111" s="541"/>
      <c r="O111" s="541"/>
      <c r="P111" s="541"/>
      <c r="Q111" s="542"/>
      <c r="R111" s="542"/>
      <c r="S111" s="543"/>
    </row>
    <row r="112" spans="2:19" ht="16.5" customHeight="1">
      <c r="B112" s="541"/>
      <c r="C112" s="541"/>
      <c r="D112" s="541"/>
      <c r="E112" s="541"/>
      <c r="F112" s="541"/>
      <c r="G112" s="541"/>
      <c r="H112" s="541"/>
      <c r="I112" s="541"/>
      <c r="J112" s="541"/>
      <c r="K112" s="541"/>
      <c r="L112" s="541"/>
      <c r="M112" s="541"/>
      <c r="N112" s="541"/>
      <c r="O112" s="541"/>
      <c r="P112" s="541"/>
      <c r="Q112" s="542"/>
      <c r="R112" s="542"/>
      <c r="S112" s="543"/>
    </row>
    <row r="113" spans="2:19" ht="16.5" customHeight="1">
      <c r="B113" s="541"/>
      <c r="C113" s="541"/>
      <c r="D113" s="541"/>
      <c r="E113" s="541"/>
      <c r="F113" s="541"/>
      <c r="G113" s="541"/>
      <c r="H113" s="541"/>
      <c r="I113" s="541"/>
      <c r="J113" s="541"/>
      <c r="K113" s="541"/>
      <c r="L113" s="541"/>
      <c r="M113" s="541"/>
      <c r="N113" s="541"/>
      <c r="O113" s="541"/>
      <c r="P113" s="541"/>
      <c r="Q113" s="542"/>
      <c r="R113" s="542"/>
      <c r="S113" s="543"/>
    </row>
    <row r="114" spans="2:19" ht="16.5" customHeight="1">
      <c r="B114" s="541"/>
      <c r="C114" s="541"/>
      <c r="D114" s="541"/>
      <c r="E114" s="541"/>
      <c r="F114" s="541"/>
      <c r="G114" s="541"/>
      <c r="H114" s="541"/>
      <c r="I114" s="541"/>
      <c r="J114" s="541"/>
      <c r="K114" s="541"/>
      <c r="L114" s="541"/>
      <c r="M114" s="541"/>
      <c r="N114" s="541"/>
      <c r="O114" s="541"/>
      <c r="P114" s="541"/>
      <c r="Q114" s="542"/>
      <c r="R114" s="542"/>
      <c r="S114" s="543"/>
    </row>
    <row r="115" spans="2:19" ht="16.5" customHeight="1">
      <c r="B115" s="541"/>
      <c r="C115" s="541"/>
      <c r="D115" s="541"/>
      <c r="E115" s="541"/>
      <c r="F115" s="541"/>
      <c r="G115" s="541"/>
      <c r="H115" s="541"/>
      <c r="I115" s="541"/>
      <c r="J115" s="541"/>
      <c r="K115" s="541"/>
      <c r="L115" s="541"/>
      <c r="M115" s="541"/>
      <c r="N115" s="541"/>
      <c r="O115" s="541"/>
      <c r="P115" s="541"/>
      <c r="Q115" s="542"/>
      <c r="R115" s="542"/>
      <c r="S115" s="543"/>
    </row>
    <row r="116" spans="2:19" ht="16.5" customHeight="1">
      <c r="B116" s="541"/>
      <c r="C116" s="541"/>
      <c r="D116" s="541"/>
      <c r="E116" s="541"/>
      <c r="F116" s="541"/>
      <c r="G116" s="541"/>
      <c r="H116" s="541"/>
      <c r="I116" s="541"/>
      <c r="J116" s="541"/>
      <c r="K116" s="541"/>
      <c r="L116" s="541"/>
      <c r="M116" s="541"/>
      <c r="N116" s="541"/>
      <c r="O116" s="541"/>
      <c r="P116" s="541"/>
      <c r="Q116" s="542"/>
      <c r="R116" s="542"/>
      <c r="S116" s="543"/>
    </row>
    <row r="117" spans="2:19" ht="16.5" customHeight="1">
      <c r="B117" s="541"/>
      <c r="C117" s="541"/>
      <c r="D117" s="541"/>
      <c r="E117" s="541"/>
      <c r="F117" s="541"/>
      <c r="G117" s="541"/>
      <c r="H117" s="541"/>
      <c r="I117" s="541"/>
      <c r="J117" s="541"/>
      <c r="K117" s="541"/>
      <c r="L117" s="541"/>
      <c r="M117" s="541"/>
      <c r="N117" s="541"/>
      <c r="O117" s="541"/>
      <c r="P117" s="541"/>
      <c r="Q117" s="542"/>
      <c r="R117" s="542"/>
      <c r="S117" s="543"/>
    </row>
    <row r="118" spans="2:19" ht="16.5" customHeight="1">
      <c r="B118" s="541"/>
      <c r="C118" s="541"/>
      <c r="D118" s="541"/>
      <c r="E118" s="541"/>
      <c r="F118" s="541"/>
      <c r="G118" s="541"/>
      <c r="H118" s="541"/>
      <c r="I118" s="541"/>
      <c r="J118" s="541"/>
      <c r="K118" s="541"/>
      <c r="L118" s="541"/>
      <c r="M118" s="541"/>
      <c r="N118" s="541"/>
      <c r="O118" s="541"/>
      <c r="P118" s="541"/>
      <c r="Q118" s="542"/>
      <c r="R118" s="542"/>
      <c r="S118" s="543"/>
    </row>
    <row r="119" spans="2:19" ht="16.5" customHeight="1">
      <c r="B119" s="541"/>
      <c r="C119" s="541"/>
      <c r="D119" s="541"/>
      <c r="E119" s="541"/>
      <c r="F119" s="541"/>
      <c r="G119" s="541"/>
      <c r="H119" s="541"/>
      <c r="I119" s="541"/>
      <c r="J119" s="541"/>
      <c r="K119" s="541"/>
      <c r="L119" s="541"/>
      <c r="M119" s="541"/>
      <c r="N119" s="541"/>
      <c r="O119" s="541"/>
      <c r="P119" s="541"/>
      <c r="Q119" s="542"/>
      <c r="R119" s="542"/>
      <c r="S119" s="543"/>
    </row>
    <row r="120" spans="2:19" ht="16.5" customHeight="1">
      <c r="B120" s="541"/>
      <c r="C120" s="541"/>
      <c r="D120" s="541"/>
      <c r="E120" s="541"/>
      <c r="F120" s="541"/>
      <c r="G120" s="541"/>
      <c r="H120" s="541"/>
      <c r="I120" s="541"/>
      <c r="J120" s="541"/>
      <c r="K120" s="541"/>
      <c r="L120" s="541"/>
      <c r="M120" s="541"/>
      <c r="N120" s="541"/>
      <c r="O120" s="541"/>
      <c r="P120" s="541"/>
      <c r="Q120" s="542"/>
      <c r="R120" s="542"/>
      <c r="S120" s="543"/>
    </row>
    <row r="121" spans="2:19" ht="16.5" customHeight="1">
      <c r="B121" s="541"/>
      <c r="C121" s="541"/>
      <c r="D121" s="541"/>
      <c r="E121" s="541"/>
      <c r="F121" s="541"/>
      <c r="G121" s="541"/>
      <c r="H121" s="541"/>
      <c r="I121" s="541"/>
      <c r="J121" s="541"/>
      <c r="K121" s="541"/>
      <c r="L121" s="541"/>
      <c r="M121" s="541"/>
      <c r="N121" s="541"/>
      <c r="O121" s="541"/>
      <c r="P121" s="541"/>
      <c r="Q121" s="542"/>
      <c r="R121" s="542"/>
      <c r="S121" s="543"/>
    </row>
    <row r="122" spans="2:19" ht="16.5" customHeight="1">
      <c r="B122" s="541"/>
      <c r="C122" s="541"/>
      <c r="D122" s="541"/>
      <c r="E122" s="541"/>
      <c r="F122" s="541"/>
      <c r="G122" s="541"/>
      <c r="H122" s="541"/>
      <c r="I122" s="541"/>
      <c r="J122" s="541"/>
      <c r="K122" s="541"/>
      <c r="L122" s="541"/>
      <c r="M122" s="541"/>
      <c r="N122" s="541"/>
      <c r="O122" s="541"/>
      <c r="P122" s="541"/>
      <c r="Q122" s="542"/>
      <c r="R122" s="542"/>
      <c r="S122" s="543"/>
    </row>
    <row r="123" spans="2:19" ht="16.5" customHeight="1">
      <c r="B123" s="541"/>
      <c r="C123" s="541"/>
      <c r="D123" s="541"/>
      <c r="E123" s="541"/>
      <c r="F123" s="541"/>
      <c r="G123" s="541"/>
      <c r="H123" s="541"/>
      <c r="I123" s="541"/>
      <c r="J123" s="541"/>
      <c r="K123" s="541"/>
      <c r="L123" s="541"/>
      <c r="M123" s="541"/>
      <c r="N123" s="541"/>
      <c r="O123" s="541"/>
      <c r="P123" s="541"/>
      <c r="Q123" s="542"/>
      <c r="R123" s="542"/>
      <c r="S123" s="543"/>
    </row>
    <row r="124" spans="2:19" ht="16.5" customHeight="1">
      <c r="B124" s="541"/>
      <c r="C124" s="541"/>
      <c r="D124" s="541"/>
      <c r="E124" s="541"/>
      <c r="F124" s="541"/>
      <c r="G124" s="541"/>
      <c r="H124" s="541"/>
      <c r="I124" s="541"/>
      <c r="J124" s="541"/>
      <c r="K124" s="541"/>
      <c r="L124" s="541"/>
      <c r="M124" s="541"/>
      <c r="N124" s="541"/>
      <c r="O124" s="541"/>
      <c r="P124" s="541"/>
      <c r="Q124" s="542"/>
      <c r="R124" s="542"/>
      <c r="S124" s="543"/>
    </row>
    <row r="125" spans="2:19" ht="16.5" customHeight="1">
      <c r="B125" s="541"/>
      <c r="C125" s="541"/>
      <c r="D125" s="541"/>
      <c r="E125" s="541"/>
      <c r="F125" s="541"/>
      <c r="G125" s="541"/>
      <c r="H125" s="541"/>
      <c r="I125" s="541"/>
      <c r="J125" s="541"/>
      <c r="K125" s="541"/>
      <c r="L125" s="541"/>
      <c r="M125" s="541"/>
      <c r="N125" s="541"/>
      <c r="O125" s="541"/>
      <c r="P125" s="541"/>
      <c r="Q125" s="542"/>
      <c r="R125" s="542"/>
      <c r="S125" s="543"/>
    </row>
    <row r="126" spans="2:19" ht="16.5" customHeight="1">
      <c r="B126" s="541"/>
      <c r="C126" s="541"/>
      <c r="D126" s="541"/>
      <c r="E126" s="541"/>
      <c r="F126" s="541"/>
      <c r="G126" s="541"/>
      <c r="H126" s="541"/>
      <c r="I126" s="541"/>
      <c r="J126" s="541"/>
      <c r="K126" s="541"/>
      <c r="L126" s="541"/>
      <c r="M126" s="541"/>
      <c r="N126" s="541"/>
      <c r="O126" s="541"/>
      <c r="P126" s="541"/>
      <c r="Q126" s="542"/>
      <c r="R126" s="542"/>
      <c r="S126" s="543"/>
    </row>
    <row r="127" spans="2:19" ht="16.5" customHeight="1">
      <c r="B127" s="541"/>
      <c r="C127" s="541"/>
      <c r="D127" s="541"/>
      <c r="E127" s="541"/>
      <c r="F127" s="541"/>
      <c r="G127" s="541"/>
      <c r="H127" s="541"/>
      <c r="I127" s="541"/>
      <c r="J127" s="541"/>
      <c r="K127" s="541"/>
      <c r="L127" s="541"/>
      <c r="M127" s="541"/>
      <c r="N127" s="541"/>
      <c r="O127" s="541"/>
      <c r="P127" s="541"/>
      <c r="Q127" s="542"/>
      <c r="R127" s="542"/>
      <c r="S127" s="543"/>
    </row>
    <row r="128" spans="2:19" ht="16.5" customHeight="1">
      <c r="B128" s="541"/>
      <c r="C128" s="541"/>
      <c r="D128" s="541"/>
      <c r="E128" s="541"/>
      <c r="F128" s="541"/>
      <c r="G128" s="541"/>
      <c r="H128" s="541"/>
      <c r="I128" s="541"/>
      <c r="J128" s="541"/>
      <c r="K128" s="541"/>
      <c r="L128" s="541"/>
      <c r="M128" s="541"/>
      <c r="N128" s="541"/>
      <c r="O128" s="541"/>
      <c r="P128" s="541"/>
      <c r="Q128" s="542"/>
      <c r="R128" s="542"/>
      <c r="S128" s="543"/>
    </row>
    <row r="129" spans="2:19" ht="16.5" customHeight="1">
      <c r="B129" s="541"/>
      <c r="C129" s="541"/>
      <c r="D129" s="541"/>
      <c r="E129" s="541"/>
      <c r="F129" s="541"/>
      <c r="G129" s="541"/>
      <c r="H129" s="541"/>
      <c r="I129" s="541"/>
      <c r="J129" s="541"/>
      <c r="K129" s="541"/>
      <c r="L129" s="541"/>
      <c r="M129" s="541"/>
      <c r="N129" s="541"/>
      <c r="O129" s="541"/>
      <c r="P129" s="541"/>
      <c r="Q129" s="542"/>
      <c r="R129" s="542"/>
      <c r="S129" s="543"/>
    </row>
    <row r="130" spans="2:19" ht="16.5" customHeight="1">
      <c r="B130" s="541"/>
      <c r="C130" s="541"/>
      <c r="D130" s="541"/>
      <c r="E130" s="541"/>
      <c r="F130" s="541"/>
      <c r="G130" s="541"/>
      <c r="H130" s="541"/>
      <c r="I130" s="541"/>
      <c r="J130" s="541"/>
      <c r="K130" s="541"/>
      <c r="L130" s="541"/>
      <c r="M130" s="541"/>
      <c r="N130" s="541"/>
      <c r="O130" s="541"/>
      <c r="P130" s="541"/>
      <c r="Q130" s="542"/>
      <c r="R130" s="542"/>
      <c r="S130" s="543"/>
    </row>
    <row r="131" spans="2:19" ht="16.5" customHeight="1">
      <c r="B131" s="541"/>
      <c r="C131" s="541"/>
      <c r="D131" s="541"/>
      <c r="E131" s="541"/>
      <c r="F131" s="541"/>
      <c r="G131" s="541"/>
      <c r="H131" s="541"/>
      <c r="I131" s="541"/>
      <c r="J131" s="541"/>
      <c r="K131" s="541"/>
      <c r="L131" s="541"/>
      <c r="M131" s="541"/>
      <c r="N131" s="541"/>
      <c r="O131" s="541"/>
      <c r="P131" s="541"/>
      <c r="Q131" s="542"/>
      <c r="R131" s="542"/>
      <c r="S131" s="543"/>
    </row>
    <row r="132" spans="2:19" ht="16.5" customHeight="1">
      <c r="B132" s="541"/>
      <c r="C132" s="541"/>
      <c r="D132" s="541"/>
      <c r="E132" s="541"/>
      <c r="F132" s="541"/>
      <c r="G132" s="541"/>
      <c r="H132" s="541"/>
      <c r="I132" s="541"/>
      <c r="J132" s="541"/>
      <c r="K132" s="541"/>
      <c r="L132" s="541"/>
      <c r="M132" s="541"/>
      <c r="N132" s="541"/>
      <c r="O132" s="541"/>
      <c r="P132" s="541"/>
      <c r="Q132" s="542"/>
      <c r="R132" s="542"/>
      <c r="S132" s="543"/>
    </row>
    <row r="133" spans="2:19" ht="16.5" customHeight="1">
      <c r="B133" s="541"/>
      <c r="C133" s="541"/>
      <c r="D133" s="541"/>
      <c r="E133" s="541"/>
      <c r="F133" s="541"/>
      <c r="G133" s="541"/>
      <c r="H133" s="541"/>
      <c r="I133" s="541"/>
      <c r="J133" s="541"/>
      <c r="K133" s="541"/>
      <c r="L133" s="541"/>
      <c r="M133" s="541"/>
      <c r="N133" s="541"/>
      <c r="O133" s="541"/>
      <c r="P133" s="541"/>
      <c r="Q133" s="542"/>
      <c r="R133" s="542"/>
      <c r="S133" s="543"/>
    </row>
    <row r="134" spans="2:19" ht="16.5" customHeight="1">
      <c r="B134" s="541"/>
      <c r="C134" s="541"/>
      <c r="D134" s="541"/>
      <c r="E134" s="541"/>
      <c r="F134" s="541"/>
      <c r="G134" s="541"/>
      <c r="H134" s="541"/>
      <c r="I134" s="541"/>
      <c r="J134" s="541"/>
      <c r="K134" s="541"/>
      <c r="L134" s="541"/>
      <c r="M134" s="541"/>
      <c r="N134" s="541"/>
      <c r="O134" s="541"/>
      <c r="P134" s="541"/>
      <c r="Q134" s="542"/>
      <c r="R134" s="542"/>
      <c r="S134" s="543"/>
    </row>
    <row r="135" spans="2:19" ht="16.5" customHeight="1">
      <c r="B135" s="541"/>
      <c r="C135" s="541"/>
      <c r="D135" s="541"/>
      <c r="E135" s="541"/>
      <c r="F135" s="541"/>
      <c r="G135" s="541"/>
      <c r="H135" s="541"/>
      <c r="I135" s="541"/>
      <c r="J135" s="541"/>
      <c r="K135" s="541"/>
      <c r="L135" s="541"/>
      <c r="M135" s="541"/>
      <c r="N135" s="541"/>
      <c r="O135" s="541"/>
      <c r="P135" s="541"/>
      <c r="Q135" s="542"/>
      <c r="R135" s="542"/>
      <c r="S135" s="543"/>
    </row>
    <row r="136" spans="2:19" ht="16.5" customHeight="1">
      <c r="B136" s="541"/>
      <c r="C136" s="541"/>
      <c r="D136" s="541"/>
      <c r="E136" s="541"/>
      <c r="F136" s="541"/>
      <c r="G136" s="541"/>
      <c r="H136" s="541"/>
      <c r="I136" s="541"/>
      <c r="J136" s="541"/>
      <c r="K136" s="541"/>
      <c r="L136" s="541"/>
      <c r="M136" s="541"/>
      <c r="N136" s="541"/>
      <c r="O136" s="541"/>
      <c r="P136" s="541"/>
      <c r="Q136" s="542"/>
      <c r="R136" s="542"/>
      <c r="S136" s="543"/>
    </row>
    <row r="137" spans="2:19" ht="16.5" customHeight="1">
      <c r="B137" s="541"/>
      <c r="C137" s="541"/>
      <c r="D137" s="541"/>
      <c r="E137" s="541"/>
      <c r="F137" s="541"/>
      <c r="G137" s="541"/>
      <c r="H137" s="541"/>
      <c r="I137" s="541"/>
      <c r="J137" s="541"/>
      <c r="K137" s="541"/>
      <c r="L137" s="541"/>
      <c r="M137" s="541"/>
      <c r="N137" s="541"/>
      <c r="O137" s="541"/>
      <c r="P137" s="541"/>
      <c r="Q137" s="542"/>
      <c r="R137" s="542"/>
      <c r="S137" s="543"/>
    </row>
    <row r="138" spans="2:19" ht="16.5" customHeight="1">
      <c r="B138" s="541"/>
      <c r="C138" s="541"/>
      <c r="D138" s="541"/>
      <c r="E138" s="541"/>
      <c r="F138" s="541"/>
      <c r="G138" s="541"/>
      <c r="H138" s="541"/>
      <c r="I138" s="541"/>
      <c r="J138" s="541"/>
      <c r="K138" s="541"/>
      <c r="L138" s="541"/>
      <c r="M138" s="541"/>
      <c r="N138" s="541"/>
      <c r="O138" s="541"/>
      <c r="P138" s="541"/>
      <c r="Q138" s="542"/>
      <c r="R138" s="542"/>
      <c r="S138" s="543"/>
    </row>
    <row r="139" spans="2:19" ht="16.5" customHeight="1">
      <c r="B139" s="541"/>
      <c r="C139" s="541"/>
      <c r="D139" s="541"/>
      <c r="E139" s="541"/>
      <c r="F139" s="541"/>
      <c r="G139" s="541"/>
      <c r="H139" s="541"/>
      <c r="I139" s="541"/>
      <c r="J139" s="541"/>
      <c r="K139" s="541"/>
      <c r="L139" s="541"/>
      <c r="M139" s="541"/>
      <c r="N139" s="541"/>
      <c r="O139" s="541"/>
      <c r="P139" s="541"/>
      <c r="Q139" s="542"/>
      <c r="R139" s="542"/>
      <c r="S139" s="543"/>
    </row>
    <row r="140" spans="2:19" ht="16.5" customHeight="1">
      <c r="B140" s="541"/>
      <c r="C140" s="541"/>
      <c r="D140" s="541"/>
      <c r="E140" s="541"/>
      <c r="F140" s="541"/>
      <c r="G140" s="541"/>
      <c r="H140" s="541"/>
      <c r="I140" s="541"/>
      <c r="J140" s="541"/>
      <c r="K140" s="541"/>
      <c r="L140" s="541"/>
      <c r="M140" s="541"/>
      <c r="N140" s="541"/>
      <c r="O140" s="541"/>
      <c r="P140" s="541"/>
      <c r="Q140" s="542"/>
      <c r="R140" s="542"/>
      <c r="S140" s="543"/>
    </row>
    <row r="141" spans="2:19" ht="16.5" customHeight="1">
      <c r="B141" s="541"/>
      <c r="C141" s="541"/>
      <c r="D141" s="541"/>
      <c r="E141" s="541"/>
      <c r="F141" s="541"/>
      <c r="G141" s="541"/>
      <c r="H141" s="541"/>
      <c r="I141" s="541"/>
      <c r="J141" s="541"/>
      <c r="K141" s="541"/>
      <c r="L141" s="541"/>
      <c r="M141" s="541"/>
      <c r="N141" s="541"/>
      <c r="O141" s="541"/>
      <c r="P141" s="541"/>
      <c r="Q141" s="542"/>
      <c r="R141" s="542"/>
      <c r="S141" s="543"/>
    </row>
    <row r="142" spans="2:19" ht="16.5" customHeight="1">
      <c r="B142" s="541"/>
      <c r="C142" s="541"/>
      <c r="D142" s="541"/>
      <c r="E142" s="541"/>
      <c r="F142" s="541"/>
      <c r="G142" s="541"/>
      <c r="H142" s="541"/>
      <c r="I142" s="541"/>
      <c r="J142" s="541"/>
      <c r="K142" s="541"/>
      <c r="L142" s="541"/>
      <c r="M142" s="541"/>
      <c r="N142" s="541"/>
      <c r="O142" s="541"/>
      <c r="P142" s="541"/>
      <c r="Q142" s="542"/>
      <c r="R142" s="542"/>
      <c r="S142" s="543"/>
    </row>
    <row r="143" spans="2:19" ht="16.5" customHeight="1">
      <c r="B143" s="541"/>
      <c r="C143" s="541"/>
      <c r="D143" s="541"/>
      <c r="E143" s="541"/>
      <c r="F143" s="541"/>
      <c r="G143" s="541"/>
      <c r="H143" s="541"/>
      <c r="I143" s="541"/>
      <c r="J143" s="541"/>
      <c r="K143" s="541"/>
      <c r="L143" s="541"/>
      <c r="M143" s="541"/>
      <c r="N143" s="541"/>
      <c r="O143" s="541"/>
      <c r="P143" s="541"/>
      <c r="Q143" s="542"/>
      <c r="R143" s="542"/>
      <c r="S143" s="543"/>
    </row>
    <row r="144" spans="2:19" ht="16.5" customHeight="1">
      <c r="B144" s="541"/>
      <c r="C144" s="541"/>
      <c r="D144" s="541"/>
      <c r="E144" s="541"/>
      <c r="F144" s="541"/>
      <c r="G144" s="541"/>
      <c r="H144" s="541"/>
      <c r="I144" s="541"/>
      <c r="J144" s="541"/>
      <c r="K144" s="541"/>
      <c r="L144" s="541"/>
      <c r="M144" s="541"/>
      <c r="N144" s="541"/>
      <c r="O144" s="541"/>
      <c r="P144" s="541"/>
      <c r="Q144" s="542"/>
      <c r="R144" s="542"/>
      <c r="S144" s="543"/>
    </row>
    <row r="145" spans="2:19" ht="16.5" customHeight="1">
      <c r="B145" s="541"/>
      <c r="C145" s="541"/>
      <c r="D145" s="541"/>
      <c r="E145" s="541"/>
      <c r="F145" s="541"/>
      <c r="G145" s="541"/>
      <c r="H145" s="541"/>
      <c r="I145" s="541"/>
      <c r="J145" s="541"/>
      <c r="K145" s="541"/>
      <c r="L145" s="541"/>
      <c r="M145" s="541"/>
      <c r="N145" s="541"/>
      <c r="O145" s="541"/>
      <c r="P145" s="541"/>
      <c r="Q145" s="542"/>
      <c r="R145" s="542"/>
      <c r="S145" s="543"/>
    </row>
    <row r="146" spans="2:19" ht="16.5" customHeight="1">
      <c r="B146" s="541"/>
      <c r="C146" s="541"/>
      <c r="D146" s="541"/>
      <c r="E146" s="541"/>
      <c r="F146" s="541"/>
      <c r="G146" s="541"/>
      <c r="H146" s="541"/>
      <c r="I146" s="541"/>
      <c r="J146" s="541"/>
      <c r="K146" s="541"/>
      <c r="L146" s="541"/>
      <c r="M146" s="541"/>
      <c r="N146" s="541"/>
      <c r="O146" s="541"/>
      <c r="P146" s="541"/>
      <c r="Q146" s="542"/>
      <c r="R146" s="542"/>
      <c r="S146" s="543"/>
    </row>
    <row r="147" spans="2:19" ht="16.5" customHeight="1">
      <c r="B147" s="541"/>
      <c r="C147" s="541"/>
      <c r="D147" s="541"/>
      <c r="E147" s="541"/>
      <c r="F147" s="541"/>
      <c r="G147" s="541"/>
      <c r="H147" s="541"/>
      <c r="I147" s="541"/>
      <c r="J147" s="541"/>
      <c r="K147" s="541"/>
      <c r="L147" s="541"/>
      <c r="M147" s="541"/>
      <c r="N147" s="541"/>
      <c r="O147" s="541"/>
      <c r="P147" s="541"/>
      <c r="Q147" s="542"/>
      <c r="R147" s="542"/>
      <c r="S147" s="543"/>
    </row>
    <row r="148" spans="2:19" ht="16.5" customHeight="1">
      <c r="B148" s="541"/>
      <c r="C148" s="541"/>
      <c r="D148" s="541"/>
      <c r="E148" s="541"/>
      <c r="F148" s="541"/>
      <c r="G148" s="541"/>
      <c r="H148" s="541"/>
      <c r="I148" s="541"/>
      <c r="J148" s="541"/>
      <c r="K148" s="541"/>
      <c r="L148" s="541"/>
      <c r="M148" s="541"/>
      <c r="N148" s="541"/>
      <c r="O148" s="541"/>
      <c r="P148" s="541"/>
      <c r="Q148" s="542"/>
      <c r="R148" s="542"/>
      <c r="S148" s="543"/>
    </row>
    <row r="149" spans="2:19" ht="16.5" customHeight="1">
      <c r="B149" s="541"/>
      <c r="C149" s="541"/>
      <c r="D149" s="541"/>
      <c r="E149" s="541"/>
      <c r="F149" s="541"/>
      <c r="G149" s="541"/>
      <c r="H149" s="541"/>
      <c r="I149" s="541"/>
      <c r="J149" s="541"/>
      <c r="K149" s="541"/>
      <c r="L149" s="541"/>
      <c r="M149" s="541"/>
      <c r="N149" s="541"/>
      <c r="O149" s="541"/>
      <c r="P149" s="541"/>
      <c r="Q149" s="542"/>
      <c r="R149" s="542"/>
      <c r="S149" s="543"/>
    </row>
    <row r="150" spans="2:19" ht="16.5" customHeight="1">
      <c r="B150" s="541"/>
      <c r="C150" s="541"/>
      <c r="D150" s="541"/>
      <c r="E150" s="541"/>
      <c r="F150" s="541"/>
      <c r="G150" s="541"/>
      <c r="H150" s="541"/>
      <c r="I150" s="541"/>
      <c r="J150" s="541"/>
      <c r="K150" s="541"/>
      <c r="L150" s="541"/>
      <c r="M150" s="541"/>
      <c r="N150" s="541"/>
      <c r="O150" s="541"/>
      <c r="P150" s="541"/>
      <c r="Q150" s="542"/>
      <c r="R150" s="542"/>
      <c r="S150" s="543"/>
    </row>
    <row r="151" spans="2:19" ht="16.5" customHeight="1">
      <c r="B151" s="541"/>
      <c r="C151" s="541"/>
      <c r="D151" s="541"/>
      <c r="E151" s="541"/>
      <c r="F151" s="541"/>
      <c r="G151" s="541"/>
      <c r="H151" s="541"/>
      <c r="I151" s="541"/>
      <c r="J151" s="541"/>
      <c r="K151" s="541"/>
      <c r="L151" s="541"/>
      <c r="M151" s="541"/>
      <c r="N151" s="541"/>
      <c r="O151" s="541"/>
      <c r="P151" s="541"/>
      <c r="Q151" s="542"/>
      <c r="R151" s="542"/>
      <c r="S151" s="543"/>
    </row>
    <row r="152" spans="2:19" ht="16.5" customHeight="1">
      <c r="B152" s="541"/>
      <c r="C152" s="541"/>
      <c r="D152" s="541"/>
      <c r="E152" s="541"/>
      <c r="F152" s="541"/>
      <c r="G152" s="541"/>
      <c r="H152" s="541"/>
      <c r="I152" s="541"/>
      <c r="J152" s="541"/>
      <c r="K152" s="541"/>
      <c r="L152" s="541"/>
      <c r="M152" s="541"/>
      <c r="N152" s="541"/>
      <c r="O152" s="541"/>
      <c r="P152" s="541"/>
      <c r="Q152" s="542"/>
      <c r="R152" s="542"/>
      <c r="S152" s="543"/>
    </row>
    <row r="153" spans="2:19" ht="16.5" customHeight="1">
      <c r="B153" s="541"/>
      <c r="C153" s="541"/>
      <c r="D153" s="541"/>
      <c r="E153" s="541"/>
      <c r="F153" s="541"/>
      <c r="G153" s="541"/>
      <c r="H153" s="541"/>
      <c r="I153" s="541"/>
      <c r="J153" s="541"/>
      <c r="K153" s="541"/>
      <c r="L153" s="541"/>
      <c r="M153" s="541"/>
      <c r="N153" s="541"/>
      <c r="O153" s="541"/>
      <c r="P153" s="541"/>
      <c r="Q153" s="542"/>
      <c r="R153" s="542"/>
      <c r="S153" s="543"/>
    </row>
    <row r="154" spans="2:19" ht="16.5" customHeight="1">
      <c r="B154" s="541"/>
      <c r="C154" s="541"/>
      <c r="D154" s="541"/>
      <c r="E154" s="541"/>
      <c r="F154" s="541"/>
      <c r="G154" s="541"/>
      <c r="H154" s="541"/>
      <c r="I154" s="541"/>
      <c r="J154" s="541"/>
      <c r="K154" s="541"/>
      <c r="L154" s="541"/>
      <c r="M154" s="541"/>
      <c r="N154" s="541"/>
      <c r="O154" s="541"/>
      <c r="P154" s="541"/>
      <c r="Q154" s="542"/>
      <c r="R154" s="542"/>
      <c r="S154" s="543"/>
    </row>
    <row r="155" spans="2:19" ht="16.5" customHeight="1">
      <c r="B155" s="541"/>
      <c r="C155" s="541"/>
      <c r="D155" s="541"/>
      <c r="E155" s="541"/>
      <c r="F155" s="541"/>
      <c r="G155" s="541"/>
      <c r="H155" s="541"/>
      <c r="I155" s="541"/>
      <c r="J155" s="541"/>
      <c r="K155" s="541"/>
      <c r="L155" s="541"/>
      <c r="M155" s="541"/>
      <c r="N155" s="541"/>
      <c r="O155" s="541"/>
      <c r="P155" s="541"/>
      <c r="Q155" s="542"/>
      <c r="R155" s="542"/>
      <c r="S155" s="543"/>
    </row>
    <row r="156" spans="2:19" ht="16.5" customHeight="1">
      <c r="B156" s="541"/>
      <c r="C156" s="541"/>
      <c r="D156" s="541"/>
      <c r="E156" s="541"/>
      <c r="F156" s="541"/>
      <c r="G156" s="541"/>
      <c r="H156" s="541"/>
      <c r="I156" s="541"/>
      <c r="J156" s="541"/>
      <c r="K156" s="541"/>
      <c r="L156" s="541"/>
      <c r="M156" s="541"/>
      <c r="N156" s="541"/>
      <c r="O156" s="541"/>
      <c r="P156" s="541"/>
      <c r="Q156" s="542"/>
      <c r="R156" s="542"/>
      <c r="S156" s="543"/>
    </row>
    <row r="157" spans="2:19" ht="16.5" customHeight="1">
      <c r="B157" s="541"/>
      <c r="C157" s="541"/>
      <c r="D157" s="541"/>
      <c r="E157" s="541"/>
      <c r="F157" s="541"/>
      <c r="G157" s="541"/>
      <c r="H157" s="541"/>
      <c r="I157" s="541"/>
      <c r="J157" s="541"/>
      <c r="K157" s="541"/>
      <c r="L157" s="541"/>
      <c r="M157" s="541"/>
      <c r="N157" s="541"/>
      <c r="O157" s="541"/>
      <c r="P157" s="541"/>
      <c r="Q157" s="542"/>
      <c r="R157" s="542"/>
      <c r="S157" s="543"/>
    </row>
    <row r="158" spans="2:19" ht="16.5" customHeight="1">
      <c r="B158" s="541"/>
      <c r="C158" s="541"/>
      <c r="D158" s="541"/>
      <c r="E158" s="541"/>
      <c r="F158" s="541"/>
      <c r="G158" s="541"/>
      <c r="H158" s="541"/>
      <c r="I158" s="541"/>
      <c r="J158" s="541"/>
      <c r="K158" s="541"/>
      <c r="L158" s="541"/>
      <c r="M158" s="541"/>
      <c r="N158" s="541"/>
      <c r="O158" s="541"/>
      <c r="P158" s="541"/>
      <c r="Q158" s="542"/>
      <c r="R158" s="542"/>
      <c r="S158" s="543"/>
    </row>
    <row r="159" spans="2:19" ht="16.5" customHeight="1">
      <c r="B159" s="541"/>
      <c r="C159" s="541"/>
      <c r="D159" s="541"/>
      <c r="E159" s="541"/>
      <c r="F159" s="541"/>
      <c r="G159" s="541"/>
      <c r="H159" s="541"/>
      <c r="I159" s="541"/>
      <c r="J159" s="541"/>
      <c r="K159" s="541"/>
      <c r="L159" s="541"/>
      <c r="M159" s="541"/>
      <c r="N159" s="541"/>
      <c r="O159" s="541"/>
      <c r="P159" s="541"/>
      <c r="Q159" s="542"/>
      <c r="R159" s="542"/>
      <c r="S159" s="543"/>
    </row>
    <row r="160" spans="2:19" ht="16.5" customHeight="1">
      <c r="B160" s="541"/>
      <c r="C160" s="541"/>
      <c r="D160" s="541"/>
      <c r="E160" s="541"/>
      <c r="F160" s="541"/>
      <c r="G160" s="541"/>
      <c r="H160" s="541"/>
      <c r="I160" s="541"/>
      <c r="J160" s="541"/>
      <c r="K160" s="541"/>
      <c r="L160" s="541"/>
      <c r="M160" s="541"/>
      <c r="N160" s="541"/>
      <c r="O160" s="541"/>
      <c r="P160" s="541"/>
      <c r="Q160" s="542"/>
      <c r="R160" s="542"/>
      <c r="S160" s="543"/>
    </row>
    <row r="161" spans="2:19" ht="16.5" customHeight="1">
      <c r="B161" s="541"/>
      <c r="C161" s="541"/>
      <c r="D161" s="541"/>
      <c r="E161" s="541"/>
      <c r="F161" s="541"/>
      <c r="G161" s="541"/>
      <c r="H161" s="541"/>
      <c r="I161" s="541"/>
      <c r="J161" s="541"/>
      <c r="K161" s="541"/>
      <c r="L161" s="541"/>
      <c r="M161" s="541"/>
      <c r="N161" s="541"/>
      <c r="O161" s="541"/>
      <c r="P161" s="541"/>
      <c r="Q161" s="542"/>
      <c r="R161" s="542"/>
      <c r="S161" s="543"/>
    </row>
    <row r="162" spans="2:19" ht="16.5" customHeight="1">
      <c r="B162" s="541"/>
      <c r="C162" s="541"/>
      <c r="D162" s="541"/>
      <c r="E162" s="541"/>
      <c r="F162" s="541"/>
      <c r="G162" s="541"/>
      <c r="H162" s="541"/>
      <c r="I162" s="541"/>
      <c r="J162" s="541"/>
      <c r="K162" s="541"/>
      <c r="L162" s="541"/>
      <c r="M162" s="541"/>
      <c r="N162" s="541"/>
      <c r="O162" s="541"/>
      <c r="P162" s="541"/>
      <c r="Q162" s="542"/>
      <c r="R162" s="542"/>
      <c r="S162" s="543"/>
    </row>
    <row r="163" spans="2:19" ht="16.5" customHeight="1">
      <c r="B163" s="541"/>
      <c r="C163" s="541"/>
      <c r="D163" s="541"/>
      <c r="E163" s="541"/>
      <c r="F163" s="541"/>
      <c r="G163" s="541"/>
      <c r="H163" s="541"/>
      <c r="I163" s="541"/>
      <c r="J163" s="541"/>
      <c r="K163" s="541"/>
      <c r="L163" s="541"/>
      <c r="M163" s="541"/>
      <c r="N163" s="541"/>
      <c r="O163" s="541"/>
      <c r="P163" s="541"/>
      <c r="Q163" s="542"/>
      <c r="R163" s="542"/>
      <c r="S163" s="543"/>
    </row>
    <row r="164" spans="2:19" ht="16.5" customHeight="1">
      <c r="B164" s="541"/>
      <c r="C164" s="541"/>
      <c r="D164" s="541"/>
      <c r="E164" s="541"/>
      <c r="F164" s="541"/>
      <c r="G164" s="541"/>
      <c r="H164" s="541"/>
      <c r="I164" s="541"/>
      <c r="J164" s="541"/>
      <c r="K164" s="541"/>
      <c r="L164" s="541"/>
      <c r="M164" s="541"/>
      <c r="N164" s="541"/>
      <c r="O164" s="541"/>
      <c r="P164" s="541"/>
      <c r="Q164" s="542"/>
      <c r="R164" s="542"/>
      <c r="S164" s="543"/>
    </row>
    <row r="165" spans="2:19" ht="16.5" customHeight="1">
      <c r="B165" s="541"/>
      <c r="C165" s="541"/>
      <c r="D165" s="541"/>
      <c r="E165" s="541"/>
      <c r="F165" s="541"/>
      <c r="G165" s="541"/>
      <c r="H165" s="541"/>
      <c r="I165" s="541"/>
      <c r="J165" s="541"/>
      <c r="K165" s="541"/>
      <c r="L165" s="541"/>
      <c r="M165" s="541"/>
      <c r="N165" s="541"/>
      <c r="O165" s="541"/>
      <c r="P165" s="541"/>
      <c r="Q165" s="542"/>
      <c r="R165" s="542"/>
      <c r="S165" s="543"/>
    </row>
    <row r="166" spans="2:19" ht="16.5" customHeight="1">
      <c r="B166" s="541"/>
      <c r="C166" s="541"/>
      <c r="D166" s="541"/>
      <c r="E166" s="541"/>
      <c r="F166" s="541"/>
      <c r="G166" s="541"/>
      <c r="H166" s="541"/>
      <c r="I166" s="541"/>
      <c r="J166" s="541"/>
      <c r="K166" s="541"/>
      <c r="L166" s="541"/>
      <c r="M166" s="541"/>
      <c r="N166" s="541"/>
      <c r="O166" s="541"/>
      <c r="P166" s="541"/>
      <c r="Q166" s="542"/>
      <c r="R166" s="542"/>
      <c r="S166" s="543"/>
    </row>
    <row r="167" spans="2:19" ht="16.5" customHeight="1">
      <c r="B167" s="541"/>
      <c r="C167" s="541"/>
      <c r="D167" s="541"/>
      <c r="E167" s="541"/>
      <c r="F167" s="541"/>
      <c r="G167" s="541"/>
      <c r="H167" s="541"/>
      <c r="I167" s="541"/>
      <c r="J167" s="541"/>
      <c r="K167" s="541"/>
      <c r="L167" s="541"/>
      <c r="M167" s="541"/>
      <c r="N167" s="541"/>
      <c r="O167" s="541"/>
      <c r="P167" s="541"/>
      <c r="Q167" s="542"/>
      <c r="R167" s="542"/>
      <c r="S167" s="543"/>
    </row>
    <row r="168" spans="2:19" ht="16.5" customHeight="1">
      <c r="B168" s="541"/>
      <c r="C168" s="541"/>
      <c r="D168" s="541"/>
      <c r="E168" s="541"/>
      <c r="F168" s="541"/>
      <c r="G168" s="541"/>
      <c r="H168" s="541"/>
      <c r="I168" s="541"/>
      <c r="J168" s="541"/>
      <c r="K168" s="541"/>
      <c r="L168" s="541"/>
      <c r="M168" s="541"/>
      <c r="N168" s="541"/>
      <c r="O168" s="541"/>
      <c r="P168" s="541"/>
      <c r="Q168" s="542"/>
      <c r="R168" s="542"/>
      <c r="S168" s="543"/>
    </row>
    <row r="169" spans="2:19" ht="16.5" customHeight="1">
      <c r="B169" s="541"/>
      <c r="C169" s="541"/>
      <c r="D169" s="541"/>
      <c r="E169" s="541"/>
      <c r="F169" s="541"/>
      <c r="G169" s="541"/>
      <c r="H169" s="541"/>
      <c r="I169" s="541"/>
      <c r="J169" s="541"/>
      <c r="K169" s="541"/>
      <c r="L169" s="541"/>
      <c r="M169" s="541"/>
      <c r="N169" s="541"/>
      <c r="O169" s="541"/>
      <c r="P169" s="541"/>
      <c r="Q169" s="542"/>
      <c r="R169" s="542"/>
      <c r="S169" s="543"/>
    </row>
    <row r="170" spans="2:19" ht="16.5" customHeight="1">
      <c r="B170" s="541"/>
      <c r="C170" s="541"/>
      <c r="D170" s="541"/>
      <c r="E170" s="541"/>
      <c r="F170" s="541"/>
      <c r="G170" s="541"/>
      <c r="H170" s="541"/>
      <c r="I170" s="541"/>
      <c r="J170" s="541"/>
      <c r="K170" s="541"/>
      <c r="L170" s="541"/>
      <c r="M170" s="541"/>
      <c r="N170" s="541"/>
      <c r="O170" s="541"/>
      <c r="P170" s="541"/>
      <c r="Q170" s="542"/>
      <c r="R170" s="542"/>
      <c r="S170" s="543"/>
    </row>
    <row r="171" spans="2:19" ht="16.5" customHeight="1">
      <c r="B171" s="541"/>
      <c r="C171" s="541"/>
      <c r="D171" s="541"/>
      <c r="E171" s="541"/>
      <c r="F171" s="541"/>
      <c r="G171" s="541"/>
      <c r="H171" s="541"/>
      <c r="I171" s="541"/>
      <c r="J171" s="541"/>
      <c r="K171" s="541"/>
      <c r="L171" s="541"/>
      <c r="M171" s="541"/>
      <c r="N171" s="541"/>
      <c r="O171" s="541"/>
      <c r="P171" s="541"/>
      <c r="Q171" s="542"/>
      <c r="R171" s="542"/>
      <c r="S171" s="543"/>
    </row>
    <row r="172" spans="2:19" ht="16.5" customHeight="1">
      <c r="B172" s="541"/>
      <c r="C172" s="541"/>
      <c r="D172" s="541"/>
      <c r="E172" s="541"/>
      <c r="F172" s="541"/>
      <c r="G172" s="541"/>
      <c r="H172" s="541"/>
      <c r="I172" s="541"/>
      <c r="J172" s="541"/>
      <c r="K172" s="541"/>
      <c r="L172" s="541"/>
      <c r="M172" s="541"/>
      <c r="N172" s="541"/>
      <c r="O172" s="541"/>
      <c r="P172" s="541"/>
      <c r="Q172" s="542"/>
      <c r="R172" s="542"/>
      <c r="S172" s="543"/>
    </row>
    <row r="173" spans="2:19" ht="16.5" customHeight="1">
      <c r="B173" s="541"/>
      <c r="C173" s="541"/>
      <c r="D173" s="541"/>
      <c r="E173" s="541"/>
      <c r="F173" s="541"/>
      <c r="G173" s="541"/>
      <c r="H173" s="541"/>
      <c r="I173" s="541"/>
      <c r="J173" s="541"/>
      <c r="K173" s="541"/>
      <c r="L173" s="541"/>
      <c r="M173" s="541"/>
      <c r="N173" s="541"/>
      <c r="O173" s="541"/>
      <c r="P173" s="541"/>
      <c r="Q173" s="542"/>
      <c r="R173" s="542"/>
      <c r="S173" s="543"/>
    </row>
    <row r="174" spans="2:19" ht="16.5" customHeight="1">
      <c r="B174" s="541"/>
      <c r="C174" s="541"/>
      <c r="D174" s="541"/>
      <c r="E174" s="541"/>
      <c r="F174" s="541"/>
      <c r="G174" s="541"/>
      <c r="H174" s="541"/>
      <c r="I174" s="541"/>
      <c r="J174" s="541"/>
      <c r="K174" s="541"/>
      <c r="L174" s="541"/>
      <c r="M174" s="541"/>
      <c r="N174" s="541"/>
      <c r="O174" s="541"/>
      <c r="P174" s="541"/>
      <c r="Q174" s="542"/>
      <c r="R174" s="542"/>
      <c r="S174" s="543"/>
    </row>
    <row r="175" spans="2:19" ht="16.5" customHeight="1">
      <c r="B175" s="541"/>
      <c r="C175" s="541"/>
      <c r="D175" s="541"/>
      <c r="E175" s="541"/>
      <c r="F175" s="541"/>
      <c r="G175" s="541"/>
      <c r="H175" s="541"/>
      <c r="I175" s="541"/>
      <c r="J175" s="541"/>
      <c r="K175" s="541"/>
      <c r="L175" s="541"/>
      <c r="M175" s="541"/>
      <c r="N175" s="541"/>
      <c r="O175" s="541"/>
      <c r="P175" s="541"/>
      <c r="Q175" s="542"/>
      <c r="R175" s="542"/>
      <c r="S175" s="543"/>
    </row>
    <row r="176" spans="2:19" ht="16.5" customHeight="1">
      <c r="B176" s="541"/>
      <c r="C176" s="541"/>
      <c r="D176" s="541"/>
      <c r="E176" s="541"/>
      <c r="F176" s="541"/>
      <c r="G176" s="541"/>
      <c r="H176" s="541"/>
      <c r="I176" s="541"/>
      <c r="J176" s="541"/>
      <c r="K176" s="541"/>
      <c r="L176" s="541"/>
      <c r="M176" s="541"/>
      <c r="N176" s="541"/>
      <c r="O176" s="541"/>
      <c r="P176" s="541"/>
      <c r="Q176" s="542"/>
      <c r="R176" s="542"/>
      <c r="S176" s="543"/>
    </row>
    <row r="177" spans="2:19" ht="16.5" customHeight="1">
      <c r="B177" s="541"/>
      <c r="C177" s="541"/>
      <c r="D177" s="541"/>
      <c r="E177" s="541"/>
      <c r="F177" s="541"/>
      <c r="G177" s="541"/>
      <c r="H177" s="541"/>
      <c r="I177" s="541"/>
      <c r="J177" s="541"/>
      <c r="K177" s="541"/>
      <c r="L177" s="541"/>
      <c r="M177" s="541"/>
      <c r="N177" s="541"/>
      <c r="O177" s="541"/>
      <c r="P177" s="541"/>
      <c r="Q177" s="542"/>
      <c r="R177" s="542"/>
      <c r="S177" s="543"/>
    </row>
    <row r="178" spans="2:19" ht="16.5" customHeight="1">
      <c r="B178" s="541"/>
      <c r="C178" s="541"/>
      <c r="D178" s="541"/>
      <c r="E178" s="541"/>
      <c r="F178" s="541"/>
      <c r="G178" s="541"/>
      <c r="H178" s="541"/>
      <c r="I178" s="541"/>
      <c r="J178" s="541"/>
      <c r="K178" s="541"/>
      <c r="L178" s="541"/>
      <c r="M178" s="541"/>
      <c r="N178" s="541"/>
      <c r="O178" s="541"/>
      <c r="P178" s="541"/>
      <c r="Q178" s="542"/>
      <c r="R178" s="542"/>
      <c r="S178" s="543"/>
    </row>
    <row r="179" spans="2:19" ht="16.5" customHeight="1">
      <c r="B179" s="541"/>
      <c r="C179" s="541"/>
      <c r="D179" s="541"/>
      <c r="E179" s="541"/>
      <c r="F179" s="541"/>
      <c r="G179" s="541"/>
      <c r="H179" s="541"/>
      <c r="I179" s="541"/>
      <c r="J179" s="541"/>
      <c r="K179" s="541"/>
      <c r="L179" s="541"/>
      <c r="M179" s="541"/>
      <c r="N179" s="541"/>
      <c r="O179" s="541"/>
      <c r="P179" s="541"/>
      <c r="Q179" s="542"/>
      <c r="R179" s="542"/>
      <c r="S179" s="543"/>
    </row>
    <row r="180" spans="2:19" ht="16.5" customHeight="1">
      <c r="B180" s="541"/>
      <c r="C180" s="541"/>
      <c r="D180" s="541"/>
      <c r="E180" s="541"/>
      <c r="F180" s="541"/>
      <c r="G180" s="541"/>
      <c r="H180" s="541"/>
      <c r="I180" s="541"/>
      <c r="J180" s="541"/>
      <c r="K180" s="541"/>
      <c r="L180" s="541"/>
      <c r="M180" s="541"/>
      <c r="N180" s="541"/>
      <c r="O180" s="541"/>
      <c r="P180" s="541"/>
      <c r="Q180" s="542"/>
      <c r="R180" s="542"/>
      <c r="S180" s="543"/>
    </row>
    <row r="181" spans="2:19" ht="16.5" customHeight="1">
      <c r="B181" s="541"/>
      <c r="C181" s="541"/>
      <c r="D181" s="541"/>
      <c r="E181" s="541"/>
      <c r="F181" s="541"/>
      <c r="G181" s="541"/>
      <c r="H181" s="541"/>
      <c r="I181" s="541"/>
      <c r="J181" s="541"/>
      <c r="K181" s="541"/>
      <c r="L181" s="541"/>
      <c r="M181" s="541"/>
      <c r="N181" s="541"/>
      <c r="O181" s="541"/>
      <c r="P181" s="541"/>
      <c r="Q181" s="542"/>
      <c r="R181" s="542"/>
      <c r="S181" s="543"/>
    </row>
    <row r="182" spans="2:19" ht="16.5" customHeight="1">
      <c r="B182" s="541"/>
      <c r="C182" s="541"/>
      <c r="D182" s="541"/>
      <c r="E182" s="541"/>
      <c r="F182" s="541"/>
      <c r="G182" s="541"/>
      <c r="H182" s="541"/>
      <c r="I182" s="541"/>
      <c r="J182" s="541"/>
      <c r="K182" s="541"/>
      <c r="L182" s="541"/>
      <c r="M182" s="541"/>
      <c r="N182" s="541"/>
      <c r="O182" s="541"/>
      <c r="P182" s="541"/>
      <c r="Q182" s="542"/>
      <c r="R182" s="542"/>
      <c r="S182" s="543"/>
    </row>
    <row r="183" spans="2:19" ht="16.5" customHeight="1">
      <c r="B183" s="541"/>
      <c r="C183" s="541"/>
      <c r="D183" s="541"/>
      <c r="E183" s="541"/>
      <c r="F183" s="541"/>
      <c r="G183" s="541"/>
      <c r="H183" s="541"/>
      <c r="I183" s="541"/>
      <c r="J183" s="541"/>
      <c r="K183" s="541"/>
      <c r="L183" s="541"/>
      <c r="M183" s="541"/>
      <c r="N183" s="541"/>
      <c r="O183" s="541"/>
      <c r="P183" s="541"/>
      <c r="Q183" s="542"/>
      <c r="R183" s="542"/>
      <c r="S183" s="543"/>
    </row>
    <row r="184" spans="2:19" ht="16.5" customHeight="1">
      <c r="B184" s="541"/>
      <c r="C184" s="541"/>
      <c r="D184" s="541"/>
      <c r="E184" s="541"/>
      <c r="F184" s="541"/>
      <c r="G184" s="541"/>
      <c r="H184" s="541"/>
      <c r="I184" s="541"/>
      <c r="J184" s="541"/>
      <c r="K184" s="541"/>
      <c r="L184" s="541"/>
      <c r="M184" s="541"/>
      <c r="N184" s="541"/>
      <c r="O184" s="541"/>
      <c r="P184" s="541"/>
      <c r="Q184" s="542"/>
      <c r="R184" s="542"/>
      <c r="S184" s="543"/>
    </row>
    <row r="185" spans="2:19" ht="16.5" customHeight="1">
      <c r="B185" s="541"/>
      <c r="C185" s="541"/>
      <c r="D185" s="541"/>
      <c r="E185" s="541"/>
      <c r="F185" s="541"/>
      <c r="G185" s="541"/>
      <c r="H185" s="541"/>
      <c r="I185" s="541"/>
      <c r="J185" s="541"/>
      <c r="K185" s="541"/>
      <c r="L185" s="541"/>
      <c r="M185" s="541"/>
      <c r="N185" s="541"/>
      <c r="O185" s="541"/>
      <c r="P185" s="541"/>
      <c r="Q185" s="542"/>
      <c r="R185" s="542"/>
      <c r="S185" s="543"/>
    </row>
    <row r="186" spans="2:19" ht="16.5" customHeight="1">
      <c r="B186" s="541"/>
      <c r="C186" s="541"/>
      <c r="D186" s="541"/>
      <c r="E186" s="541"/>
      <c r="F186" s="541"/>
      <c r="G186" s="541"/>
      <c r="H186" s="541"/>
      <c r="I186" s="541"/>
      <c r="J186" s="541"/>
      <c r="K186" s="541"/>
      <c r="L186" s="541"/>
      <c r="M186" s="541"/>
      <c r="N186" s="541"/>
      <c r="O186" s="541"/>
      <c r="P186" s="541"/>
      <c r="Q186" s="542"/>
      <c r="R186" s="542"/>
      <c r="S186" s="543"/>
    </row>
    <row r="187" spans="2:19" ht="16.5" customHeight="1">
      <c r="B187" s="541"/>
      <c r="C187" s="541"/>
      <c r="D187" s="541"/>
      <c r="E187" s="541"/>
      <c r="F187" s="541"/>
      <c r="G187" s="541"/>
      <c r="H187" s="541"/>
      <c r="I187" s="541"/>
      <c r="J187" s="541"/>
      <c r="K187" s="541"/>
      <c r="L187" s="541"/>
      <c r="M187" s="541"/>
      <c r="N187" s="541"/>
      <c r="O187" s="541"/>
      <c r="P187" s="541"/>
      <c r="Q187" s="542"/>
      <c r="R187" s="542"/>
      <c r="S187" s="543"/>
    </row>
    <row r="188" spans="2:19" ht="16.5" customHeight="1">
      <c r="B188" s="541"/>
      <c r="C188" s="541"/>
      <c r="D188" s="541"/>
      <c r="E188" s="541"/>
      <c r="F188" s="541"/>
      <c r="G188" s="541"/>
      <c r="H188" s="541"/>
      <c r="I188" s="541"/>
      <c r="J188" s="541"/>
      <c r="K188" s="541"/>
      <c r="L188" s="541"/>
      <c r="M188" s="541"/>
      <c r="N188" s="541"/>
      <c r="O188" s="541"/>
      <c r="P188" s="541"/>
      <c r="Q188" s="542"/>
      <c r="R188" s="542"/>
      <c r="S188" s="543"/>
    </row>
    <row r="189" spans="2:19" ht="16.5" customHeight="1">
      <c r="B189" s="541"/>
      <c r="C189" s="541"/>
      <c r="D189" s="541"/>
      <c r="E189" s="541"/>
      <c r="F189" s="541"/>
      <c r="G189" s="541"/>
      <c r="H189" s="541"/>
      <c r="I189" s="541"/>
      <c r="J189" s="541"/>
      <c r="K189" s="541"/>
      <c r="L189" s="541"/>
      <c r="M189" s="541"/>
      <c r="N189" s="541"/>
      <c r="O189" s="541"/>
      <c r="P189" s="541"/>
      <c r="Q189" s="542"/>
      <c r="R189" s="542"/>
      <c r="S189" s="543"/>
    </row>
    <row r="190" spans="2:19" ht="16.5" customHeight="1">
      <c r="B190" s="541"/>
      <c r="C190" s="541"/>
      <c r="D190" s="541"/>
      <c r="E190" s="541"/>
      <c r="F190" s="541"/>
      <c r="G190" s="541"/>
      <c r="H190" s="541"/>
      <c r="I190" s="541"/>
      <c r="J190" s="541"/>
      <c r="K190" s="541"/>
      <c r="L190" s="541"/>
      <c r="M190" s="541"/>
      <c r="N190" s="541"/>
      <c r="O190" s="541"/>
      <c r="P190" s="541"/>
      <c r="Q190" s="542"/>
      <c r="R190" s="542"/>
      <c r="S190" s="543"/>
    </row>
    <row r="191" spans="2:19" ht="16.5" customHeight="1">
      <c r="B191" s="541"/>
      <c r="C191" s="541"/>
      <c r="D191" s="541"/>
      <c r="E191" s="541"/>
      <c r="F191" s="541"/>
      <c r="G191" s="541"/>
      <c r="H191" s="541"/>
      <c r="I191" s="541"/>
      <c r="J191" s="541"/>
      <c r="K191" s="541"/>
      <c r="L191" s="541"/>
      <c r="M191" s="541"/>
      <c r="N191" s="541"/>
      <c r="O191" s="541"/>
      <c r="P191" s="541"/>
      <c r="Q191" s="542"/>
      <c r="R191" s="542"/>
      <c r="S191" s="543"/>
    </row>
    <row r="192" spans="2:19" ht="16.5" customHeight="1">
      <c r="B192" s="541"/>
      <c r="C192" s="541"/>
      <c r="D192" s="541"/>
      <c r="E192" s="541"/>
      <c r="F192" s="541"/>
      <c r="G192" s="541"/>
      <c r="H192" s="541"/>
      <c r="I192" s="541"/>
      <c r="J192" s="541"/>
      <c r="K192" s="541"/>
      <c r="L192" s="541"/>
      <c r="M192" s="541"/>
      <c r="N192" s="541"/>
      <c r="O192" s="541"/>
      <c r="P192" s="541"/>
      <c r="Q192" s="542"/>
      <c r="R192" s="542"/>
      <c r="S192" s="543"/>
    </row>
    <row r="193" spans="2:19" ht="16.5" customHeight="1">
      <c r="B193" s="541"/>
      <c r="C193" s="541"/>
      <c r="D193" s="541"/>
      <c r="E193" s="541"/>
      <c r="F193" s="541"/>
      <c r="G193" s="541"/>
      <c r="H193" s="541"/>
      <c r="I193" s="541"/>
      <c r="J193" s="541"/>
      <c r="K193" s="541"/>
      <c r="L193" s="541"/>
      <c r="M193" s="541"/>
      <c r="N193" s="541"/>
      <c r="O193" s="541"/>
      <c r="P193" s="541"/>
      <c r="Q193" s="542"/>
      <c r="R193" s="542"/>
      <c r="S193" s="543"/>
    </row>
    <row r="194" spans="2:19" ht="16.5" customHeight="1">
      <c r="B194" s="541"/>
      <c r="C194" s="541"/>
      <c r="D194" s="541"/>
      <c r="E194" s="541"/>
      <c r="F194" s="541"/>
      <c r="G194" s="541"/>
      <c r="H194" s="541"/>
      <c r="I194" s="541"/>
      <c r="J194" s="541"/>
      <c r="K194" s="541"/>
      <c r="L194" s="541"/>
      <c r="M194" s="541"/>
      <c r="N194" s="541"/>
      <c r="O194" s="541"/>
      <c r="P194" s="541"/>
      <c r="Q194" s="542"/>
      <c r="R194" s="542"/>
      <c r="S194" s="543"/>
    </row>
    <row r="195" spans="2:19" ht="16.5" customHeight="1">
      <c r="B195" s="541"/>
      <c r="C195" s="541"/>
      <c r="D195" s="541"/>
      <c r="E195" s="541"/>
      <c r="F195" s="541"/>
      <c r="G195" s="541"/>
      <c r="H195" s="541"/>
      <c r="I195" s="541"/>
      <c r="J195" s="541"/>
      <c r="K195" s="541"/>
      <c r="L195" s="541"/>
      <c r="M195" s="541"/>
      <c r="N195" s="541"/>
      <c r="O195" s="541"/>
      <c r="P195" s="541"/>
      <c r="Q195" s="542"/>
      <c r="R195" s="542"/>
      <c r="S195" s="543"/>
    </row>
    <row r="196" spans="2:19" ht="16.5" customHeight="1">
      <c r="B196" s="541"/>
      <c r="C196" s="541"/>
      <c r="D196" s="541"/>
      <c r="E196" s="541"/>
      <c r="F196" s="541"/>
      <c r="G196" s="541"/>
      <c r="H196" s="541"/>
      <c r="I196" s="541"/>
      <c r="J196" s="541"/>
      <c r="K196" s="541"/>
      <c r="L196" s="541"/>
      <c r="M196" s="541"/>
      <c r="N196" s="541"/>
      <c r="O196" s="541"/>
      <c r="P196" s="541"/>
      <c r="Q196" s="542"/>
      <c r="R196" s="542"/>
      <c r="S196" s="543"/>
    </row>
    <row r="197" spans="2:19" ht="16.5" customHeight="1">
      <c r="B197" s="541"/>
      <c r="C197" s="541"/>
      <c r="D197" s="541"/>
      <c r="E197" s="541"/>
      <c r="F197" s="541"/>
      <c r="G197" s="541"/>
      <c r="H197" s="541"/>
      <c r="I197" s="541"/>
      <c r="J197" s="541"/>
      <c r="K197" s="541"/>
      <c r="L197" s="541"/>
      <c r="M197" s="541"/>
      <c r="N197" s="541"/>
      <c r="O197" s="541"/>
      <c r="P197" s="541"/>
      <c r="Q197" s="542"/>
      <c r="R197" s="542"/>
      <c r="S197" s="543"/>
    </row>
    <row r="198" spans="2:19" ht="16.5" customHeight="1">
      <c r="B198" s="541"/>
      <c r="C198" s="541"/>
      <c r="D198" s="541"/>
      <c r="E198" s="541"/>
      <c r="F198" s="541"/>
      <c r="G198" s="541"/>
      <c r="H198" s="541"/>
      <c r="I198" s="541"/>
      <c r="J198" s="541"/>
      <c r="K198" s="541"/>
      <c r="L198" s="541"/>
      <c r="M198" s="541"/>
      <c r="N198" s="541"/>
      <c r="O198" s="541"/>
      <c r="P198" s="541"/>
      <c r="Q198" s="542"/>
      <c r="R198" s="542"/>
      <c r="S198" s="543"/>
    </row>
    <row r="199" spans="2:19" ht="16.5" customHeight="1">
      <c r="B199" s="541"/>
      <c r="C199" s="541"/>
      <c r="D199" s="541"/>
      <c r="E199" s="541"/>
      <c r="F199" s="541"/>
      <c r="G199" s="541"/>
      <c r="H199" s="541"/>
      <c r="I199" s="541"/>
      <c r="J199" s="541"/>
      <c r="K199" s="541"/>
      <c r="L199" s="541"/>
      <c r="M199" s="541"/>
      <c r="N199" s="541"/>
      <c r="O199" s="541"/>
      <c r="P199" s="541"/>
      <c r="Q199" s="542"/>
      <c r="R199" s="542"/>
      <c r="S199" s="543"/>
    </row>
    <row r="200" spans="2:19" ht="16.5" customHeight="1">
      <c r="B200" s="541"/>
      <c r="C200" s="541"/>
      <c r="D200" s="541"/>
      <c r="E200" s="541"/>
      <c r="F200" s="541"/>
      <c r="G200" s="541"/>
      <c r="H200" s="541"/>
      <c r="I200" s="541"/>
      <c r="J200" s="541"/>
      <c r="K200" s="541"/>
      <c r="L200" s="541"/>
      <c r="M200" s="541"/>
      <c r="N200" s="541"/>
      <c r="O200" s="541"/>
      <c r="P200" s="541"/>
      <c r="Q200" s="542"/>
      <c r="R200" s="542"/>
      <c r="S200" s="543"/>
    </row>
    <row r="201" spans="2:19" ht="16.5" customHeight="1">
      <c r="B201" s="541"/>
      <c r="C201" s="541"/>
      <c r="D201" s="541"/>
      <c r="E201" s="541"/>
      <c r="F201" s="541"/>
      <c r="G201" s="541"/>
      <c r="H201" s="541"/>
      <c r="I201" s="541"/>
      <c r="J201" s="541"/>
      <c r="K201" s="541"/>
      <c r="L201" s="541"/>
      <c r="M201" s="541"/>
      <c r="N201" s="541"/>
      <c r="O201" s="541"/>
      <c r="P201" s="541"/>
      <c r="Q201" s="542"/>
      <c r="R201" s="542"/>
      <c r="S201" s="543"/>
    </row>
    <row r="202" spans="2:19" ht="16.5" customHeight="1">
      <c r="B202" s="541"/>
      <c r="C202" s="541"/>
      <c r="D202" s="541"/>
      <c r="E202" s="541"/>
      <c r="F202" s="541"/>
      <c r="G202" s="541"/>
      <c r="H202" s="541"/>
      <c r="I202" s="541"/>
      <c r="J202" s="541"/>
      <c r="K202" s="541"/>
      <c r="L202" s="541"/>
      <c r="M202" s="541"/>
      <c r="N202" s="541"/>
      <c r="O202" s="541"/>
      <c r="P202" s="541"/>
      <c r="Q202" s="542"/>
      <c r="R202" s="542"/>
      <c r="S202" s="543"/>
    </row>
    <row r="203" spans="2:19" ht="16.5" customHeight="1">
      <c r="B203" s="541"/>
      <c r="C203" s="541"/>
      <c r="D203" s="541"/>
      <c r="E203" s="541"/>
      <c r="F203" s="541"/>
      <c r="G203" s="541"/>
      <c r="H203" s="541"/>
      <c r="I203" s="541"/>
      <c r="J203" s="541"/>
      <c r="K203" s="541"/>
      <c r="L203" s="541"/>
      <c r="M203" s="541"/>
      <c r="N203" s="541"/>
      <c r="O203" s="541"/>
      <c r="P203" s="541"/>
      <c r="Q203" s="542"/>
      <c r="R203" s="542"/>
      <c r="S203" s="543"/>
    </row>
    <row r="204" spans="2:19" ht="16.5" customHeight="1">
      <c r="B204" s="541"/>
      <c r="C204" s="541"/>
      <c r="D204" s="541"/>
      <c r="E204" s="541"/>
      <c r="F204" s="541"/>
      <c r="G204" s="541"/>
      <c r="H204" s="541"/>
      <c r="I204" s="541"/>
      <c r="J204" s="541"/>
      <c r="K204" s="541"/>
      <c r="L204" s="541"/>
      <c r="M204" s="541"/>
      <c r="N204" s="541"/>
      <c r="O204" s="541"/>
      <c r="P204" s="541"/>
      <c r="Q204" s="542"/>
      <c r="R204" s="542"/>
      <c r="S204" s="543"/>
    </row>
    <row r="205" spans="2:19" ht="16.5" customHeight="1">
      <c r="B205" s="541"/>
      <c r="C205" s="541"/>
      <c r="D205" s="541"/>
      <c r="E205" s="541"/>
      <c r="F205" s="541"/>
      <c r="G205" s="541"/>
      <c r="H205" s="541"/>
      <c r="I205" s="541"/>
      <c r="J205" s="541"/>
      <c r="K205" s="541"/>
      <c r="L205" s="541"/>
      <c r="M205" s="541"/>
      <c r="N205" s="541"/>
      <c r="O205" s="541"/>
      <c r="P205" s="541"/>
      <c r="Q205" s="542"/>
      <c r="R205" s="542"/>
      <c r="S205" s="543"/>
    </row>
    <row r="206" spans="2:19" ht="16.5" customHeight="1">
      <c r="B206" s="541"/>
      <c r="C206" s="541"/>
      <c r="D206" s="541"/>
      <c r="E206" s="541"/>
      <c r="F206" s="541"/>
      <c r="G206" s="541"/>
      <c r="H206" s="541"/>
      <c r="I206" s="541"/>
      <c r="J206" s="541"/>
      <c r="K206" s="541"/>
      <c r="L206" s="541"/>
      <c r="M206" s="541"/>
      <c r="N206" s="541"/>
      <c r="O206" s="541"/>
      <c r="P206" s="541"/>
      <c r="Q206" s="542"/>
      <c r="R206" s="542"/>
      <c r="S206" s="543"/>
    </row>
    <row r="207" spans="2:19" ht="16.5" customHeight="1">
      <c r="B207" s="541"/>
      <c r="C207" s="541"/>
      <c r="D207" s="541"/>
      <c r="E207" s="541"/>
      <c r="F207" s="541"/>
      <c r="G207" s="541"/>
      <c r="H207" s="541"/>
      <c r="I207" s="541"/>
      <c r="J207" s="541"/>
      <c r="K207" s="541"/>
      <c r="L207" s="541"/>
      <c r="M207" s="541"/>
      <c r="N207" s="541"/>
      <c r="O207" s="541"/>
      <c r="P207" s="541"/>
      <c r="Q207" s="542"/>
      <c r="R207" s="542"/>
      <c r="S207" s="543"/>
    </row>
    <row r="208" spans="2:19" ht="16.5" customHeight="1">
      <c r="B208" s="541"/>
      <c r="C208" s="541"/>
      <c r="D208" s="541"/>
      <c r="E208" s="541"/>
      <c r="F208" s="541"/>
      <c r="G208" s="541"/>
      <c r="H208" s="541"/>
      <c r="I208" s="541"/>
      <c r="J208" s="541"/>
      <c r="K208" s="541"/>
      <c r="L208" s="541"/>
      <c r="M208" s="541"/>
      <c r="N208" s="541"/>
      <c r="O208" s="541"/>
      <c r="P208" s="541"/>
      <c r="Q208" s="542"/>
      <c r="R208" s="542"/>
      <c r="S208" s="543"/>
    </row>
    <row r="209" spans="2:19" ht="16.5" customHeight="1">
      <c r="B209" s="541"/>
      <c r="C209" s="541"/>
      <c r="D209" s="541"/>
      <c r="E209" s="541"/>
      <c r="F209" s="541"/>
      <c r="G209" s="541"/>
      <c r="H209" s="541"/>
      <c r="I209" s="541"/>
      <c r="J209" s="541"/>
      <c r="K209" s="541"/>
      <c r="L209" s="541"/>
      <c r="M209" s="541"/>
      <c r="N209" s="541"/>
      <c r="O209" s="541"/>
      <c r="P209" s="541"/>
      <c r="Q209" s="542"/>
      <c r="R209" s="542"/>
      <c r="S209" s="543"/>
    </row>
    <row r="210" spans="2:19" ht="16.5" customHeight="1">
      <c r="B210" s="541"/>
      <c r="C210" s="541"/>
      <c r="D210" s="541"/>
      <c r="E210" s="541"/>
      <c r="F210" s="541"/>
      <c r="G210" s="541"/>
      <c r="H210" s="541"/>
      <c r="I210" s="541"/>
      <c r="J210" s="541"/>
      <c r="K210" s="541"/>
      <c r="L210" s="541"/>
      <c r="M210" s="541"/>
      <c r="N210" s="541"/>
      <c r="O210" s="541"/>
      <c r="P210" s="541"/>
      <c r="Q210" s="542"/>
      <c r="R210" s="542"/>
      <c r="S210" s="543"/>
    </row>
    <row r="211" spans="2:19" ht="16.5" customHeight="1">
      <c r="B211" s="541"/>
      <c r="C211" s="541"/>
      <c r="D211" s="541"/>
      <c r="E211" s="541"/>
      <c r="F211" s="541"/>
      <c r="G211" s="541"/>
      <c r="H211" s="541"/>
      <c r="I211" s="541"/>
      <c r="J211" s="541"/>
      <c r="K211" s="541"/>
      <c r="L211" s="541"/>
      <c r="M211" s="541"/>
      <c r="N211" s="541"/>
      <c r="O211" s="541"/>
      <c r="P211" s="541"/>
      <c r="Q211" s="542"/>
      <c r="R211" s="542"/>
      <c r="S211" s="543"/>
    </row>
    <row r="212" spans="2:19" ht="16.5" customHeight="1">
      <c r="B212" s="541"/>
      <c r="C212" s="541"/>
      <c r="D212" s="541"/>
      <c r="E212" s="541"/>
      <c r="F212" s="541"/>
      <c r="G212" s="541"/>
      <c r="H212" s="541"/>
      <c r="I212" s="541"/>
      <c r="J212" s="541"/>
      <c r="K212" s="541"/>
      <c r="L212" s="541"/>
      <c r="M212" s="541"/>
      <c r="N212" s="541"/>
      <c r="O212" s="541"/>
      <c r="P212" s="541"/>
      <c r="Q212" s="542"/>
      <c r="R212" s="542"/>
      <c r="S212" s="543"/>
    </row>
  </sheetData>
  <mergeCells count="60">
    <mergeCell ref="A1:C1"/>
    <mergeCell ref="B2:U2"/>
    <mergeCell ref="B4:B6"/>
    <mergeCell ref="B8:B19"/>
    <mergeCell ref="B20:B36"/>
    <mergeCell ref="G4:G6"/>
    <mergeCell ref="G7:G19"/>
    <mergeCell ref="G20:G36"/>
    <mergeCell ref="I4:I6"/>
    <mergeCell ref="I7:I19"/>
    <mergeCell ref="I20:I36"/>
    <mergeCell ref="P4:P6"/>
    <mergeCell ref="P8:P19"/>
    <mergeCell ref="P20:P36"/>
    <mergeCell ref="R4:R6"/>
    <mergeCell ref="R8:R19"/>
    <mergeCell ref="B37:B55"/>
    <mergeCell ref="B56:B58"/>
    <mergeCell ref="B59:B63"/>
    <mergeCell ref="B64:B67"/>
    <mergeCell ref="F56:F58"/>
    <mergeCell ref="F59:F63"/>
    <mergeCell ref="F64:F67"/>
    <mergeCell ref="G37:G55"/>
    <mergeCell ref="G56:G58"/>
    <mergeCell ref="G59:G63"/>
    <mergeCell ref="G64:G67"/>
    <mergeCell ref="H4:H6"/>
    <mergeCell ref="H7:H19"/>
    <mergeCell ref="H20:H36"/>
    <mergeCell ref="H37:H55"/>
    <mergeCell ref="H56:H58"/>
    <mergeCell ref="H59:H67"/>
    <mergeCell ref="I37:I55"/>
    <mergeCell ref="I56:I58"/>
    <mergeCell ref="I59:I67"/>
    <mergeCell ref="O4:O6"/>
    <mergeCell ref="O8:O19"/>
    <mergeCell ref="O20:O36"/>
    <mergeCell ref="O37:O52"/>
    <mergeCell ref="O53:O55"/>
    <mergeCell ref="O56:O58"/>
    <mergeCell ref="O59:O63"/>
    <mergeCell ref="O64:O67"/>
    <mergeCell ref="P37:P55"/>
    <mergeCell ref="P56:P58"/>
    <mergeCell ref="P59:P63"/>
    <mergeCell ref="P64:P67"/>
    <mergeCell ref="Q4:Q6"/>
    <mergeCell ref="Q8:Q19"/>
    <mergeCell ref="Q20:Q36"/>
    <mergeCell ref="Q37:Q55"/>
    <mergeCell ref="Q56:Q58"/>
    <mergeCell ref="Q59:Q63"/>
    <mergeCell ref="Q64:Q67"/>
    <mergeCell ref="R20:R36"/>
    <mergeCell ref="R37:R55"/>
    <mergeCell ref="R56:R58"/>
    <mergeCell ref="R59:R63"/>
    <mergeCell ref="R64:R67"/>
  </mergeCells>
  <phoneticPr fontId="106" type="noConversion"/>
  <hyperlinks>
    <hyperlink ref="A1" location="'目录'!A1" display="点此返回目录"/>
  </hyperlinks>
  <pageMargins left="0.75" right="0.75" top="1" bottom="1" header="0.5" footer="0.5"/>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AF118"/>
  <sheetViews>
    <sheetView topLeftCell="A30" zoomScale="85" zoomScaleNormal="85" workbookViewId="0">
      <selection activeCell="U37" sqref="U37:U38"/>
    </sheetView>
  </sheetViews>
  <sheetFormatPr defaultColWidth="9" defaultRowHeight="17.25"/>
  <cols>
    <col min="1" max="1" width="3.625" style="28" customWidth="1"/>
    <col min="2" max="2" width="10.5" style="324" customWidth="1"/>
    <col min="3" max="3" width="20.125" style="324" customWidth="1"/>
    <col min="4" max="4" width="9" style="324"/>
    <col min="5" max="5" width="10" style="324" customWidth="1"/>
    <col min="6" max="6" width="9" style="324"/>
    <col min="7" max="15" width="9.125" style="324" customWidth="1"/>
    <col min="16" max="19" width="13.875" style="324" customWidth="1"/>
    <col min="20" max="21" width="19.25" style="324" customWidth="1"/>
    <col min="22" max="32" width="9" style="324"/>
    <col min="33" max="16384" width="9" style="28"/>
  </cols>
  <sheetData>
    <row r="1" spans="1:21" ht="26.25" customHeight="1">
      <c r="A1" s="638" t="s">
        <v>33</v>
      </c>
      <c r="B1" s="638"/>
      <c r="C1" s="638"/>
    </row>
    <row r="2" spans="1:21" s="324" customFormat="1" ht="36.75" customHeight="1">
      <c r="B2" s="897" t="s">
        <v>597</v>
      </c>
      <c r="C2" s="898"/>
      <c r="D2" s="898"/>
      <c r="E2" s="898"/>
      <c r="F2" s="898"/>
      <c r="G2" s="898"/>
      <c r="H2" s="898"/>
      <c r="I2" s="898"/>
      <c r="J2" s="898"/>
      <c r="K2" s="898"/>
      <c r="L2" s="898"/>
      <c r="M2" s="898"/>
      <c r="N2" s="898"/>
      <c r="O2" s="898"/>
      <c r="P2" s="898"/>
      <c r="Q2" s="898"/>
      <c r="R2" s="898"/>
      <c r="S2" s="898"/>
      <c r="T2" s="898"/>
      <c r="U2" s="899"/>
    </row>
    <row r="3" spans="1:21" s="324" customFormat="1" ht="24.95" customHeight="1">
      <c r="B3" s="835" t="s">
        <v>35</v>
      </c>
      <c r="C3" s="753" t="s">
        <v>36</v>
      </c>
      <c r="D3" s="753" t="s">
        <v>37</v>
      </c>
      <c r="E3" s="753" t="s">
        <v>598</v>
      </c>
      <c r="F3" s="753" t="s">
        <v>599</v>
      </c>
      <c r="G3" s="900" t="s">
        <v>600</v>
      </c>
      <c r="H3" s="900"/>
      <c r="I3" s="900"/>
      <c r="J3" s="900"/>
      <c r="K3" s="900"/>
      <c r="L3" s="900"/>
      <c r="M3" s="753" t="s">
        <v>601</v>
      </c>
      <c r="N3" s="753"/>
      <c r="O3" s="753"/>
      <c r="P3" s="753" t="s">
        <v>602</v>
      </c>
      <c r="Q3" s="753"/>
      <c r="R3" s="753"/>
      <c r="S3" s="753"/>
      <c r="T3" s="753"/>
      <c r="U3" s="901"/>
    </row>
    <row r="4" spans="1:21" s="324" customFormat="1" ht="46.5" customHeight="1">
      <c r="B4" s="843"/>
      <c r="C4" s="724"/>
      <c r="D4" s="724"/>
      <c r="E4" s="724"/>
      <c r="F4" s="724"/>
      <c r="G4" s="798" t="s">
        <v>603</v>
      </c>
      <c r="H4" s="798"/>
      <c r="I4" s="798"/>
      <c r="J4" s="798" t="s">
        <v>604</v>
      </c>
      <c r="K4" s="798"/>
      <c r="L4" s="798"/>
      <c r="M4" s="724"/>
      <c r="N4" s="724"/>
      <c r="O4" s="724"/>
      <c r="P4" s="724" t="s">
        <v>605</v>
      </c>
      <c r="Q4" s="724"/>
      <c r="R4" s="724" t="s">
        <v>606</v>
      </c>
      <c r="S4" s="724"/>
      <c r="T4" s="724"/>
      <c r="U4" s="775"/>
    </row>
    <row r="5" spans="1:21" s="324" customFormat="1" ht="45">
      <c r="B5" s="843"/>
      <c r="C5" s="724"/>
      <c r="D5" s="724"/>
      <c r="E5" s="724"/>
      <c r="F5" s="724"/>
      <c r="G5" s="135" t="s">
        <v>607</v>
      </c>
      <c r="H5" s="135" t="s">
        <v>608</v>
      </c>
      <c r="I5" s="135" t="s">
        <v>609</v>
      </c>
      <c r="J5" s="135" t="s">
        <v>607</v>
      </c>
      <c r="K5" s="135" t="s">
        <v>608</v>
      </c>
      <c r="L5" s="135" t="s">
        <v>609</v>
      </c>
      <c r="M5" s="135" t="s">
        <v>607</v>
      </c>
      <c r="N5" s="135" t="s">
        <v>610</v>
      </c>
      <c r="O5" s="135" t="s">
        <v>611</v>
      </c>
      <c r="P5" s="326" t="s">
        <v>612</v>
      </c>
      <c r="Q5" s="326" t="s">
        <v>613</v>
      </c>
      <c r="R5" s="326" t="s">
        <v>612</v>
      </c>
      <c r="S5" s="326" t="s">
        <v>613</v>
      </c>
      <c r="T5" s="326" t="s">
        <v>614</v>
      </c>
      <c r="U5" s="398" t="s">
        <v>615</v>
      </c>
    </row>
    <row r="6" spans="1:21" s="324" customFormat="1" ht="30" customHeight="1">
      <c r="B6" s="649" t="s">
        <v>6</v>
      </c>
      <c r="C6" s="299" t="s">
        <v>50</v>
      </c>
      <c r="D6" s="327" t="s">
        <v>51</v>
      </c>
      <c r="E6" s="328" t="s">
        <v>285</v>
      </c>
      <c r="F6" s="329">
        <v>0.06</v>
      </c>
      <c r="G6" s="330">
        <v>7.0000000000000007E-2</v>
      </c>
      <c r="H6" s="331">
        <f>MAX(G6,N6+2%)</f>
        <v>0.1</v>
      </c>
      <c r="I6" s="371">
        <f>MAX(G6,O6+2%)</f>
        <v>0.12</v>
      </c>
      <c r="J6" s="330">
        <v>0.06</v>
      </c>
      <c r="K6" s="331">
        <f>MAX(J6,N6+2%)</f>
        <v>0.1</v>
      </c>
      <c r="L6" s="371">
        <f>MAX(J6,O6+2%)</f>
        <v>0.12</v>
      </c>
      <c r="M6" s="372">
        <v>0.05</v>
      </c>
      <c r="N6" s="373">
        <f>M6+3%</f>
        <v>0.08</v>
      </c>
      <c r="O6" s="374">
        <f>N6+2%</f>
        <v>0.1</v>
      </c>
      <c r="P6" s="375">
        <f>MAX(10%,G6)</f>
        <v>0.1</v>
      </c>
      <c r="Q6" s="375">
        <f>MAX(10%,J6)</f>
        <v>0.1</v>
      </c>
      <c r="R6" s="375">
        <f>MAX(15%,G6)</f>
        <v>0.15</v>
      </c>
      <c r="S6" s="375">
        <f>MAX(15%,J6)</f>
        <v>0.15</v>
      </c>
      <c r="T6" s="375">
        <f>MAX(20%,G6)</f>
        <v>0.2</v>
      </c>
      <c r="U6" s="399">
        <f>MAX(J6,20%)</f>
        <v>0.2</v>
      </c>
    </row>
    <row r="7" spans="1:21" s="324" customFormat="1" ht="30" customHeight="1">
      <c r="B7" s="649"/>
      <c r="C7" s="299" t="s">
        <v>56</v>
      </c>
      <c r="D7" s="332" t="s">
        <v>57</v>
      </c>
      <c r="E7" s="333" t="s">
        <v>285</v>
      </c>
      <c r="F7" s="334">
        <v>0.06</v>
      </c>
      <c r="G7" s="330">
        <v>7.0000000000000007E-2</v>
      </c>
      <c r="H7" s="331">
        <f t="shared" ref="H7:H23" si="0">MAX(G7,N7+2%)</f>
        <v>0.1</v>
      </c>
      <c r="I7" s="371">
        <f t="shared" ref="I7:I23" si="1">MAX(G7,O7+2%)</f>
        <v>0.12</v>
      </c>
      <c r="J7" s="330">
        <v>0.06</v>
      </c>
      <c r="K7" s="331">
        <f t="shared" ref="K7:K23" si="2">MAX(J7,N7+2%)</f>
        <v>0.1</v>
      </c>
      <c r="L7" s="371">
        <f t="shared" ref="L7:L23" si="3">MAX(J7,O7+2%)</f>
        <v>0.12</v>
      </c>
      <c r="M7" s="372">
        <v>0.05</v>
      </c>
      <c r="N7" s="373">
        <f t="shared" ref="N7:N23" si="4">M7+3%</f>
        <v>0.08</v>
      </c>
      <c r="O7" s="374">
        <f t="shared" ref="O7:O23" si="5">N7+2%</f>
        <v>0.1</v>
      </c>
      <c r="P7" s="375">
        <f t="shared" ref="P7:P22" si="6">MAX(10%,G7)</f>
        <v>0.1</v>
      </c>
      <c r="Q7" s="375">
        <f t="shared" ref="Q7:Q22" si="7">MAX(10%,J7)</f>
        <v>0.1</v>
      </c>
      <c r="R7" s="375">
        <f t="shared" ref="R7:R22" si="8">MAX(15%,G7)</f>
        <v>0.15</v>
      </c>
      <c r="S7" s="375">
        <f t="shared" ref="S7:S22" si="9">MAX(15%,J7)</f>
        <v>0.15</v>
      </c>
      <c r="T7" s="375">
        <f t="shared" ref="T7:T22" si="10">MAX(20%,G7)</f>
        <v>0.2</v>
      </c>
      <c r="U7" s="399">
        <f t="shared" ref="U7:U22" si="11">MAX(J7,20%)</f>
        <v>0.2</v>
      </c>
    </row>
    <row r="8" spans="1:21" s="324" customFormat="1" ht="30" customHeight="1">
      <c r="B8" s="649"/>
      <c r="C8" s="299" t="s">
        <v>45</v>
      </c>
      <c r="D8" s="332" t="s">
        <v>46</v>
      </c>
      <c r="E8" s="333" t="s">
        <v>285</v>
      </c>
      <c r="F8" s="334">
        <v>0.06</v>
      </c>
      <c r="G8" s="330">
        <v>0.09</v>
      </c>
      <c r="H8" s="331">
        <f t="shared" si="0"/>
        <v>0.12</v>
      </c>
      <c r="I8" s="371">
        <f t="shared" si="1"/>
        <v>0.14000000000000001</v>
      </c>
      <c r="J8" s="330">
        <v>0.08</v>
      </c>
      <c r="K8" s="331">
        <f t="shared" si="2"/>
        <v>0.12</v>
      </c>
      <c r="L8" s="371">
        <f t="shared" si="3"/>
        <v>0.14000000000000001</v>
      </c>
      <c r="M8" s="372">
        <v>7.0000000000000007E-2</v>
      </c>
      <c r="N8" s="373">
        <f t="shared" si="4"/>
        <v>0.1</v>
      </c>
      <c r="O8" s="374">
        <f t="shared" si="5"/>
        <v>0.12</v>
      </c>
      <c r="P8" s="375">
        <f t="shared" si="6"/>
        <v>0.1</v>
      </c>
      <c r="Q8" s="375">
        <f t="shared" si="7"/>
        <v>0.1</v>
      </c>
      <c r="R8" s="375">
        <f t="shared" si="8"/>
        <v>0.15</v>
      </c>
      <c r="S8" s="375">
        <f t="shared" si="9"/>
        <v>0.15</v>
      </c>
      <c r="T8" s="375">
        <f t="shared" si="10"/>
        <v>0.2</v>
      </c>
      <c r="U8" s="399">
        <f t="shared" si="11"/>
        <v>0.2</v>
      </c>
    </row>
    <row r="9" spans="1:21" s="324" customFormat="1" ht="30" customHeight="1">
      <c r="B9" s="649"/>
      <c r="C9" s="299" t="s">
        <v>71</v>
      </c>
      <c r="D9" s="332" t="s">
        <v>72</v>
      </c>
      <c r="E9" s="333" t="s">
        <v>292</v>
      </c>
      <c r="F9" s="334">
        <v>7.0000000000000007E-2</v>
      </c>
      <c r="G9" s="330">
        <v>0.09</v>
      </c>
      <c r="H9" s="331">
        <f t="shared" si="0"/>
        <v>0.12</v>
      </c>
      <c r="I9" s="371">
        <f t="shared" si="1"/>
        <v>0.14000000000000001</v>
      </c>
      <c r="J9" s="330">
        <v>0.08</v>
      </c>
      <c r="K9" s="331">
        <f t="shared" si="2"/>
        <v>0.12</v>
      </c>
      <c r="L9" s="371">
        <f t="shared" si="3"/>
        <v>0.14000000000000001</v>
      </c>
      <c r="M9" s="372">
        <v>7.0000000000000007E-2</v>
      </c>
      <c r="N9" s="373">
        <f t="shared" si="4"/>
        <v>0.1</v>
      </c>
      <c r="O9" s="374">
        <f t="shared" si="5"/>
        <v>0.12</v>
      </c>
      <c r="P9" s="375">
        <f t="shared" si="6"/>
        <v>0.1</v>
      </c>
      <c r="Q9" s="375">
        <f t="shared" si="7"/>
        <v>0.1</v>
      </c>
      <c r="R9" s="375">
        <f t="shared" si="8"/>
        <v>0.15</v>
      </c>
      <c r="S9" s="375">
        <f t="shared" si="9"/>
        <v>0.15</v>
      </c>
      <c r="T9" s="375">
        <f t="shared" si="10"/>
        <v>0.2</v>
      </c>
      <c r="U9" s="399">
        <f t="shared" si="11"/>
        <v>0.2</v>
      </c>
    </row>
    <row r="10" spans="1:21" s="324" customFormat="1" ht="30" customHeight="1">
      <c r="B10" s="649"/>
      <c r="C10" s="299" t="s">
        <v>302</v>
      </c>
      <c r="D10" s="332" t="s">
        <v>69</v>
      </c>
      <c r="E10" s="333" t="s">
        <v>292</v>
      </c>
      <c r="F10" s="334">
        <v>7.0000000000000007E-2</v>
      </c>
      <c r="G10" s="330">
        <v>0.09</v>
      </c>
      <c r="H10" s="331">
        <f t="shared" si="0"/>
        <v>0.12</v>
      </c>
      <c r="I10" s="371">
        <f t="shared" si="1"/>
        <v>0.14000000000000001</v>
      </c>
      <c r="J10" s="330">
        <v>0.08</v>
      </c>
      <c r="K10" s="331">
        <f t="shared" si="2"/>
        <v>0.12</v>
      </c>
      <c r="L10" s="371">
        <f t="shared" si="3"/>
        <v>0.14000000000000001</v>
      </c>
      <c r="M10" s="372">
        <v>7.0000000000000007E-2</v>
      </c>
      <c r="N10" s="373">
        <f t="shared" si="4"/>
        <v>0.1</v>
      </c>
      <c r="O10" s="374">
        <f t="shared" si="5"/>
        <v>0.12</v>
      </c>
      <c r="P10" s="375">
        <f t="shared" si="6"/>
        <v>0.1</v>
      </c>
      <c r="Q10" s="375">
        <f t="shared" si="7"/>
        <v>0.1</v>
      </c>
      <c r="R10" s="375">
        <f t="shared" si="8"/>
        <v>0.15</v>
      </c>
      <c r="S10" s="375">
        <f t="shared" si="9"/>
        <v>0.15</v>
      </c>
      <c r="T10" s="375">
        <f t="shared" si="10"/>
        <v>0.2</v>
      </c>
      <c r="U10" s="399">
        <f t="shared" si="11"/>
        <v>0.2</v>
      </c>
    </row>
    <row r="11" spans="1:21" s="324" customFormat="1" ht="30" customHeight="1">
      <c r="B11" s="649"/>
      <c r="C11" s="299" t="s">
        <v>75</v>
      </c>
      <c r="D11" s="332" t="s">
        <v>76</v>
      </c>
      <c r="E11" s="335" t="s">
        <v>292</v>
      </c>
      <c r="F11" s="334">
        <v>7.0000000000000007E-2</v>
      </c>
      <c r="G11" s="330">
        <v>0.09</v>
      </c>
      <c r="H11" s="331">
        <f t="shared" si="0"/>
        <v>0.12</v>
      </c>
      <c r="I11" s="371">
        <f t="shared" si="1"/>
        <v>0.14000000000000001</v>
      </c>
      <c r="J11" s="330">
        <v>0.08</v>
      </c>
      <c r="K11" s="331">
        <f t="shared" si="2"/>
        <v>0.12</v>
      </c>
      <c r="L11" s="371">
        <f t="shared" si="3"/>
        <v>0.14000000000000001</v>
      </c>
      <c r="M11" s="372">
        <v>7.0000000000000007E-2</v>
      </c>
      <c r="N11" s="373">
        <f t="shared" si="4"/>
        <v>0.1</v>
      </c>
      <c r="O11" s="374">
        <f t="shared" si="5"/>
        <v>0.12</v>
      </c>
      <c r="P11" s="375">
        <f t="shared" si="6"/>
        <v>0.1</v>
      </c>
      <c r="Q11" s="375">
        <f t="shared" si="7"/>
        <v>0.1</v>
      </c>
      <c r="R11" s="375">
        <f t="shared" si="8"/>
        <v>0.15</v>
      </c>
      <c r="S11" s="375">
        <f t="shared" si="9"/>
        <v>0.15</v>
      </c>
      <c r="T11" s="375">
        <f t="shared" si="10"/>
        <v>0.2</v>
      </c>
      <c r="U11" s="399">
        <f t="shared" si="11"/>
        <v>0.2</v>
      </c>
    </row>
    <row r="12" spans="1:21" s="324" customFormat="1" ht="30" customHeight="1">
      <c r="B12" s="649"/>
      <c r="C12" s="299" t="s">
        <v>77</v>
      </c>
      <c r="D12" s="332" t="s">
        <v>78</v>
      </c>
      <c r="E12" s="8" t="s">
        <v>292</v>
      </c>
      <c r="F12" s="334">
        <v>7.0000000000000007E-2</v>
      </c>
      <c r="G12" s="330">
        <v>0.09</v>
      </c>
      <c r="H12" s="331">
        <f t="shared" si="0"/>
        <v>0.12</v>
      </c>
      <c r="I12" s="371">
        <f t="shared" si="1"/>
        <v>0.14000000000000001</v>
      </c>
      <c r="J12" s="330">
        <v>0.08</v>
      </c>
      <c r="K12" s="331">
        <f t="shared" si="2"/>
        <v>0.12</v>
      </c>
      <c r="L12" s="371">
        <f t="shared" si="3"/>
        <v>0.14000000000000001</v>
      </c>
      <c r="M12" s="372">
        <v>7.0000000000000007E-2</v>
      </c>
      <c r="N12" s="373">
        <f t="shared" si="4"/>
        <v>0.1</v>
      </c>
      <c r="O12" s="374">
        <f t="shared" si="5"/>
        <v>0.12</v>
      </c>
      <c r="P12" s="375">
        <f t="shared" si="6"/>
        <v>0.1</v>
      </c>
      <c r="Q12" s="375">
        <f t="shared" si="7"/>
        <v>0.1</v>
      </c>
      <c r="R12" s="375">
        <f t="shared" si="8"/>
        <v>0.15</v>
      </c>
      <c r="S12" s="375">
        <f t="shared" si="9"/>
        <v>0.15</v>
      </c>
      <c r="T12" s="375">
        <f t="shared" si="10"/>
        <v>0.2</v>
      </c>
      <c r="U12" s="399">
        <f t="shared" si="11"/>
        <v>0.2</v>
      </c>
    </row>
    <row r="13" spans="1:21" s="324" customFormat="1" ht="30" customHeight="1">
      <c r="B13" s="649"/>
      <c r="C13" s="299" t="s">
        <v>83</v>
      </c>
      <c r="D13" s="332" t="s">
        <v>84</v>
      </c>
      <c r="E13" s="8" t="s">
        <v>303</v>
      </c>
      <c r="F13" s="334">
        <v>7.0000000000000007E-2</v>
      </c>
      <c r="G13" s="330">
        <v>0.09</v>
      </c>
      <c r="H13" s="331">
        <f t="shared" si="0"/>
        <v>0.12</v>
      </c>
      <c r="I13" s="371">
        <f t="shared" si="1"/>
        <v>0.14000000000000001</v>
      </c>
      <c r="J13" s="330">
        <v>0.08</v>
      </c>
      <c r="K13" s="331">
        <f t="shared" si="2"/>
        <v>0.12</v>
      </c>
      <c r="L13" s="371">
        <f t="shared" si="3"/>
        <v>0.14000000000000001</v>
      </c>
      <c r="M13" s="372">
        <v>7.0000000000000007E-2</v>
      </c>
      <c r="N13" s="373">
        <f t="shared" si="4"/>
        <v>0.1</v>
      </c>
      <c r="O13" s="374">
        <f t="shared" si="5"/>
        <v>0.12</v>
      </c>
      <c r="P13" s="375">
        <f t="shared" si="6"/>
        <v>0.1</v>
      </c>
      <c r="Q13" s="375">
        <f t="shared" si="7"/>
        <v>0.1</v>
      </c>
      <c r="R13" s="375">
        <f t="shared" si="8"/>
        <v>0.15</v>
      </c>
      <c r="S13" s="375">
        <f t="shared" si="9"/>
        <v>0.15</v>
      </c>
      <c r="T13" s="375">
        <f t="shared" si="10"/>
        <v>0.2</v>
      </c>
      <c r="U13" s="399">
        <f t="shared" si="11"/>
        <v>0.2</v>
      </c>
    </row>
    <row r="14" spans="1:21" s="324" customFormat="1" ht="30" customHeight="1">
      <c r="B14" s="649"/>
      <c r="C14" s="299" t="s">
        <v>73</v>
      </c>
      <c r="D14" s="332" t="s">
        <v>74</v>
      </c>
      <c r="E14" s="8" t="s">
        <v>292</v>
      </c>
      <c r="F14" s="334">
        <v>0.06</v>
      </c>
      <c r="G14" s="330">
        <v>7.0000000000000007E-2</v>
      </c>
      <c r="H14" s="331">
        <f t="shared" si="0"/>
        <v>0.1</v>
      </c>
      <c r="I14" s="371">
        <f t="shared" si="1"/>
        <v>0.12</v>
      </c>
      <c r="J14" s="330">
        <v>0.06</v>
      </c>
      <c r="K14" s="331">
        <f t="shared" si="2"/>
        <v>0.1</v>
      </c>
      <c r="L14" s="371">
        <f t="shared" si="3"/>
        <v>0.12</v>
      </c>
      <c r="M14" s="372">
        <v>0.05</v>
      </c>
      <c r="N14" s="373">
        <f t="shared" si="4"/>
        <v>0.08</v>
      </c>
      <c r="O14" s="374">
        <f t="shared" si="5"/>
        <v>0.1</v>
      </c>
      <c r="P14" s="375">
        <f t="shared" si="6"/>
        <v>0.1</v>
      </c>
      <c r="Q14" s="375">
        <f t="shared" si="7"/>
        <v>0.1</v>
      </c>
      <c r="R14" s="375">
        <f t="shared" si="8"/>
        <v>0.15</v>
      </c>
      <c r="S14" s="375">
        <f t="shared" si="9"/>
        <v>0.15</v>
      </c>
      <c r="T14" s="375">
        <f t="shared" si="10"/>
        <v>0.2</v>
      </c>
      <c r="U14" s="399">
        <f t="shared" si="11"/>
        <v>0.2</v>
      </c>
    </row>
    <row r="15" spans="1:21" s="324" customFormat="1" ht="30" customHeight="1">
      <c r="B15" s="649"/>
      <c r="C15" s="299" t="s">
        <v>79</v>
      </c>
      <c r="D15" s="332" t="s">
        <v>80</v>
      </c>
      <c r="E15" s="8" t="s">
        <v>306</v>
      </c>
      <c r="F15" s="334">
        <v>0.06</v>
      </c>
      <c r="G15" s="330">
        <v>0.12</v>
      </c>
      <c r="H15" s="331">
        <f t="shared" si="0"/>
        <v>0.15</v>
      </c>
      <c r="I15" s="371">
        <f t="shared" si="1"/>
        <v>0.17</v>
      </c>
      <c r="J15" s="330">
        <v>0.11</v>
      </c>
      <c r="K15" s="331">
        <f t="shared" si="2"/>
        <v>0.15</v>
      </c>
      <c r="L15" s="371">
        <f t="shared" si="3"/>
        <v>0.17</v>
      </c>
      <c r="M15" s="372">
        <v>0.1</v>
      </c>
      <c r="N15" s="373">
        <f t="shared" si="4"/>
        <v>0.13</v>
      </c>
      <c r="O15" s="374">
        <f t="shared" si="5"/>
        <v>0.15</v>
      </c>
      <c r="P15" s="375">
        <f t="shared" si="6"/>
        <v>0.12</v>
      </c>
      <c r="Q15" s="375">
        <f t="shared" si="7"/>
        <v>0.11</v>
      </c>
      <c r="R15" s="375">
        <f t="shared" si="8"/>
        <v>0.15</v>
      </c>
      <c r="S15" s="375">
        <f t="shared" si="9"/>
        <v>0.15</v>
      </c>
      <c r="T15" s="375">
        <f t="shared" si="10"/>
        <v>0.2</v>
      </c>
      <c r="U15" s="399">
        <f t="shared" si="11"/>
        <v>0.2</v>
      </c>
    </row>
    <row r="16" spans="1:21" s="324" customFormat="1" ht="30" customHeight="1">
      <c r="B16" s="649"/>
      <c r="C16" s="299" t="s">
        <v>81</v>
      </c>
      <c r="D16" s="332" t="s">
        <v>82</v>
      </c>
      <c r="E16" s="8" t="s">
        <v>306</v>
      </c>
      <c r="F16" s="334">
        <v>0.1</v>
      </c>
      <c r="G16" s="330">
        <v>0.12</v>
      </c>
      <c r="H16" s="331">
        <f t="shared" si="0"/>
        <v>0.15</v>
      </c>
      <c r="I16" s="371">
        <f t="shared" si="1"/>
        <v>0.17</v>
      </c>
      <c r="J16" s="330">
        <v>0.11</v>
      </c>
      <c r="K16" s="331">
        <f t="shared" si="2"/>
        <v>0.15</v>
      </c>
      <c r="L16" s="371">
        <f t="shared" si="3"/>
        <v>0.17</v>
      </c>
      <c r="M16" s="372">
        <v>0.1</v>
      </c>
      <c r="N16" s="373">
        <f t="shared" si="4"/>
        <v>0.13</v>
      </c>
      <c r="O16" s="374">
        <f t="shared" si="5"/>
        <v>0.15</v>
      </c>
      <c r="P16" s="375">
        <f t="shared" si="6"/>
        <v>0.12</v>
      </c>
      <c r="Q16" s="375">
        <f t="shared" si="7"/>
        <v>0.11</v>
      </c>
      <c r="R16" s="375">
        <f t="shared" si="8"/>
        <v>0.15</v>
      </c>
      <c r="S16" s="375">
        <f t="shared" si="9"/>
        <v>0.15</v>
      </c>
      <c r="T16" s="375">
        <f t="shared" si="10"/>
        <v>0.2</v>
      </c>
      <c r="U16" s="399">
        <f t="shared" si="11"/>
        <v>0.2</v>
      </c>
    </row>
    <row r="17" spans="2:21" s="324" customFormat="1" ht="30" customHeight="1">
      <c r="B17" s="649"/>
      <c r="C17" s="299" t="s">
        <v>85</v>
      </c>
      <c r="D17" s="332" t="s">
        <v>86</v>
      </c>
      <c r="E17" s="8" t="s">
        <v>616</v>
      </c>
      <c r="F17" s="334">
        <v>0.06</v>
      </c>
      <c r="G17" s="330">
        <v>0.13</v>
      </c>
      <c r="H17" s="331">
        <f t="shared" si="0"/>
        <v>0.16</v>
      </c>
      <c r="I17" s="371">
        <f t="shared" si="1"/>
        <v>0.18</v>
      </c>
      <c r="J17" s="330">
        <v>0.12</v>
      </c>
      <c r="K17" s="331">
        <f t="shared" si="2"/>
        <v>0.16</v>
      </c>
      <c r="L17" s="371">
        <f t="shared" si="3"/>
        <v>0.18</v>
      </c>
      <c r="M17" s="372">
        <v>0.11</v>
      </c>
      <c r="N17" s="373">
        <f t="shared" si="4"/>
        <v>0.14000000000000001</v>
      </c>
      <c r="O17" s="374">
        <f t="shared" si="5"/>
        <v>0.16</v>
      </c>
      <c r="P17" s="375">
        <f t="shared" si="6"/>
        <v>0.13</v>
      </c>
      <c r="Q17" s="375">
        <f t="shared" si="7"/>
        <v>0.12</v>
      </c>
      <c r="R17" s="375">
        <f t="shared" si="8"/>
        <v>0.15</v>
      </c>
      <c r="S17" s="375">
        <f t="shared" si="9"/>
        <v>0.15</v>
      </c>
      <c r="T17" s="375">
        <f t="shared" si="10"/>
        <v>0.2</v>
      </c>
      <c r="U17" s="399">
        <f t="shared" si="11"/>
        <v>0.2</v>
      </c>
    </row>
    <row r="18" spans="2:21" s="324" customFormat="1" ht="30" customHeight="1">
      <c r="B18" s="649"/>
      <c r="C18" s="299" t="s">
        <v>88</v>
      </c>
      <c r="D18" s="332" t="s">
        <v>89</v>
      </c>
      <c r="E18" s="8" t="s">
        <v>313</v>
      </c>
      <c r="F18" s="334">
        <v>0.08</v>
      </c>
      <c r="G18" s="330">
        <v>0.13</v>
      </c>
      <c r="H18" s="331">
        <f t="shared" si="0"/>
        <v>0.16</v>
      </c>
      <c r="I18" s="371">
        <f t="shared" si="1"/>
        <v>0.18</v>
      </c>
      <c r="J18" s="330">
        <v>0.12</v>
      </c>
      <c r="K18" s="331">
        <f t="shared" si="2"/>
        <v>0.16</v>
      </c>
      <c r="L18" s="371">
        <f t="shared" si="3"/>
        <v>0.18</v>
      </c>
      <c r="M18" s="372">
        <v>0.11</v>
      </c>
      <c r="N18" s="373">
        <f t="shared" si="4"/>
        <v>0.14000000000000001</v>
      </c>
      <c r="O18" s="374">
        <f t="shared" si="5"/>
        <v>0.16</v>
      </c>
      <c r="P18" s="375">
        <f t="shared" si="6"/>
        <v>0.13</v>
      </c>
      <c r="Q18" s="375">
        <f t="shared" si="7"/>
        <v>0.12</v>
      </c>
      <c r="R18" s="375">
        <f t="shared" si="8"/>
        <v>0.15</v>
      </c>
      <c r="S18" s="375">
        <f t="shared" si="9"/>
        <v>0.15</v>
      </c>
      <c r="T18" s="375">
        <f t="shared" si="10"/>
        <v>0.2</v>
      </c>
      <c r="U18" s="399">
        <f t="shared" si="11"/>
        <v>0.2</v>
      </c>
    </row>
    <row r="19" spans="2:21" s="324" customFormat="1" ht="30" customHeight="1">
      <c r="B19" s="649"/>
      <c r="C19" s="299" t="s">
        <v>62</v>
      </c>
      <c r="D19" s="332" t="s">
        <v>63</v>
      </c>
      <c r="E19" s="8" t="s">
        <v>285</v>
      </c>
      <c r="F19" s="334">
        <v>0.06</v>
      </c>
      <c r="G19" s="330">
        <v>0.1</v>
      </c>
      <c r="H19" s="331">
        <f t="shared" si="0"/>
        <v>0.13</v>
      </c>
      <c r="I19" s="371">
        <f t="shared" si="1"/>
        <v>0.15</v>
      </c>
      <c r="J19" s="330">
        <v>0.09</v>
      </c>
      <c r="K19" s="331">
        <f t="shared" si="2"/>
        <v>0.13</v>
      </c>
      <c r="L19" s="371">
        <f t="shared" si="3"/>
        <v>0.15</v>
      </c>
      <c r="M19" s="372">
        <v>0.08</v>
      </c>
      <c r="N19" s="373">
        <f t="shared" si="4"/>
        <v>0.11</v>
      </c>
      <c r="O19" s="374">
        <f t="shared" si="5"/>
        <v>0.13</v>
      </c>
      <c r="P19" s="375">
        <f t="shared" si="6"/>
        <v>0.1</v>
      </c>
      <c r="Q19" s="375">
        <f t="shared" si="7"/>
        <v>0.1</v>
      </c>
      <c r="R19" s="375">
        <f t="shared" si="8"/>
        <v>0.15</v>
      </c>
      <c r="S19" s="375">
        <f t="shared" si="9"/>
        <v>0.15</v>
      </c>
      <c r="T19" s="375">
        <f t="shared" si="10"/>
        <v>0.2</v>
      </c>
      <c r="U19" s="399">
        <f t="shared" si="11"/>
        <v>0.2</v>
      </c>
    </row>
    <row r="20" spans="2:21" s="324" customFormat="1" ht="30" customHeight="1">
      <c r="B20" s="649"/>
      <c r="C20" s="299" t="s">
        <v>60</v>
      </c>
      <c r="D20" s="332" t="s">
        <v>61</v>
      </c>
      <c r="E20" s="8" t="s">
        <v>285</v>
      </c>
      <c r="F20" s="334">
        <v>0.08</v>
      </c>
      <c r="G20" s="330">
        <v>0.11</v>
      </c>
      <c r="H20" s="331">
        <f t="shared" si="0"/>
        <v>0.14000000000000001</v>
      </c>
      <c r="I20" s="371">
        <f t="shared" si="1"/>
        <v>0.16</v>
      </c>
      <c r="J20" s="330">
        <v>0.1</v>
      </c>
      <c r="K20" s="331">
        <f t="shared" si="2"/>
        <v>0.14000000000000001</v>
      </c>
      <c r="L20" s="371">
        <f t="shared" si="3"/>
        <v>0.16</v>
      </c>
      <c r="M20" s="372">
        <v>0.09</v>
      </c>
      <c r="N20" s="373">
        <f t="shared" si="4"/>
        <v>0.12</v>
      </c>
      <c r="O20" s="374">
        <f t="shared" si="5"/>
        <v>0.14000000000000001</v>
      </c>
      <c r="P20" s="375">
        <f t="shared" si="6"/>
        <v>0.11</v>
      </c>
      <c r="Q20" s="375">
        <f t="shared" si="7"/>
        <v>0.1</v>
      </c>
      <c r="R20" s="375">
        <f t="shared" si="8"/>
        <v>0.15</v>
      </c>
      <c r="S20" s="375">
        <f t="shared" si="9"/>
        <v>0.15</v>
      </c>
      <c r="T20" s="375">
        <f t="shared" si="10"/>
        <v>0.2</v>
      </c>
      <c r="U20" s="399">
        <f t="shared" si="11"/>
        <v>0.2</v>
      </c>
    </row>
    <row r="21" spans="2:21" s="324" customFormat="1" ht="30" customHeight="1">
      <c r="B21" s="649"/>
      <c r="C21" s="299" t="s">
        <v>318</v>
      </c>
      <c r="D21" s="332" t="s">
        <v>67</v>
      </c>
      <c r="E21" s="8" t="s">
        <v>285</v>
      </c>
      <c r="F21" s="334">
        <v>0.06</v>
      </c>
      <c r="G21" s="330">
        <v>0.08</v>
      </c>
      <c r="H21" s="331">
        <f t="shared" si="0"/>
        <v>0.11</v>
      </c>
      <c r="I21" s="371">
        <f t="shared" si="1"/>
        <v>0.13</v>
      </c>
      <c r="J21" s="330">
        <v>7.0000000000000007E-2</v>
      </c>
      <c r="K21" s="331">
        <f t="shared" si="2"/>
        <v>0.11</v>
      </c>
      <c r="L21" s="371">
        <f t="shared" si="3"/>
        <v>0.13</v>
      </c>
      <c r="M21" s="372">
        <v>0.06</v>
      </c>
      <c r="N21" s="373">
        <f t="shared" si="4"/>
        <v>0.09</v>
      </c>
      <c r="O21" s="374">
        <f t="shared" si="5"/>
        <v>0.11</v>
      </c>
      <c r="P21" s="375">
        <f t="shared" si="6"/>
        <v>0.1</v>
      </c>
      <c r="Q21" s="375">
        <f t="shared" si="7"/>
        <v>0.1</v>
      </c>
      <c r="R21" s="375">
        <f t="shared" si="8"/>
        <v>0.15</v>
      </c>
      <c r="S21" s="375">
        <f t="shared" si="9"/>
        <v>0.15</v>
      </c>
      <c r="T21" s="375">
        <f t="shared" si="10"/>
        <v>0.2</v>
      </c>
      <c r="U21" s="399">
        <f t="shared" si="11"/>
        <v>0.2</v>
      </c>
    </row>
    <row r="22" spans="2:21" s="324" customFormat="1" ht="30" customHeight="1">
      <c r="B22" s="649"/>
      <c r="C22" s="299" t="s">
        <v>617</v>
      </c>
      <c r="D22" s="332" t="s">
        <v>65</v>
      </c>
      <c r="E22" s="8" t="s">
        <v>292</v>
      </c>
      <c r="F22" s="334">
        <v>0.08</v>
      </c>
      <c r="G22" s="336">
        <v>0.11</v>
      </c>
      <c r="H22" s="337">
        <f t="shared" si="0"/>
        <v>0.14000000000000001</v>
      </c>
      <c r="I22" s="376">
        <f t="shared" si="1"/>
        <v>0.16</v>
      </c>
      <c r="J22" s="336">
        <v>0.1</v>
      </c>
      <c r="K22" s="337">
        <f t="shared" si="2"/>
        <v>0.14000000000000001</v>
      </c>
      <c r="L22" s="376">
        <f t="shared" si="3"/>
        <v>0.16</v>
      </c>
      <c r="M22" s="336">
        <v>0.09</v>
      </c>
      <c r="N22" s="337">
        <f t="shared" si="4"/>
        <v>0.12</v>
      </c>
      <c r="O22" s="376">
        <f t="shared" si="5"/>
        <v>0.14000000000000001</v>
      </c>
      <c r="P22" s="377">
        <f t="shared" si="6"/>
        <v>0.11</v>
      </c>
      <c r="Q22" s="375">
        <f t="shared" si="7"/>
        <v>0.1</v>
      </c>
      <c r="R22" s="375">
        <f t="shared" si="8"/>
        <v>0.15</v>
      </c>
      <c r="S22" s="375">
        <f t="shared" si="9"/>
        <v>0.15</v>
      </c>
      <c r="T22" s="375">
        <f t="shared" si="10"/>
        <v>0.2</v>
      </c>
      <c r="U22" s="399">
        <f t="shared" si="11"/>
        <v>0.2</v>
      </c>
    </row>
    <row r="23" spans="2:21" s="324" customFormat="1" ht="47.25" customHeight="1">
      <c r="B23" s="649"/>
      <c r="C23" s="837" t="s">
        <v>320</v>
      </c>
      <c r="D23" s="827" t="s">
        <v>59</v>
      </c>
      <c r="E23" s="902" t="s">
        <v>285</v>
      </c>
      <c r="F23" s="801">
        <v>0.09</v>
      </c>
      <c r="G23" s="779">
        <v>0.11</v>
      </c>
      <c r="H23" s="731">
        <f t="shared" si="0"/>
        <v>0.14000000000000001</v>
      </c>
      <c r="I23" s="777">
        <f t="shared" si="1"/>
        <v>0.16</v>
      </c>
      <c r="J23" s="779">
        <v>0.1</v>
      </c>
      <c r="K23" s="731">
        <f t="shared" si="2"/>
        <v>0.14000000000000001</v>
      </c>
      <c r="L23" s="777">
        <f t="shared" si="3"/>
        <v>0.16</v>
      </c>
      <c r="M23" s="891">
        <v>0.09</v>
      </c>
      <c r="N23" s="760">
        <f t="shared" si="4"/>
        <v>0.12</v>
      </c>
      <c r="O23" s="728">
        <f t="shared" si="5"/>
        <v>0.14000000000000001</v>
      </c>
      <c r="P23" s="378" t="s">
        <v>618</v>
      </c>
      <c r="Q23" s="378" t="s">
        <v>619</v>
      </c>
      <c r="R23" s="378" t="s">
        <v>620</v>
      </c>
      <c r="S23" s="378" t="s">
        <v>621</v>
      </c>
      <c r="T23" s="378" t="s">
        <v>614</v>
      </c>
      <c r="U23" s="400" t="s">
        <v>615</v>
      </c>
    </row>
    <row r="24" spans="2:21" s="324" customFormat="1" ht="30" customHeight="1">
      <c r="B24" s="844"/>
      <c r="C24" s="838"/>
      <c r="D24" s="828"/>
      <c r="E24" s="903"/>
      <c r="F24" s="802"/>
      <c r="G24" s="780"/>
      <c r="H24" s="786"/>
      <c r="I24" s="784"/>
      <c r="J24" s="780"/>
      <c r="K24" s="786"/>
      <c r="L24" s="784"/>
      <c r="M24" s="892"/>
      <c r="N24" s="761"/>
      <c r="O24" s="893"/>
      <c r="P24" s="379">
        <f>MAX(10%,G23)</f>
        <v>0.11</v>
      </c>
      <c r="Q24" s="379">
        <f>MAX(10%,J23)</f>
        <v>0.1</v>
      </c>
      <c r="R24" s="379">
        <f>MAX(15%,G23)</f>
        <v>0.15</v>
      </c>
      <c r="S24" s="379">
        <f>MAX(15%,J24)</f>
        <v>0.15</v>
      </c>
      <c r="T24" s="379">
        <f>MAX(20%,G23)</f>
        <v>0.2</v>
      </c>
      <c r="U24" s="401">
        <f>MAX(J23,20%)</f>
        <v>0.2</v>
      </c>
    </row>
    <row r="25" spans="2:21" s="324" customFormat="1" ht="50.25" customHeight="1">
      <c r="B25" s="845" t="s">
        <v>9</v>
      </c>
      <c r="C25" s="839" t="s">
        <v>95</v>
      </c>
      <c r="D25" s="829" t="s">
        <v>96</v>
      </c>
      <c r="E25" s="904" t="s">
        <v>285</v>
      </c>
      <c r="F25" s="803">
        <v>0.06</v>
      </c>
      <c r="G25" s="781">
        <v>0.1</v>
      </c>
      <c r="H25" s="762">
        <f>MAX(G25,N25+2%)</f>
        <v>0.13</v>
      </c>
      <c r="I25" s="883">
        <f>MAX(G25,O25+2%)</f>
        <v>0.15</v>
      </c>
      <c r="J25" s="781">
        <v>0.09</v>
      </c>
      <c r="K25" s="762">
        <f>MAX(J25,N25+2%)</f>
        <v>0.13</v>
      </c>
      <c r="L25" s="883">
        <f>MAX(J25,O25+2%)</f>
        <v>0.15</v>
      </c>
      <c r="M25" s="781">
        <v>0.08</v>
      </c>
      <c r="N25" s="762">
        <f>M25+3%</f>
        <v>0.11</v>
      </c>
      <c r="O25" s="883">
        <f>N25+2%</f>
        <v>0.13</v>
      </c>
      <c r="P25" s="380" t="s">
        <v>622</v>
      </c>
      <c r="Q25" s="380" t="s">
        <v>623</v>
      </c>
      <c r="R25" s="380" t="s">
        <v>624</v>
      </c>
      <c r="S25" s="380" t="s">
        <v>625</v>
      </c>
      <c r="T25" s="380" t="s">
        <v>614</v>
      </c>
      <c r="U25" s="402" t="s">
        <v>615</v>
      </c>
    </row>
    <row r="26" spans="2:21" s="324" customFormat="1" ht="30" customHeight="1">
      <c r="B26" s="846"/>
      <c r="C26" s="840"/>
      <c r="D26" s="826"/>
      <c r="E26" s="789"/>
      <c r="F26" s="804"/>
      <c r="G26" s="782"/>
      <c r="H26" s="763"/>
      <c r="I26" s="884"/>
      <c r="J26" s="782"/>
      <c r="K26" s="763"/>
      <c r="L26" s="884"/>
      <c r="M26" s="782"/>
      <c r="N26" s="763"/>
      <c r="O26" s="884"/>
      <c r="P26" s="375">
        <f>MAX(10%,G25)</f>
        <v>0.1</v>
      </c>
      <c r="Q26" s="375">
        <f>MAX(10%,J25)</f>
        <v>0.1</v>
      </c>
      <c r="R26" s="375">
        <f>MAX(15%,G25)</f>
        <v>0.15</v>
      </c>
      <c r="S26" s="375">
        <f>MAX(15%,J26)</f>
        <v>0.15</v>
      </c>
      <c r="T26" s="375">
        <f>MAX(20%,G25)</f>
        <v>0.2</v>
      </c>
      <c r="U26" s="399">
        <f>MAX(J25,20%)</f>
        <v>0.2</v>
      </c>
    </row>
    <row r="27" spans="2:21" s="324" customFormat="1" ht="30" customHeight="1">
      <c r="B27" s="846"/>
      <c r="C27" s="339" t="s">
        <v>97</v>
      </c>
      <c r="D27" s="340" t="s">
        <v>98</v>
      </c>
      <c r="E27" s="303" t="s">
        <v>292</v>
      </c>
      <c r="F27" s="334">
        <v>7.0000000000000007E-2</v>
      </c>
      <c r="G27" s="330">
        <v>0.09</v>
      </c>
      <c r="H27" s="331">
        <f>MAX(G27,N27+2%)</f>
        <v>0.12</v>
      </c>
      <c r="I27" s="371">
        <f>MAX(G27,O27+2%)</f>
        <v>0.14000000000000001</v>
      </c>
      <c r="J27" s="330">
        <v>0.08</v>
      </c>
      <c r="K27" s="331">
        <f>MAX(J27,N27+2%)</f>
        <v>0.12</v>
      </c>
      <c r="L27" s="371">
        <f>MAX(J27,O27+2%)</f>
        <v>0.14000000000000001</v>
      </c>
      <c r="M27" s="372">
        <v>7.0000000000000007E-2</v>
      </c>
      <c r="N27" s="373">
        <f>M27+3%</f>
        <v>0.1</v>
      </c>
      <c r="O27" s="374">
        <f>N27+2%</f>
        <v>0.12</v>
      </c>
      <c r="P27" s="375">
        <f>MAX(10%,G27)</f>
        <v>0.1</v>
      </c>
      <c r="Q27" s="375">
        <f>MAX(10%,J27)</f>
        <v>0.1</v>
      </c>
      <c r="R27" s="375">
        <f>MAX(15%,G27)</f>
        <v>0.15</v>
      </c>
      <c r="S27" s="375">
        <f>MAX(15%,J27)</f>
        <v>0.15</v>
      </c>
      <c r="T27" s="375">
        <f>MAX(20%,G26)</f>
        <v>0.2</v>
      </c>
      <c r="U27" s="399">
        <f>MAX(J27,20%)</f>
        <v>0.2</v>
      </c>
    </row>
    <row r="28" spans="2:21" s="324" customFormat="1" ht="50.1" customHeight="1">
      <c r="B28" s="846"/>
      <c r="C28" s="840" t="s">
        <v>91</v>
      </c>
      <c r="D28" s="826" t="s">
        <v>92</v>
      </c>
      <c r="E28" s="789" t="s">
        <v>279</v>
      </c>
      <c r="F28" s="805">
        <v>0.09</v>
      </c>
      <c r="G28" s="734">
        <v>0.11</v>
      </c>
      <c r="H28" s="731">
        <f>MAX(G28,N28+2%)</f>
        <v>0.14000000000000001</v>
      </c>
      <c r="I28" s="777">
        <f>MAX(G28,O28+2%)</f>
        <v>0.16</v>
      </c>
      <c r="J28" s="734">
        <v>0.1</v>
      </c>
      <c r="K28" s="731">
        <f>MAX(J28,N28+2%)</f>
        <v>0.14000000000000001</v>
      </c>
      <c r="L28" s="777">
        <f>MAX(J28,O28+2%)</f>
        <v>0.16</v>
      </c>
      <c r="M28" s="758">
        <v>0.09</v>
      </c>
      <c r="N28" s="760">
        <f>M28+3%</f>
        <v>0.12</v>
      </c>
      <c r="O28" s="728">
        <f>N28+2%</f>
        <v>0.14000000000000001</v>
      </c>
      <c r="P28" s="378" t="s">
        <v>622</v>
      </c>
      <c r="Q28" s="378" t="s">
        <v>623</v>
      </c>
      <c r="R28" s="876" t="s">
        <v>614</v>
      </c>
      <c r="S28" s="876"/>
      <c r="T28" s="876" t="s">
        <v>615</v>
      </c>
      <c r="U28" s="877"/>
    </row>
    <row r="29" spans="2:21" s="324" customFormat="1" ht="30" customHeight="1">
      <c r="B29" s="846"/>
      <c r="C29" s="840"/>
      <c r="D29" s="826"/>
      <c r="E29" s="789"/>
      <c r="F29" s="806"/>
      <c r="G29" s="734"/>
      <c r="H29" s="731"/>
      <c r="I29" s="777"/>
      <c r="J29" s="734"/>
      <c r="K29" s="731"/>
      <c r="L29" s="777"/>
      <c r="M29" s="758"/>
      <c r="N29" s="760"/>
      <c r="O29" s="728"/>
      <c r="P29" s="381">
        <f>MAX(10%,G28)</f>
        <v>0.11</v>
      </c>
      <c r="Q29" s="375">
        <f>MAX(10%,J28)</f>
        <v>0.1</v>
      </c>
      <c r="R29" s="874">
        <f>MAX(G28,20%)</f>
        <v>0.2</v>
      </c>
      <c r="S29" s="874"/>
      <c r="T29" s="874">
        <f>MAX(J28,20%)</f>
        <v>0.2</v>
      </c>
      <c r="U29" s="875"/>
    </row>
    <row r="30" spans="2:21" s="324" customFormat="1" ht="30" customHeight="1">
      <c r="B30" s="846"/>
      <c r="C30" s="339" t="s">
        <v>93</v>
      </c>
      <c r="D30" s="340" t="s">
        <v>94</v>
      </c>
      <c r="E30" s="303" t="s">
        <v>285</v>
      </c>
      <c r="F30" s="334">
        <v>0.08</v>
      </c>
      <c r="G30" s="330">
        <v>0.11</v>
      </c>
      <c r="H30" s="331">
        <f>MAX(G30,N30+2%)</f>
        <v>0.14000000000000001</v>
      </c>
      <c r="I30" s="371">
        <f>O30+2%</f>
        <v>0.16</v>
      </c>
      <c r="J30" s="330">
        <v>0.1</v>
      </c>
      <c r="K30" s="331">
        <f>MAX(J30,N30+2%)</f>
        <v>0.14000000000000001</v>
      </c>
      <c r="L30" s="371">
        <f>MAX(J30,O30+2%)</f>
        <v>0.16</v>
      </c>
      <c r="M30" s="372">
        <v>0.09</v>
      </c>
      <c r="N30" s="373">
        <f>M30+3%</f>
        <v>0.12</v>
      </c>
      <c r="O30" s="374">
        <f>N30+2%</f>
        <v>0.14000000000000001</v>
      </c>
      <c r="P30" s="381">
        <f>MAX(10%,G30)</f>
        <v>0.11</v>
      </c>
      <c r="Q30" s="375">
        <f>MAX(10%,J30)</f>
        <v>0.1</v>
      </c>
      <c r="R30" s="874">
        <f>MAX(G30,20%)</f>
        <v>0.2</v>
      </c>
      <c r="S30" s="874"/>
      <c r="T30" s="874">
        <f>MAX(J30,20%)</f>
        <v>0.2</v>
      </c>
      <c r="U30" s="875"/>
    </row>
    <row r="31" spans="2:21" s="324" customFormat="1" ht="51" customHeight="1">
      <c r="B31" s="846"/>
      <c r="C31" s="841" t="s">
        <v>626</v>
      </c>
      <c r="D31" s="830" t="s">
        <v>101</v>
      </c>
      <c r="E31" s="814" t="s">
        <v>627</v>
      </c>
      <c r="F31" s="801">
        <v>0.17</v>
      </c>
      <c r="G31" s="779">
        <v>0.18</v>
      </c>
      <c r="H31" s="786">
        <f>MAX(G31,N31+2%)</f>
        <v>0.21</v>
      </c>
      <c r="I31" s="784">
        <f>O31+2%</f>
        <v>0.23</v>
      </c>
      <c r="J31" s="779">
        <v>0.18</v>
      </c>
      <c r="K31" s="786">
        <f>MAX(J31,N31+2%)</f>
        <v>0.21</v>
      </c>
      <c r="L31" s="784">
        <f>MAX(J31,O31+2%)</f>
        <v>0.23</v>
      </c>
      <c r="M31" s="891">
        <v>0.16</v>
      </c>
      <c r="N31" s="761">
        <f>M31+3%</f>
        <v>0.19</v>
      </c>
      <c r="O31" s="895">
        <f>N31+2%</f>
        <v>0.21</v>
      </c>
      <c r="P31" s="382" t="s">
        <v>628</v>
      </c>
      <c r="Q31" s="382" t="s">
        <v>629</v>
      </c>
      <c r="R31" s="876" t="s">
        <v>614</v>
      </c>
      <c r="S31" s="876"/>
      <c r="T31" s="876" t="s">
        <v>615</v>
      </c>
      <c r="U31" s="877"/>
    </row>
    <row r="32" spans="2:21" s="324" customFormat="1" ht="30" customHeight="1">
      <c r="B32" s="846"/>
      <c r="C32" s="842"/>
      <c r="D32" s="831"/>
      <c r="E32" s="815"/>
      <c r="F32" s="802"/>
      <c r="G32" s="783"/>
      <c r="H32" s="787"/>
      <c r="I32" s="785"/>
      <c r="J32" s="783"/>
      <c r="K32" s="787"/>
      <c r="L32" s="785"/>
      <c r="M32" s="894"/>
      <c r="N32" s="764"/>
      <c r="O32" s="896"/>
      <c r="P32" s="383">
        <f>MAX(G31,20%)</f>
        <v>0.2</v>
      </c>
      <c r="Q32" s="383">
        <f>MAX(J31,20%)</f>
        <v>0.2</v>
      </c>
      <c r="R32" s="878">
        <f>MAX(G31,30%)</f>
        <v>0.3</v>
      </c>
      <c r="S32" s="878"/>
      <c r="T32" s="878">
        <f>MAX(J31,30%)</f>
        <v>0.3</v>
      </c>
      <c r="U32" s="879"/>
    </row>
    <row r="33" spans="2:21" s="324" customFormat="1" ht="21" customHeight="1">
      <c r="B33" s="342"/>
      <c r="C33" s="343"/>
      <c r="D33" s="344"/>
      <c r="E33" s="344"/>
      <c r="F33" s="345"/>
      <c r="G33" s="345"/>
      <c r="H33" s="345"/>
      <c r="I33" s="345"/>
      <c r="J33" s="384"/>
      <c r="K33" s="345"/>
      <c r="L33" s="345"/>
      <c r="M33" s="384"/>
      <c r="N33" s="384"/>
      <c r="O33" s="384"/>
      <c r="P33" s="345"/>
      <c r="Q33" s="345"/>
      <c r="R33" s="345"/>
      <c r="S33" s="345"/>
      <c r="T33" s="345"/>
      <c r="U33" s="345"/>
    </row>
    <row r="34" spans="2:21" s="324" customFormat="1" ht="24.95" customHeight="1">
      <c r="B34" s="847" t="s">
        <v>35</v>
      </c>
      <c r="C34" s="723" t="s">
        <v>36</v>
      </c>
      <c r="D34" s="723" t="s">
        <v>37</v>
      </c>
      <c r="E34" s="723" t="s">
        <v>598</v>
      </c>
      <c r="F34" s="723" t="s">
        <v>599</v>
      </c>
      <c r="G34" s="797" t="s">
        <v>600</v>
      </c>
      <c r="H34" s="797"/>
      <c r="I34" s="797"/>
      <c r="J34" s="797"/>
      <c r="K34" s="797"/>
      <c r="L34" s="797"/>
      <c r="M34" s="723" t="s">
        <v>601</v>
      </c>
      <c r="N34" s="723"/>
      <c r="O34" s="723"/>
      <c r="P34" s="880" t="s">
        <v>630</v>
      </c>
      <c r="Q34" s="881"/>
      <c r="R34" s="881"/>
      <c r="S34" s="881"/>
      <c r="T34" s="881"/>
      <c r="U34" s="882"/>
    </row>
    <row r="35" spans="2:21" s="324" customFormat="1" ht="37.5" customHeight="1">
      <c r="B35" s="848"/>
      <c r="C35" s="724"/>
      <c r="D35" s="724"/>
      <c r="E35" s="724"/>
      <c r="F35" s="724"/>
      <c r="G35" s="798" t="s">
        <v>603</v>
      </c>
      <c r="H35" s="798"/>
      <c r="I35" s="798"/>
      <c r="J35" s="798" t="s">
        <v>604</v>
      </c>
      <c r="K35" s="798"/>
      <c r="L35" s="798"/>
      <c r="M35" s="724"/>
      <c r="N35" s="724"/>
      <c r="O35" s="724"/>
      <c r="P35" s="885" t="s">
        <v>605</v>
      </c>
      <c r="Q35" s="886"/>
      <c r="R35" s="886"/>
      <c r="S35" s="887"/>
      <c r="T35" s="888" t="s">
        <v>606</v>
      </c>
      <c r="U35" s="889"/>
    </row>
    <row r="36" spans="2:21" s="324" customFormat="1" ht="49.5" customHeight="1">
      <c r="B36" s="849"/>
      <c r="C36" s="724"/>
      <c r="D36" s="724"/>
      <c r="E36" s="724"/>
      <c r="F36" s="724"/>
      <c r="G36" s="135" t="s">
        <v>607</v>
      </c>
      <c r="H36" s="135" t="s">
        <v>608</v>
      </c>
      <c r="I36" s="135" t="s">
        <v>609</v>
      </c>
      <c r="J36" s="135" t="s">
        <v>607</v>
      </c>
      <c r="K36" s="135" t="s">
        <v>608</v>
      </c>
      <c r="L36" s="135" t="s">
        <v>609</v>
      </c>
      <c r="M36" s="135" t="s">
        <v>607</v>
      </c>
      <c r="N36" s="135" t="s">
        <v>610</v>
      </c>
      <c r="O36" s="135" t="s">
        <v>611</v>
      </c>
      <c r="P36" s="888" t="s">
        <v>631</v>
      </c>
      <c r="Q36" s="890"/>
      <c r="R36" s="888" t="s">
        <v>632</v>
      </c>
      <c r="S36" s="872"/>
      <c r="T36" s="326" t="s">
        <v>633</v>
      </c>
      <c r="U36" s="398" t="s">
        <v>634</v>
      </c>
    </row>
    <row r="37" spans="2:21" s="325" customFormat="1" ht="30" customHeight="1">
      <c r="B37" s="850" t="s">
        <v>635</v>
      </c>
      <c r="C37" s="347" t="s">
        <v>149</v>
      </c>
      <c r="D37" s="348" t="s">
        <v>150</v>
      </c>
      <c r="E37" s="349" t="s">
        <v>292</v>
      </c>
      <c r="F37" s="350">
        <v>0.06</v>
      </c>
      <c r="G37" s="351">
        <v>7.0000000000000007E-2</v>
      </c>
      <c r="H37" s="352">
        <f t="shared" ref="H37:H44" si="12">MAX(G37,N37+2%)</f>
        <v>0.11</v>
      </c>
      <c r="I37" s="385">
        <f t="shared" ref="I37:I44" si="13">MAX(G37,O37+2%)</f>
        <v>0.14000000000000001</v>
      </c>
      <c r="J37" s="351">
        <v>7.0000000000000007E-2</v>
      </c>
      <c r="K37" s="352">
        <f t="shared" ref="K37:K44" si="14">MAX(J37,N37+2%)</f>
        <v>0.11</v>
      </c>
      <c r="L37" s="385">
        <f t="shared" ref="L37:L44" si="15">MAX(J37,O37+2%)</f>
        <v>0.14000000000000001</v>
      </c>
      <c r="M37" s="386">
        <v>0.06</v>
      </c>
      <c r="N37" s="387">
        <f t="shared" ref="N37:O44" si="16">M37+3%</f>
        <v>0.09</v>
      </c>
      <c r="O37" s="388">
        <f t="shared" si="16"/>
        <v>0.12</v>
      </c>
      <c r="P37" s="776">
        <f t="shared" ref="P37:P44" si="17">MAX(G37,10%)</f>
        <v>0.1</v>
      </c>
      <c r="Q37" s="776"/>
      <c r="R37" s="776">
        <f t="shared" ref="R37:R44" si="18">MAX(J37,10%)</f>
        <v>0.1</v>
      </c>
      <c r="S37" s="776"/>
      <c r="T37" s="389">
        <f t="shared" ref="T37:T44" si="19">MAX(20%,G37)</f>
        <v>0.2</v>
      </c>
      <c r="U37" s="403">
        <f t="shared" ref="U37:U44" si="20">MAX(J37,20%)</f>
        <v>0.2</v>
      </c>
    </row>
    <row r="38" spans="2:21" s="325" customFormat="1" ht="30" customHeight="1">
      <c r="B38" s="851"/>
      <c r="C38" s="353" t="s">
        <v>152</v>
      </c>
      <c r="D38" s="354" t="s">
        <v>153</v>
      </c>
      <c r="E38" s="355" t="s">
        <v>292</v>
      </c>
      <c r="F38" s="356">
        <v>0.06</v>
      </c>
      <c r="G38" s="357">
        <v>0.05</v>
      </c>
      <c r="H38" s="358">
        <f t="shared" si="12"/>
        <v>0.09</v>
      </c>
      <c r="I38" s="390">
        <f t="shared" si="13"/>
        <v>0.12</v>
      </c>
      <c r="J38" s="357">
        <v>0.05</v>
      </c>
      <c r="K38" s="358">
        <f t="shared" si="14"/>
        <v>0.09</v>
      </c>
      <c r="L38" s="390">
        <f t="shared" si="15"/>
        <v>0.12</v>
      </c>
      <c r="M38" s="391">
        <v>0.04</v>
      </c>
      <c r="N38" s="392">
        <f t="shared" si="16"/>
        <v>7.0000000000000007E-2</v>
      </c>
      <c r="O38" s="393">
        <f t="shared" si="16"/>
        <v>0.1</v>
      </c>
      <c r="P38" s="776">
        <f t="shared" si="17"/>
        <v>0.1</v>
      </c>
      <c r="Q38" s="776"/>
      <c r="R38" s="776">
        <f t="shared" si="18"/>
        <v>0.1</v>
      </c>
      <c r="S38" s="776"/>
      <c r="T38" s="389">
        <f t="shared" si="19"/>
        <v>0.2</v>
      </c>
      <c r="U38" s="403">
        <f t="shared" si="20"/>
        <v>0.2</v>
      </c>
    </row>
    <row r="39" spans="2:21" s="325" customFormat="1" ht="30" customHeight="1">
      <c r="B39" s="852"/>
      <c r="C39" s="353" t="s">
        <v>154</v>
      </c>
      <c r="D39" s="359" t="s">
        <v>155</v>
      </c>
      <c r="E39" s="360" t="s">
        <v>285</v>
      </c>
      <c r="F39" s="350">
        <v>0.06</v>
      </c>
      <c r="G39" s="357">
        <v>7.0000000000000007E-2</v>
      </c>
      <c r="H39" s="358">
        <f t="shared" si="12"/>
        <v>0.11</v>
      </c>
      <c r="I39" s="390">
        <f t="shared" si="13"/>
        <v>0.14000000000000001</v>
      </c>
      <c r="J39" s="357">
        <v>7.0000000000000007E-2</v>
      </c>
      <c r="K39" s="358">
        <f t="shared" si="14"/>
        <v>0.11</v>
      </c>
      <c r="L39" s="390">
        <f t="shared" si="15"/>
        <v>0.14000000000000001</v>
      </c>
      <c r="M39" s="391">
        <v>0.06</v>
      </c>
      <c r="N39" s="392">
        <f t="shared" si="16"/>
        <v>0.09</v>
      </c>
      <c r="O39" s="393">
        <f t="shared" si="16"/>
        <v>0.12</v>
      </c>
      <c r="P39" s="776">
        <f t="shared" si="17"/>
        <v>0.1</v>
      </c>
      <c r="Q39" s="776"/>
      <c r="R39" s="776">
        <f t="shared" si="18"/>
        <v>0.1</v>
      </c>
      <c r="S39" s="776"/>
      <c r="T39" s="389">
        <f t="shared" si="19"/>
        <v>0.2</v>
      </c>
      <c r="U39" s="403">
        <f t="shared" si="20"/>
        <v>0.2</v>
      </c>
    </row>
    <row r="40" spans="2:21" s="325" customFormat="1" ht="30" customHeight="1">
      <c r="B40" s="852"/>
      <c r="C40" s="353" t="s">
        <v>162</v>
      </c>
      <c r="D40" s="818" t="s">
        <v>163</v>
      </c>
      <c r="E40" s="790" t="s">
        <v>292</v>
      </c>
      <c r="F40" s="807">
        <v>0.08</v>
      </c>
      <c r="G40" s="357">
        <v>7.0000000000000007E-2</v>
      </c>
      <c r="H40" s="358">
        <f t="shared" si="12"/>
        <v>0.11</v>
      </c>
      <c r="I40" s="390">
        <f t="shared" si="13"/>
        <v>0.14000000000000001</v>
      </c>
      <c r="J40" s="357">
        <v>7.0000000000000007E-2</v>
      </c>
      <c r="K40" s="358">
        <f t="shared" si="14"/>
        <v>0.11</v>
      </c>
      <c r="L40" s="390">
        <f t="shared" si="15"/>
        <v>0.14000000000000001</v>
      </c>
      <c r="M40" s="391">
        <v>0.06</v>
      </c>
      <c r="N40" s="392">
        <f t="shared" si="16"/>
        <v>0.09</v>
      </c>
      <c r="O40" s="393">
        <f t="shared" si="16"/>
        <v>0.12</v>
      </c>
      <c r="P40" s="776">
        <f t="shared" si="17"/>
        <v>0.1</v>
      </c>
      <c r="Q40" s="776"/>
      <c r="R40" s="776">
        <f t="shared" si="18"/>
        <v>0.1</v>
      </c>
      <c r="S40" s="776"/>
      <c r="T40" s="389">
        <f t="shared" si="19"/>
        <v>0.2</v>
      </c>
      <c r="U40" s="403">
        <f t="shared" si="20"/>
        <v>0.2</v>
      </c>
    </row>
    <row r="41" spans="2:21" s="325" customFormat="1" ht="30" customHeight="1">
      <c r="B41" s="852"/>
      <c r="C41" s="353" t="s">
        <v>636</v>
      </c>
      <c r="D41" s="832"/>
      <c r="E41" s="816"/>
      <c r="F41" s="808"/>
      <c r="G41" s="361">
        <v>0.08</v>
      </c>
      <c r="H41" s="362">
        <f t="shared" si="12"/>
        <v>0.12</v>
      </c>
      <c r="I41" s="394">
        <f t="shared" si="13"/>
        <v>0.15</v>
      </c>
      <c r="J41" s="361">
        <v>0.08</v>
      </c>
      <c r="K41" s="362">
        <f t="shared" si="14"/>
        <v>0.12</v>
      </c>
      <c r="L41" s="394">
        <f t="shared" si="15"/>
        <v>0.15</v>
      </c>
      <c r="M41" s="395">
        <v>7.0000000000000007E-2</v>
      </c>
      <c r="N41" s="396">
        <f t="shared" si="16"/>
        <v>0.1</v>
      </c>
      <c r="O41" s="397">
        <f t="shared" si="16"/>
        <v>0.13</v>
      </c>
      <c r="P41" s="776">
        <f t="shared" si="17"/>
        <v>0.1</v>
      </c>
      <c r="Q41" s="776"/>
      <c r="R41" s="776">
        <f t="shared" si="18"/>
        <v>0.1</v>
      </c>
      <c r="S41" s="776"/>
      <c r="T41" s="389">
        <f t="shared" si="19"/>
        <v>0.2</v>
      </c>
      <c r="U41" s="403">
        <f t="shared" si="20"/>
        <v>0.2</v>
      </c>
    </row>
    <row r="42" spans="2:21" s="325" customFormat="1" ht="30" customHeight="1">
      <c r="B42" s="852"/>
      <c r="C42" s="353" t="s">
        <v>637</v>
      </c>
      <c r="D42" s="359" t="s">
        <v>165</v>
      </c>
      <c r="E42" s="360" t="s">
        <v>292</v>
      </c>
      <c r="F42" s="363">
        <v>0.08</v>
      </c>
      <c r="G42" s="357">
        <v>7.0000000000000007E-2</v>
      </c>
      <c r="H42" s="358">
        <f t="shared" si="12"/>
        <v>0.11</v>
      </c>
      <c r="I42" s="390">
        <f t="shared" si="13"/>
        <v>0.14000000000000001</v>
      </c>
      <c r="J42" s="357">
        <v>7.0000000000000007E-2</v>
      </c>
      <c r="K42" s="358">
        <f t="shared" si="14"/>
        <v>0.11</v>
      </c>
      <c r="L42" s="390">
        <f t="shared" si="15"/>
        <v>0.14000000000000001</v>
      </c>
      <c r="M42" s="391">
        <v>0.06</v>
      </c>
      <c r="N42" s="392">
        <f t="shared" si="16"/>
        <v>0.09</v>
      </c>
      <c r="O42" s="393">
        <f t="shared" si="16"/>
        <v>0.12</v>
      </c>
      <c r="P42" s="776">
        <f t="shared" si="17"/>
        <v>0.1</v>
      </c>
      <c r="Q42" s="776"/>
      <c r="R42" s="776">
        <f t="shared" si="18"/>
        <v>0.1</v>
      </c>
      <c r="S42" s="776"/>
      <c r="T42" s="389">
        <f t="shared" si="19"/>
        <v>0.2</v>
      </c>
      <c r="U42" s="403">
        <f t="shared" si="20"/>
        <v>0.2</v>
      </c>
    </row>
    <row r="43" spans="2:21" s="325" customFormat="1" ht="30" customHeight="1">
      <c r="B43" s="852"/>
      <c r="C43" s="353" t="s">
        <v>156</v>
      </c>
      <c r="D43" s="818" t="s">
        <v>157</v>
      </c>
      <c r="E43" s="790" t="s">
        <v>303</v>
      </c>
      <c r="F43" s="807">
        <v>0.08</v>
      </c>
      <c r="G43" s="357">
        <v>0.1</v>
      </c>
      <c r="H43" s="358">
        <f t="shared" si="12"/>
        <v>0.14000000000000001</v>
      </c>
      <c r="I43" s="390">
        <f t="shared" si="13"/>
        <v>0.17</v>
      </c>
      <c r="J43" s="357">
        <v>0.1</v>
      </c>
      <c r="K43" s="358">
        <f t="shared" si="14"/>
        <v>0.14000000000000001</v>
      </c>
      <c r="L43" s="390">
        <f t="shared" si="15"/>
        <v>0.17</v>
      </c>
      <c r="M43" s="391">
        <v>0.09</v>
      </c>
      <c r="N43" s="392">
        <f t="shared" si="16"/>
        <v>0.12</v>
      </c>
      <c r="O43" s="393">
        <f t="shared" si="16"/>
        <v>0.15</v>
      </c>
      <c r="P43" s="776">
        <f t="shared" si="17"/>
        <v>0.1</v>
      </c>
      <c r="Q43" s="776"/>
      <c r="R43" s="776">
        <f t="shared" si="18"/>
        <v>0.1</v>
      </c>
      <c r="S43" s="776"/>
      <c r="T43" s="389">
        <f t="shared" si="19"/>
        <v>0.2</v>
      </c>
      <c r="U43" s="403">
        <f t="shared" si="20"/>
        <v>0.2</v>
      </c>
    </row>
    <row r="44" spans="2:21" s="325" customFormat="1" ht="30" customHeight="1">
      <c r="B44" s="852"/>
      <c r="C44" s="353" t="s">
        <v>638</v>
      </c>
      <c r="D44" s="832"/>
      <c r="E44" s="791"/>
      <c r="F44" s="808"/>
      <c r="G44" s="357">
        <v>0.12</v>
      </c>
      <c r="H44" s="358">
        <f t="shared" si="12"/>
        <v>0.15</v>
      </c>
      <c r="I44" s="390">
        <f t="shared" si="13"/>
        <v>0.18</v>
      </c>
      <c r="J44" s="357">
        <v>0.12</v>
      </c>
      <c r="K44" s="358">
        <f t="shared" si="14"/>
        <v>0.15</v>
      </c>
      <c r="L44" s="390">
        <f t="shared" si="15"/>
        <v>0.18</v>
      </c>
      <c r="M44" s="391">
        <v>0.1</v>
      </c>
      <c r="N44" s="392">
        <f t="shared" si="16"/>
        <v>0.13</v>
      </c>
      <c r="O44" s="393">
        <f t="shared" si="16"/>
        <v>0.16</v>
      </c>
      <c r="P44" s="776">
        <f t="shared" si="17"/>
        <v>0.12</v>
      </c>
      <c r="Q44" s="776"/>
      <c r="R44" s="776">
        <f t="shared" si="18"/>
        <v>0.12</v>
      </c>
      <c r="S44" s="776"/>
      <c r="T44" s="389">
        <f t="shared" si="19"/>
        <v>0.2</v>
      </c>
      <c r="U44" s="403">
        <f t="shared" si="20"/>
        <v>0.2</v>
      </c>
    </row>
    <row r="45" spans="2:21" s="325" customFormat="1" ht="30" customHeight="1">
      <c r="B45" s="852"/>
      <c r="C45" s="353" t="s">
        <v>160</v>
      </c>
      <c r="D45" s="359" t="s">
        <v>161</v>
      </c>
      <c r="E45" s="364" t="s">
        <v>285</v>
      </c>
      <c r="F45" s="363">
        <v>7.0000000000000007E-2</v>
      </c>
      <c r="G45" s="357">
        <v>0.08</v>
      </c>
      <c r="H45" s="358">
        <f t="shared" ref="H45:H50" si="21">MAX(G45,N45+2%)</f>
        <v>0.12</v>
      </c>
      <c r="I45" s="390">
        <f t="shared" ref="I45:I50" si="22">MAX(G45,O45+2%)</f>
        <v>0.15</v>
      </c>
      <c r="J45" s="357">
        <v>0.08</v>
      </c>
      <c r="K45" s="358">
        <f t="shared" ref="K45:K50" si="23">MAX(J45,N45+2%)</f>
        <v>0.12</v>
      </c>
      <c r="L45" s="390">
        <f t="shared" ref="L45:L50" si="24">MAX(J45,O45+2%)</f>
        <v>0.15</v>
      </c>
      <c r="M45" s="391">
        <v>7.0000000000000007E-2</v>
      </c>
      <c r="N45" s="392">
        <f t="shared" ref="N45:N50" si="25">M45+3%</f>
        <v>0.1</v>
      </c>
      <c r="O45" s="393">
        <f t="shared" ref="O45:O50" si="26">N45+3%</f>
        <v>0.13</v>
      </c>
      <c r="P45" s="776">
        <f t="shared" ref="P45:P50" si="27">MAX(G45,10%)</f>
        <v>0.1</v>
      </c>
      <c r="Q45" s="776"/>
      <c r="R45" s="776">
        <f t="shared" ref="R45:R50" si="28">MAX(J45,10%)</f>
        <v>0.1</v>
      </c>
      <c r="S45" s="776"/>
      <c r="T45" s="389">
        <f t="shared" ref="T45:T50" si="29">MAX(20%,G45)</f>
        <v>0.2</v>
      </c>
      <c r="U45" s="403">
        <f t="shared" ref="U45:U50" si="30">MAX(J45,20%)</f>
        <v>0.2</v>
      </c>
    </row>
    <row r="46" spans="2:21" s="325" customFormat="1" ht="30" customHeight="1">
      <c r="B46" s="852"/>
      <c r="C46" s="353" t="s">
        <v>158</v>
      </c>
      <c r="D46" s="359" t="s">
        <v>159</v>
      </c>
      <c r="E46" s="364" t="s">
        <v>303</v>
      </c>
      <c r="F46" s="363">
        <v>0.08</v>
      </c>
      <c r="G46" s="357">
        <v>0.1</v>
      </c>
      <c r="H46" s="358">
        <f t="shared" si="21"/>
        <v>0.14000000000000001</v>
      </c>
      <c r="I46" s="390">
        <f t="shared" si="22"/>
        <v>0.17</v>
      </c>
      <c r="J46" s="357">
        <v>0.1</v>
      </c>
      <c r="K46" s="358">
        <f t="shared" si="23"/>
        <v>0.14000000000000001</v>
      </c>
      <c r="L46" s="390">
        <f t="shared" si="24"/>
        <v>0.17</v>
      </c>
      <c r="M46" s="391">
        <v>0.09</v>
      </c>
      <c r="N46" s="392">
        <f t="shared" si="25"/>
        <v>0.12</v>
      </c>
      <c r="O46" s="393">
        <f t="shared" si="26"/>
        <v>0.15</v>
      </c>
      <c r="P46" s="776">
        <f t="shared" si="27"/>
        <v>0.1</v>
      </c>
      <c r="Q46" s="776"/>
      <c r="R46" s="776">
        <f t="shared" si="28"/>
        <v>0.1</v>
      </c>
      <c r="S46" s="776"/>
      <c r="T46" s="389">
        <f t="shared" si="29"/>
        <v>0.2</v>
      </c>
      <c r="U46" s="403">
        <f t="shared" si="30"/>
        <v>0.2</v>
      </c>
    </row>
    <row r="47" spans="2:21" s="325" customFormat="1" ht="30" customHeight="1">
      <c r="B47" s="852"/>
      <c r="C47" s="353" t="s">
        <v>168</v>
      </c>
      <c r="D47" s="818" t="s">
        <v>169</v>
      </c>
      <c r="E47" s="792" t="s">
        <v>285</v>
      </c>
      <c r="F47" s="807">
        <v>0.06</v>
      </c>
      <c r="G47" s="357">
        <v>7.0000000000000007E-2</v>
      </c>
      <c r="H47" s="358">
        <f t="shared" si="21"/>
        <v>0.11</v>
      </c>
      <c r="I47" s="390">
        <f t="shared" si="22"/>
        <v>0.14000000000000001</v>
      </c>
      <c r="J47" s="357">
        <v>7.0000000000000007E-2</v>
      </c>
      <c r="K47" s="358">
        <f t="shared" si="23"/>
        <v>0.11</v>
      </c>
      <c r="L47" s="390">
        <f t="shared" si="24"/>
        <v>0.14000000000000001</v>
      </c>
      <c r="M47" s="391">
        <v>0.06</v>
      </c>
      <c r="N47" s="392">
        <f t="shared" si="25"/>
        <v>0.09</v>
      </c>
      <c r="O47" s="393">
        <f t="shared" si="26"/>
        <v>0.12</v>
      </c>
      <c r="P47" s="754">
        <f t="shared" si="27"/>
        <v>0.1</v>
      </c>
      <c r="Q47" s="755"/>
      <c r="R47" s="754">
        <f t="shared" si="28"/>
        <v>0.1</v>
      </c>
      <c r="S47" s="755"/>
      <c r="T47" s="729">
        <f t="shared" si="29"/>
        <v>0.2</v>
      </c>
      <c r="U47" s="751">
        <f t="shared" si="30"/>
        <v>0.2</v>
      </c>
    </row>
    <row r="48" spans="2:21" s="325" customFormat="1" ht="30" customHeight="1">
      <c r="B48" s="852"/>
      <c r="C48" s="353" t="s">
        <v>639</v>
      </c>
      <c r="D48" s="832"/>
      <c r="E48" s="817"/>
      <c r="F48" s="808"/>
      <c r="G48" s="357">
        <v>0.1</v>
      </c>
      <c r="H48" s="358">
        <f>MAX(G48,N48+2%)</f>
        <v>0.13</v>
      </c>
      <c r="I48" s="390">
        <f>MAX(G48,O48+2%)</f>
        <v>0.16</v>
      </c>
      <c r="J48" s="357">
        <v>0.1</v>
      </c>
      <c r="K48" s="358">
        <f>MAX(J48,N48+2%)</f>
        <v>0.13</v>
      </c>
      <c r="L48" s="390">
        <f>MAX(J48,O48+2%)</f>
        <v>0.16</v>
      </c>
      <c r="M48" s="391">
        <v>0.08</v>
      </c>
      <c r="N48" s="392">
        <f>M48+3%</f>
        <v>0.11</v>
      </c>
      <c r="O48" s="393">
        <f>N48+3%</f>
        <v>0.14000000000000001</v>
      </c>
      <c r="P48" s="756"/>
      <c r="Q48" s="757"/>
      <c r="R48" s="756"/>
      <c r="S48" s="757"/>
      <c r="T48" s="730"/>
      <c r="U48" s="752"/>
    </row>
    <row r="49" spans="2:21" s="325" customFormat="1" ht="30" customHeight="1">
      <c r="B49" s="852"/>
      <c r="C49" s="353" t="s">
        <v>355</v>
      </c>
      <c r="D49" s="818" t="s">
        <v>167</v>
      </c>
      <c r="E49" s="790" t="s">
        <v>285</v>
      </c>
      <c r="F49" s="807">
        <v>0.06</v>
      </c>
      <c r="G49" s="357">
        <v>7.0000000000000007E-2</v>
      </c>
      <c r="H49" s="358">
        <f t="shared" si="21"/>
        <v>0.11</v>
      </c>
      <c r="I49" s="390">
        <f t="shared" si="22"/>
        <v>0.14000000000000001</v>
      </c>
      <c r="J49" s="357">
        <v>7.0000000000000007E-2</v>
      </c>
      <c r="K49" s="358">
        <f t="shared" si="23"/>
        <v>0.11</v>
      </c>
      <c r="L49" s="390">
        <f t="shared" si="24"/>
        <v>0.14000000000000001</v>
      </c>
      <c r="M49" s="391">
        <v>0.06</v>
      </c>
      <c r="N49" s="392">
        <f t="shared" si="25"/>
        <v>0.09</v>
      </c>
      <c r="O49" s="393">
        <f t="shared" si="26"/>
        <v>0.12</v>
      </c>
      <c r="P49" s="776">
        <f t="shared" si="27"/>
        <v>0.1</v>
      </c>
      <c r="Q49" s="776"/>
      <c r="R49" s="776">
        <f t="shared" si="28"/>
        <v>0.1</v>
      </c>
      <c r="S49" s="776"/>
      <c r="T49" s="389">
        <f t="shared" si="29"/>
        <v>0.2</v>
      </c>
      <c r="U49" s="403">
        <f t="shared" si="30"/>
        <v>0.2</v>
      </c>
    </row>
    <row r="50" spans="2:21" s="325" customFormat="1" ht="30" customHeight="1">
      <c r="B50" s="852"/>
      <c r="C50" s="353" t="s">
        <v>640</v>
      </c>
      <c r="D50" s="819"/>
      <c r="E50" s="791"/>
      <c r="F50" s="808"/>
      <c r="G50" s="357">
        <v>0.09</v>
      </c>
      <c r="H50" s="358">
        <f t="shared" si="21"/>
        <v>0.13</v>
      </c>
      <c r="I50" s="390">
        <f t="shared" si="22"/>
        <v>0.16</v>
      </c>
      <c r="J50" s="357">
        <v>0.09</v>
      </c>
      <c r="K50" s="358">
        <f t="shared" si="23"/>
        <v>0.13</v>
      </c>
      <c r="L50" s="390">
        <f t="shared" si="24"/>
        <v>0.16</v>
      </c>
      <c r="M50" s="391">
        <v>0.08</v>
      </c>
      <c r="N50" s="392">
        <f t="shared" si="25"/>
        <v>0.11</v>
      </c>
      <c r="O50" s="393">
        <f t="shared" si="26"/>
        <v>0.14000000000000001</v>
      </c>
      <c r="P50" s="776">
        <f t="shared" si="27"/>
        <v>0.1</v>
      </c>
      <c r="Q50" s="776"/>
      <c r="R50" s="776">
        <f t="shared" si="28"/>
        <v>0.1</v>
      </c>
      <c r="S50" s="776"/>
      <c r="T50" s="389">
        <f t="shared" si="29"/>
        <v>0.2</v>
      </c>
      <c r="U50" s="403">
        <f t="shared" si="30"/>
        <v>0.2</v>
      </c>
    </row>
    <row r="51" spans="2:21" s="325" customFormat="1" ht="30" customHeight="1">
      <c r="B51" s="852"/>
      <c r="C51" s="353" t="s">
        <v>176</v>
      </c>
      <c r="D51" s="359" t="s">
        <v>177</v>
      </c>
      <c r="E51" s="360" t="s">
        <v>336</v>
      </c>
      <c r="F51" s="363">
        <v>0.5</v>
      </c>
      <c r="G51" s="357">
        <v>0.5</v>
      </c>
      <c r="H51" s="358">
        <f t="shared" ref="H51:H66" si="31">MAX(G51,N51+2%)</f>
        <v>0.5</v>
      </c>
      <c r="I51" s="390">
        <f t="shared" ref="I51:I66" si="32">MAX(G51,O51+2%)</f>
        <v>0.5</v>
      </c>
      <c r="J51" s="357">
        <v>0.5</v>
      </c>
      <c r="K51" s="358">
        <f t="shared" ref="K51:K66" si="33">MAX(J51,N51+2%)</f>
        <v>0.5</v>
      </c>
      <c r="L51" s="390">
        <f t="shared" ref="L51:L66" si="34">MAX(J51,O51+2%)</f>
        <v>0.5</v>
      </c>
      <c r="M51" s="391">
        <v>0.1</v>
      </c>
      <c r="N51" s="392">
        <f t="shared" ref="N51:N59" si="35">M51+3%</f>
        <v>0.13</v>
      </c>
      <c r="O51" s="393">
        <f t="shared" ref="O51:O59" si="36">N51+3%</f>
        <v>0.16</v>
      </c>
      <c r="P51" s="776">
        <f t="shared" ref="P51:P65" si="37">MAX(G51,10%)</f>
        <v>0.5</v>
      </c>
      <c r="Q51" s="776"/>
      <c r="R51" s="776">
        <f t="shared" ref="R51:R65" si="38">MAX(J51,10%)</f>
        <v>0.5</v>
      </c>
      <c r="S51" s="776"/>
      <c r="T51" s="389">
        <f t="shared" ref="T51:T65" si="39">MAX(20%,G51)</f>
        <v>0.5</v>
      </c>
      <c r="U51" s="403">
        <f t="shared" ref="U51:U65" si="40">MAX(J51,20%)</f>
        <v>0.5</v>
      </c>
    </row>
    <row r="52" spans="2:21" s="325" customFormat="1" ht="30" customHeight="1">
      <c r="B52" s="852"/>
      <c r="C52" s="353" t="s">
        <v>192</v>
      </c>
      <c r="D52" s="359" t="s">
        <v>193</v>
      </c>
      <c r="E52" s="360" t="s">
        <v>303</v>
      </c>
      <c r="F52" s="363">
        <v>0.45</v>
      </c>
      <c r="G52" s="357">
        <v>0.15</v>
      </c>
      <c r="H52" s="358">
        <f t="shared" si="31"/>
        <v>0.15</v>
      </c>
      <c r="I52" s="390">
        <f t="shared" si="32"/>
        <v>0.15</v>
      </c>
      <c r="J52" s="357">
        <v>0.15</v>
      </c>
      <c r="K52" s="358">
        <f t="shared" si="33"/>
        <v>0.15</v>
      </c>
      <c r="L52" s="390">
        <f t="shared" si="34"/>
        <v>0.15</v>
      </c>
      <c r="M52" s="391">
        <v>7.0000000000000007E-2</v>
      </c>
      <c r="N52" s="392">
        <f t="shared" si="35"/>
        <v>0.1</v>
      </c>
      <c r="O52" s="393">
        <f t="shared" si="36"/>
        <v>0.13</v>
      </c>
      <c r="P52" s="776">
        <f t="shared" si="37"/>
        <v>0.15</v>
      </c>
      <c r="Q52" s="776"/>
      <c r="R52" s="776">
        <f t="shared" si="38"/>
        <v>0.15</v>
      </c>
      <c r="S52" s="776"/>
      <c r="T52" s="389">
        <f t="shared" si="39"/>
        <v>0.2</v>
      </c>
      <c r="U52" s="403">
        <f t="shared" si="40"/>
        <v>0.2</v>
      </c>
    </row>
    <row r="53" spans="2:21" s="325" customFormat="1" ht="30" customHeight="1">
      <c r="B53" s="852"/>
      <c r="C53" s="353" t="s">
        <v>180</v>
      </c>
      <c r="D53" s="359" t="s">
        <v>181</v>
      </c>
      <c r="E53" s="360" t="s">
        <v>360</v>
      </c>
      <c r="F53" s="350">
        <v>0.45</v>
      </c>
      <c r="G53" s="357">
        <v>0.15</v>
      </c>
      <c r="H53" s="358">
        <f t="shared" si="31"/>
        <v>0.15</v>
      </c>
      <c r="I53" s="390">
        <f t="shared" si="32"/>
        <v>0.15</v>
      </c>
      <c r="J53" s="357">
        <v>0.15</v>
      </c>
      <c r="K53" s="358">
        <f t="shared" si="33"/>
        <v>0.15</v>
      </c>
      <c r="L53" s="390">
        <f t="shared" si="34"/>
        <v>0.15</v>
      </c>
      <c r="M53" s="391">
        <v>7.0000000000000007E-2</v>
      </c>
      <c r="N53" s="392">
        <f t="shared" si="35"/>
        <v>0.1</v>
      </c>
      <c r="O53" s="393">
        <f t="shared" si="36"/>
        <v>0.13</v>
      </c>
      <c r="P53" s="776">
        <f t="shared" si="37"/>
        <v>0.15</v>
      </c>
      <c r="Q53" s="776"/>
      <c r="R53" s="776">
        <f t="shared" si="38"/>
        <v>0.15</v>
      </c>
      <c r="S53" s="776"/>
      <c r="T53" s="389">
        <f t="shared" si="39"/>
        <v>0.2</v>
      </c>
      <c r="U53" s="403">
        <f t="shared" si="40"/>
        <v>0.2</v>
      </c>
    </row>
    <row r="54" spans="2:21" s="325" customFormat="1" ht="30" customHeight="1">
      <c r="B54" s="852"/>
      <c r="C54" s="353" t="s">
        <v>200</v>
      </c>
      <c r="D54" s="359" t="s">
        <v>201</v>
      </c>
      <c r="E54" s="360" t="s">
        <v>303</v>
      </c>
      <c r="F54" s="366">
        <v>0.45</v>
      </c>
      <c r="G54" s="357">
        <v>0.15</v>
      </c>
      <c r="H54" s="358">
        <f t="shared" si="31"/>
        <v>0.15</v>
      </c>
      <c r="I54" s="390">
        <f t="shared" si="32"/>
        <v>0.15</v>
      </c>
      <c r="J54" s="357">
        <v>0.15</v>
      </c>
      <c r="K54" s="358">
        <f t="shared" si="33"/>
        <v>0.15</v>
      </c>
      <c r="L54" s="390">
        <f t="shared" si="34"/>
        <v>0.15</v>
      </c>
      <c r="M54" s="391">
        <v>7.0000000000000007E-2</v>
      </c>
      <c r="N54" s="392">
        <f t="shared" si="35"/>
        <v>0.1</v>
      </c>
      <c r="O54" s="393">
        <f t="shared" si="36"/>
        <v>0.13</v>
      </c>
      <c r="P54" s="776">
        <f t="shared" si="37"/>
        <v>0.15</v>
      </c>
      <c r="Q54" s="776"/>
      <c r="R54" s="776">
        <f t="shared" si="38"/>
        <v>0.15</v>
      </c>
      <c r="S54" s="776"/>
      <c r="T54" s="389">
        <f t="shared" si="39"/>
        <v>0.2</v>
      </c>
      <c r="U54" s="403">
        <f t="shared" si="40"/>
        <v>0.2</v>
      </c>
    </row>
    <row r="55" spans="2:21" s="325" customFormat="1" ht="30" customHeight="1">
      <c r="B55" s="852"/>
      <c r="C55" s="353" t="s">
        <v>198</v>
      </c>
      <c r="D55" s="359" t="s">
        <v>199</v>
      </c>
      <c r="E55" s="360" t="s">
        <v>303</v>
      </c>
      <c r="F55" s="366">
        <v>0.45</v>
      </c>
      <c r="G55" s="357">
        <v>0.15</v>
      </c>
      <c r="H55" s="358">
        <f t="shared" si="31"/>
        <v>0.15</v>
      </c>
      <c r="I55" s="390">
        <f t="shared" si="32"/>
        <v>0.15</v>
      </c>
      <c r="J55" s="357">
        <v>0.15</v>
      </c>
      <c r="K55" s="358">
        <f t="shared" si="33"/>
        <v>0.15</v>
      </c>
      <c r="L55" s="390">
        <f t="shared" si="34"/>
        <v>0.15</v>
      </c>
      <c r="M55" s="391">
        <v>7.0000000000000007E-2</v>
      </c>
      <c r="N55" s="392">
        <f t="shared" si="35"/>
        <v>0.1</v>
      </c>
      <c r="O55" s="393">
        <f t="shared" si="36"/>
        <v>0.13</v>
      </c>
      <c r="P55" s="776">
        <f t="shared" si="37"/>
        <v>0.15</v>
      </c>
      <c r="Q55" s="776"/>
      <c r="R55" s="776">
        <f t="shared" si="38"/>
        <v>0.15</v>
      </c>
      <c r="S55" s="776"/>
      <c r="T55" s="389">
        <f t="shared" si="39"/>
        <v>0.2</v>
      </c>
      <c r="U55" s="403">
        <f t="shared" si="40"/>
        <v>0.2</v>
      </c>
    </row>
    <row r="56" spans="2:21" s="325" customFormat="1" ht="30" customHeight="1">
      <c r="B56" s="852"/>
      <c r="C56" s="353" t="s">
        <v>182</v>
      </c>
      <c r="D56" s="359" t="s">
        <v>183</v>
      </c>
      <c r="E56" s="360" t="s">
        <v>303</v>
      </c>
      <c r="F56" s="366">
        <v>0.45</v>
      </c>
      <c r="G56" s="357">
        <v>0.15</v>
      </c>
      <c r="H56" s="358">
        <f t="shared" si="31"/>
        <v>0.15</v>
      </c>
      <c r="I56" s="390">
        <f t="shared" si="32"/>
        <v>0.15</v>
      </c>
      <c r="J56" s="357">
        <v>0.15</v>
      </c>
      <c r="K56" s="358">
        <f t="shared" si="33"/>
        <v>0.15</v>
      </c>
      <c r="L56" s="390">
        <f t="shared" si="34"/>
        <v>0.15</v>
      </c>
      <c r="M56" s="391">
        <v>7.0000000000000007E-2</v>
      </c>
      <c r="N56" s="392">
        <f t="shared" si="35"/>
        <v>0.1</v>
      </c>
      <c r="O56" s="393">
        <f t="shared" si="36"/>
        <v>0.13</v>
      </c>
      <c r="P56" s="776">
        <f t="shared" si="37"/>
        <v>0.15</v>
      </c>
      <c r="Q56" s="776"/>
      <c r="R56" s="776">
        <f t="shared" si="38"/>
        <v>0.15</v>
      </c>
      <c r="S56" s="776"/>
      <c r="T56" s="389">
        <f t="shared" si="39"/>
        <v>0.2</v>
      </c>
      <c r="U56" s="403">
        <f t="shared" si="40"/>
        <v>0.2</v>
      </c>
    </row>
    <row r="57" spans="2:21" s="325" customFormat="1" ht="30" customHeight="1">
      <c r="B57" s="852"/>
      <c r="C57" s="367" t="s">
        <v>186</v>
      </c>
      <c r="D57" s="820" t="s">
        <v>187</v>
      </c>
      <c r="E57" s="792" t="s">
        <v>285</v>
      </c>
      <c r="F57" s="809">
        <v>7.0000000000000007E-2</v>
      </c>
      <c r="G57" s="357">
        <v>0.1</v>
      </c>
      <c r="H57" s="358">
        <f t="shared" si="31"/>
        <v>0.14000000000000001</v>
      </c>
      <c r="I57" s="390">
        <f t="shared" si="32"/>
        <v>0.17</v>
      </c>
      <c r="J57" s="357">
        <v>0.1</v>
      </c>
      <c r="K57" s="358">
        <f t="shared" si="33"/>
        <v>0.14000000000000001</v>
      </c>
      <c r="L57" s="390">
        <f t="shared" si="34"/>
        <v>0.17</v>
      </c>
      <c r="M57" s="391">
        <v>0.09</v>
      </c>
      <c r="N57" s="392">
        <f t="shared" si="35"/>
        <v>0.12</v>
      </c>
      <c r="O57" s="393">
        <f t="shared" si="36"/>
        <v>0.15</v>
      </c>
      <c r="P57" s="776">
        <f t="shared" si="37"/>
        <v>0.1</v>
      </c>
      <c r="Q57" s="776"/>
      <c r="R57" s="776">
        <f t="shared" si="38"/>
        <v>0.1</v>
      </c>
      <c r="S57" s="776"/>
      <c r="T57" s="389">
        <f t="shared" si="39"/>
        <v>0.2</v>
      </c>
      <c r="U57" s="403">
        <f t="shared" si="40"/>
        <v>0.2</v>
      </c>
    </row>
    <row r="58" spans="2:21" s="325" customFormat="1" ht="30" customHeight="1">
      <c r="B58" s="852"/>
      <c r="C58" s="367" t="s">
        <v>641</v>
      </c>
      <c r="D58" s="821"/>
      <c r="E58" s="793"/>
      <c r="F58" s="810"/>
      <c r="G58" s="357">
        <v>0.13</v>
      </c>
      <c r="H58" s="358">
        <f t="shared" si="31"/>
        <v>0.15</v>
      </c>
      <c r="I58" s="390">
        <f t="shared" si="32"/>
        <v>0.18</v>
      </c>
      <c r="J58" s="357">
        <v>0.13</v>
      </c>
      <c r="K58" s="358">
        <f t="shared" si="33"/>
        <v>0.15</v>
      </c>
      <c r="L58" s="390">
        <f t="shared" si="34"/>
        <v>0.18</v>
      </c>
      <c r="M58" s="391">
        <v>0.1</v>
      </c>
      <c r="N58" s="392">
        <f t="shared" si="35"/>
        <v>0.13</v>
      </c>
      <c r="O58" s="393">
        <f t="shared" si="36"/>
        <v>0.16</v>
      </c>
      <c r="P58" s="776">
        <f t="shared" si="37"/>
        <v>0.13</v>
      </c>
      <c r="Q58" s="776"/>
      <c r="R58" s="776">
        <f t="shared" si="38"/>
        <v>0.13</v>
      </c>
      <c r="S58" s="776"/>
      <c r="T58" s="389">
        <f t="shared" si="39"/>
        <v>0.2</v>
      </c>
      <c r="U58" s="403">
        <f t="shared" si="40"/>
        <v>0.2</v>
      </c>
    </row>
    <row r="59" spans="2:21" s="325" customFormat="1" ht="30" customHeight="1">
      <c r="B59" s="852"/>
      <c r="C59" s="367" t="s">
        <v>194</v>
      </c>
      <c r="D59" s="368" t="s">
        <v>195</v>
      </c>
      <c r="E59" s="365" t="s">
        <v>303</v>
      </c>
      <c r="F59" s="366">
        <v>7.0000000000000007E-2</v>
      </c>
      <c r="G59" s="357">
        <v>0.08</v>
      </c>
      <c r="H59" s="358">
        <f t="shared" si="31"/>
        <v>0.12</v>
      </c>
      <c r="I59" s="390">
        <f t="shared" si="32"/>
        <v>0.15</v>
      </c>
      <c r="J59" s="357">
        <v>0.08</v>
      </c>
      <c r="K59" s="358">
        <f t="shared" si="33"/>
        <v>0.12</v>
      </c>
      <c r="L59" s="390">
        <f t="shared" si="34"/>
        <v>0.15</v>
      </c>
      <c r="M59" s="391">
        <v>7.0000000000000007E-2</v>
      </c>
      <c r="N59" s="392">
        <f t="shared" si="35"/>
        <v>0.1</v>
      </c>
      <c r="O59" s="393">
        <f t="shared" si="36"/>
        <v>0.13</v>
      </c>
      <c r="P59" s="776">
        <f t="shared" si="37"/>
        <v>0.1</v>
      </c>
      <c r="Q59" s="776"/>
      <c r="R59" s="776">
        <f t="shared" si="38"/>
        <v>0.1</v>
      </c>
      <c r="S59" s="776"/>
      <c r="T59" s="389">
        <f t="shared" si="39"/>
        <v>0.2</v>
      </c>
      <c r="U59" s="403">
        <f t="shared" si="40"/>
        <v>0.2</v>
      </c>
    </row>
    <row r="60" spans="2:21" s="325" customFormat="1" ht="30" customHeight="1">
      <c r="B60" s="852"/>
      <c r="C60" s="353" t="s">
        <v>196</v>
      </c>
      <c r="D60" s="359" t="s">
        <v>197</v>
      </c>
      <c r="E60" s="360" t="s">
        <v>292</v>
      </c>
      <c r="F60" s="366">
        <v>0.05</v>
      </c>
      <c r="G60" s="357">
        <v>0.08</v>
      </c>
      <c r="H60" s="358">
        <f t="shared" si="31"/>
        <v>0.12</v>
      </c>
      <c r="I60" s="390">
        <f t="shared" si="32"/>
        <v>0.15</v>
      </c>
      <c r="J60" s="357">
        <v>0.08</v>
      </c>
      <c r="K60" s="358">
        <f t="shared" si="33"/>
        <v>0.12</v>
      </c>
      <c r="L60" s="390">
        <f t="shared" si="34"/>
        <v>0.15</v>
      </c>
      <c r="M60" s="391">
        <v>7.0000000000000007E-2</v>
      </c>
      <c r="N60" s="392">
        <f t="shared" ref="N60:O62" si="41">M60+3%</f>
        <v>0.1</v>
      </c>
      <c r="O60" s="393">
        <f t="shared" si="41"/>
        <v>0.13</v>
      </c>
      <c r="P60" s="776">
        <f t="shared" si="37"/>
        <v>0.1</v>
      </c>
      <c r="Q60" s="776"/>
      <c r="R60" s="776">
        <f t="shared" si="38"/>
        <v>0.1</v>
      </c>
      <c r="S60" s="776"/>
      <c r="T60" s="389">
        <f t="shared" si="39"/>
        <v>0.2</v>
      </c>
      <c r="U60" s="403">
        <f t="shared" si="40"/>
        <v>0.2</v>
      </c>
    </row>
    <row r="61" spans="2:21" s="325" customFormat="1" ht="30" customHeight="1">
      <c r="B61" s="852"/>
      <c r="C61" s="353" t="s">
        <v>188</v>
      </c>
      <c r="D61" s="359" t="s">
        <v>189</v>
      </c>
      <c r="E61" s="360" t="s">
        <v>285</v>
      </c>
      <c r="F61" s="366">
        <v>0.4</v>
      </c>
      <c r="G61" s="357">
        <v>0.2</v>
      </c>
      <c r="H61" s="358">
        <f t="shared" si="31"/>
        <v>0.2</v>
      </c>
      <c r="I61" s="390">
        <f t="shared" si="32"/>
        <v>0.2</v>
      </c>
      <c r="J61" s="357">
        <v>0.2</v>
      </c>
      <c r="K61" s="358">
        <f t="shared" si="33"/>
        <v>0.2</v>
      </c>
      <c r="L61" s="390">
        <f t="shared" si="34"/>
        <v>0.2</v>
      </c>
      <c r="M61" s="391">
        <v>0.1</v>
      </c>
      <c r="N61" s="392">
        <f t="shared" si="41"/>
        <v>0.13</v>
      </c>
      <c r="O61" s="393">
        <f t="shared" si="41"/>
        <v>0.16</v>
      </c>
      <c r="P61" s="776">
        <f t="shared" si="37"/>
        <v>0.2</v>
      </c>
      <c r="Q61" s="776"/>
      <c r="R61" s="776">
        <f t="shared" si="38"/>
        <v>0.2</v>
      </c>
      <c r="S61" s="776"/>
      <c r="T61" s="389">
        <f t="shared" si="39"/>
        <v>0.2</v>
      </c>
      <c r="U61" s="403">
        <f t="shared" si="40"/>
        <v>0.2</v>
      </c>
    </row>
    <row r="62" spans="2:21" s="325" customFormat="1" ht="30" customHeight="1">
      <c r="B62" s="852"/>
      <c r="C62" s="370" t="s">
        <v>178</v>
      </c>
      <c r="D62" s="354" t="s">
        <v>179</v>
      </c>
      <c r="E62" s="355" t="s">
        <v>292</v>
      </c>
      <c r="F62" s="366">
        <v>0.08</v>
      </c>
      <c r="G62" s="357">
        <v>0.09</v>
      </c>
      <c r="H62" s="358">
        <f t="shared" si="31"/>
        <v>0.13</v>
      </c>
      <c r="I62" s="390">
        <f t="shared" si="32"/>
        <v>0.16</v>
      </c>
      <c r="J62" s="357">
        <v>0.09</v>
      </c>
      <c r="K62" s="358">
        <f t="shared" si="33"/>
        <v>0.13</v>
      </c>
      <c r="L62" s="390">
        <f t="shared" si="34"/>
        <v>0.16</v>
      </c>
      <c r="M62" s="391">
        <v>0.08</v>
      </c>
      <c r="N62" s="392">
        <f t="shared" si="41"/>
        <v>0.11</v>
      </c>
      <c r="O62" s="393">
        <f t="shared" si="41"/>
        <v>0.14000000000000001</v>
      </c>
      <c r="P62" s="873">
        <f t="shared" si="37"/>
        <v>0.1</v>
      </c>
      <c r="Q62" s="873"/>
      <c r="R62" s="873">
        <f t="shared" si="38"/>
        <v>0.1</v>
      </c>
      <c r="S62" s="873"/>
      <c r="T62" s="389">
        <f t="shared" si="39"/>
        <v>0.2</v>
      </c>
      <c r="U62" s="403">
        <f t="shared" si="40"/>
        <v>0.2</v>
      </c>
    </row>
    <row r="63" spans="2:21" s="325" customFormat="1" ht="30" customHeight="1">
      <c r="B63" s="852"/>
      <c r="C63" s="353" t="s">
        <v>184</v>
      </c>
      <c r="D63" s="359" t="s">
        <v>185</v>
      </c>
      <c r="E63" s="360" t="s">
        <v>292</v>
      </c>
      <c r="F63" s="366">
        <v>7.0000000000000007E-2</v>
      </c>
      <c r="G63" s="357">
        <v>0.09</v>
      </c>
      <c r="H63" s="358">
        <f t="shared" si="31"/>
        <v>0.13</v>
      </c>
      <c r="I63" s="390">
        <f t="shared" si="32"/>
        <v>0.16</v>
      </c>
      <c r="J63" s="357">
        <v>0.09</v>
      </c>
      <c r="K63" s="358">
        <f t="shared" si="33"/>
        <v>0.13</v>
      </c>
      <c r="L63" s="390">
        <f t="shared" si="34"/>
        <v>0.16</v>
      </c>
      <c r="M63" s="391">
        <v>0.08</v>
      </c>
      <c r="N63" s="392">
        <f t="shared" ref="N63:O66" si="42">M63+3%</f>
        <v>0.11</v>
      </c>
      <c r="O63" s="393">
        <f t="shared" si="42"/>
        <v>0.14000000000000001</v>
      </c>
      <c r="P63" s="776">
        <f t="shared" si="37"/>
        <v>0.1</v>
      </c>
      <c r="Q63" s="776"/>
      <c r="R63" s="776">
        <f t="shared" si="38"/>
        <v>0.1</v>
      </c>
      <c r="S63" s="776"/>
      <c r="T63" s="389">
        <f t="shared" si="39"/>
        <v>0.2</v>
      </c>
      <c r="U63" s="403">
        <f t="shared" si="40"/>
        <v>0.2</v>
      </c>
    </row>
    <row r="64" spans="2:21" s="325" customFormat="1" ht="30" customHeight="1">
      <c r="B64" s="852"/>
      <c r="C64" s="370" t="s">
        <v>172</v>
      </c>
      <c r="D64" s="359" t="s">
        <v>173</v>
      </c>
      <c r="E64" s="360" t="s">
        <v>365</v>
      </c>
      <c r="F64" s="366">
        <v>0.08</v>
      </c>
      <c r="G64" s="357">
        <v>0.08</v>
      </c>
      <c r="H64" s="358">
        <f t="shared" si="31"/>
        <v>0.12</v>
      </c>
      <c r="I64" s="390">
        <f t="shared" si="32"/>
        <v>0.15</v>
      </c>
      <c r="J64" s="357">
        <v>0.08</v>
      </c>
      <c r="K64" s="358">
        <f t="shared" si="33"/>
        <v>0.12</v>
      </c>
      <c r="L64" s="390">
        <f t="shared" si="34"/>
        <v>0.15</v>
      </c>
      <c r="M64" s="391">
        <v>7.0000000000000007E-2</v>
      </c>
      <c r="N64" s="392">
        <f t="shared" si="42"/>
        <v>0.1</v>
      </c>
      <c r="O64" s="393">
        <f t="shared" si="42"/>
        <v>0.13</v>
      </c>
      <c r="P64" s="776">
        <f t="shared" si="37"/>
        <v>0.1</v>
      </c>
      <c r="Q64" s="776"/>
      <c r="R64" s="776">
        <f t="shared" si="38"/>
        <v>0.1</v>
      </c>
      <c r="S64" s="776"/>
      <c r="T64" s="389">
        <f t="shared" si="39"/>
        <v>0.2</v>
      </c>
      <c r="U64" s="403">
        <f t="shared" si="40"/>
        <v>0.2</v>
      </c>
    </row>
    <row r="65" spans="2:21" s="325" customFormat="1" ht="30" customHeight="1">
      <c r="B65" s="852"/>
      <c r="C65" s="370" t="s">
        <v>174</v>
      </c>
      <c r="D65" s="359" t="s">
        <v>175</v>
      </c>
      <c r="E65" s="360" t="s">
        <v>366</v>
      </c>
      <c r="F65" s="369">
        <v>7.0000000000000007E-2</v>
      </c>
      <c r="G65" s="404">
        <v>7.0000000000000007E-2</v>
      </c>
      <c r="H65" s="405">
        <f t="shared" si="31"/>
        <v>0.11</v>
      </c>
      <c r="I65" s="443">
        <f t="shared" si="32"/>
        <v>0.14000000000000001</v>
      </c>
      <c r="J65" s="404">
        <v>7.0000000000000007E-2</v>
      </c>
      <c r="K65" s="405">
        <f t="shared" si="33"/>
        <v>0.11</v>
      </c>
      <c r="L65" s="443">
        <f t="shared" si="34"/>
        <v>0.14000000000000001</v>
      </c>
      <c r="M65" s="444">
        <v>0.06</v>
      </c>
      <c r="N65" s="445">
        <f t="shared" si="42"/>
        <v>0.09</v>
      </c>
      <c r="O65" s="446">
        <f t="shared" si="42"/>
        <v>0.12</v>
      </c>
      <c r="P65" s="776">
        <f t="shared" si="37"/>
        <v>0.1</v>
      </c>
      <c r="Q65" s="776"/>
      <c r="R65" s="776">
        <f t="shared" si="38"/>
        <v>0.1</v>
      </c>
      <c r="S65" s="776"/>
      <c r="T65" s="389">
        <f t="shared" si="39"/>
        <v>0.2</v>
      </c>
      <c r="U65" s="403">
        <f t="shared" si="40"/>
        <v>0.2</v>
      </c>
    </row>
    <row r="66" spans="2:21" s="325" customFormat="1" ht="54" customHeight="1">
      <c r="B66" s="852"/>
      <c r="C66" s="822" t="s">
        <v>190</v>
      </c>
      <c r="D66" s="822" t="s">
        <v>191</v>
      </c>
      <c r="E66" s="794" t="s">
        <v>292</v>
      </c>
      <c r="F66" s="811">
        <v>0.06</v>
      </c>
      <c r="G66" s="734">
        <v>0.1</v>
      </c>
      <c r="H66" s="731">
        <f t="shared" si="31"/>
        <v>0.14000000000000001</v>
      </c>
      <c r="I66" s="777">
        <f t="shared" si="32"/>
        <v>0.17</v>
      </c>
      <c r="J66" s="734">
        <v>0.1</v>
      </c>
      <c r="K66" s="731">
        <f t="shared" si="33"/>
        <v>0.14000000000000001</v>
      </c>
      <c r="L66" s="777">
        <f t="shared" si="34"/>
        <v>0.17</v>
      </c>
      <c r="M66" s="758">
        <v>0.09</v>
      </c>
      <c r="N66" s="760">
        <f t="shared" si="42"/>
        <v>0.12</v>
      </c>
      <c r="O66" s="725">
        <f t="shared" si="42"/>
        <v>0.15</v>
      </c>
      <c r="P66" s="447" t="s">
        <v>642</v>
      </c>
      <c r="Q66" s="447" t="s">
        <v>643</v>
      </c>
      <c r="R66" s="479" t="s">
        <v>631</v>
      </c>
      <c r="S66" s="480" t="s">
        <v>632</v>
      </c>
      <c r="T66" s="378" t="s">
        <v>633</v>
      </c>
      <c r="U66" s="481" t="s">
        <v>634</v>
      </c>
    </row>
    <row r="67" spans="2:21" s="325" customFormat="1" ht="30" customHeight="1">
      <c r="B67" s="852"/>
      <c r="C67" s="822"/>
      <c r="D67" s="822"/>
      <c r="E67" s="795"/>
      <c r="F67" s="811"/>
      <c r="G67" s="734"/>
      <c r="H67" s="731"/>
      <c r="I67" s="777"/>
      <c r="J67" s="734"/>
      <c r="K67" s="731"/>
      <c r="L67" s="777"/>
      <c r="M67" s="758"/>
      <c r="N67" s="760"/>
      <c r="O67" s="725"/>
      <c r="P67" s="448">
        <f>MAX(G66,10%)</f>
        <v>0.1</v>
      </c>
      <c r="Q67" s="448">
        <f>MAX(J66,10%)</f>
        <v>0.1</v>
      </c>
      <c r="R67" s="448">
        <f>MAX(G66,15%)</f>
        <v>0.15</v>
      </c>
      <c r="S67" s="448">
        <f>MAX(J66,15%)</f>
        <v>0.15</v>
      </c>
      <c r="T67" s="482">
        <f>MAX(G66,20%)</f>
        <v>0.2</v>
      </c>
      <c r="U67" s="483">
        <f>MAX(J66,20%)</f>
        <v>0.2</v>
      </c>
    </row>
    <row r="68" spans="2:21" s="325" customFormat="1" ht="30" customHeight="1">
      <c r="B68" s="853"/>
      <c r="C68" s="406" t="s">
        <v>170</v>
      </c>
      <c r="D68" s="818" t="s">
        <v>171</v>
      </c>
      <c r="E68" s="791" t="s">
        <v>292</v>
      </c>
      <c r="F68" s="810">
        <v>0.08</v>
      </c>
      <c r="G68" s="407">
        <v>0.08</v>
      </c>
      <c r="H68" s="358">
        <f>MAX(G68,N68+2%)</f>
        <v>0.12</v>
      </c>
      <c r="I68" s="390">
        <f>MAX(G68,O68+2%)</f>
        <v>0.15</v>
      </c>
      <c r="J68" s="407">
        <v>0.08</v>
      </c>
      <c r="K68" s="358">
        <f>MAX(J68,N68+2%)</f>
        <v>0.12</v>
      </c>
      <c r="L68" s="390">
        <f>MAX(J68,O68+2%)</f>
        <v>0.15</v>
      </c>
      <c r="M68" s="449">
        <v>7.0000000000000007E-2</v>
      </c>
      <c r="N68" s="450">
        <f t="shared" ref="N68:O70" si="43">M68+3%</f>
        <v>0.1</v>
      </c>
      <c r="O68" s="451">
        <f t="shared" si="43"/>
        <v>0.13</v>
      </c>
      <c r="P68" s="452">
        <f>MAX(G68,10%)</f>
        <v>0.1</v>
      </c>
      <c r="Q68" s="452">
        <f>MAX(J68,10%)</f>
        <v>0.1</v>
      </c>
      <c r="R68" s="452">
        <f>MAX(G68,15%)</f>
        <v>0.15</v>
      </c>
      <c r="S68" s="452">
        <f>MAX(J68,15%)</f>
        <v>0.15</v>
      </c>
      <c r="T68" s="452">
        <f>MAX(G68,20%)</f>
        <v>0.2</v>
      </c>
      <c r="U68" s="484">
        <f>MAX(J68,20%)</f>
        <v>0.2</v>
      </c>
    </row>
    <row r="69" spans="2:21" s="325" customFormat="1" ht="30" customHeight="1">
      <c r="B69" s="853"/>
      <c r="C69" s="408" t="s">
        <v>644</v>
      </c>
      <c r="D69" s="823"/>
      <c r="E69" s="791"/>
      <c r="F69" s="810"/>
      <c r="G69" s="330">
        <v>0.1</v>
      </c>
      <c r="H69" s="362">
        <f>MAX(G69,N69+2%)</f>
        <v>0.13</v>
      </c>
      <c r="I69" s="394">
        <f>MAX(G69,O69+2%)</f>
        <v>0.16</v>
      </c>
      <c r="J69" s="330">
        <v>0.1</v>
      </c>
      <c r="K69" s="362">
        <f>MAX(J69,N69+2%)</f>
        <v>0.13</v>
      </c>
      <c r="L69" s="394">
        <f>MAX(J69,O69+2%)</f>
        <v>0.16</v>
      </c>
      <c r="M69" s="336">
        <v>0.08</v>
      </c>
      <c r="N69" s="453">
        <f t="shared" si="43"/>
        <v>0.11</v>
      </c>
      <c r="O69" s="454">
        <f t="shared" si="43"/>
        <v>0.14000000000000001</v>
      </c>
      <c r="P69" s="452">
        <f>MAX(G69,10%)</f>
        <v>0.1</v>
      </c>
      <c r="Q69" s="452">
        <f>MAX(J69,10%)</f>
        <v>0.1</v>
      </c>
      <c r="R69" s="452">
        <f>MAX(G69,15%)</f>
        <v>0.15</v>
      </c>
      <c r="S69" s="452">
        <f>MAX(J69,15%)</f>
        <v>0.15</v>
      </c>
      <c r="T69" s="452">
        <f>MAX(G69,20%)</f>
        <v>0.2</v>
      </c>
      <c r="U69" s="484">
        <f>MAX(J69,20%)</f>
        <v>0.2</v>
      </c>
    </row>
    <row r="70" spans="2:21" s="325" customFormat="1" ht="30" customHeight="1">
      <c r="B70" s="854"/>
      <c r="C70" s="406" t="s">
        <v>645</v>
      </c>
      <c r="D70" s="824"/>
      <c r="E70" s="796"/>
      <c r="F70" s="812"/>
      <c r="G70" s="409">
        <v>0.09</v>
      </c>
      <c r="H70" s="410">
        <f>MAX(G70,N70+2%)</f>
        <v>0.13</v>
      </c>
      <c r="I70" s="455">
        <f>MAX(G70,O70+2%)</f>
        <v>0.16</v>
      </c>
      <c r="J70" s="409">
        <v>0.09</v>
      </c>
      <c r="K70" s="410">
        <f>MAX(J70,N70+2%)</f>
        <v>0.13</v>
      </c>
      <c r="L70" s="455">
        <f>MAX(J70,O70+2%)</f>
        <v>0.16</v>
      </c>
      <c r="M70" s="456">
        <v>0.08</v>
      </c>
      <c r="N70" s="457">
        <f t="shared" si="43"/>
        <v>0.11</v>
      </c>
      <c r="O70" s="458">
        <f t="shared" si="43"/>
        <v>0.14000000000000001</v>
      </c>
      <c r="P70" s="452">
        <f>MAX(G70,10%)</f>
        <v>0.1</v>
      </c>
      <c r="Q70" s="452">
        <f>MAX(J70,10%)</f>
        <v>0.1</v>
      </c>
      <c r="R70" s="452">
        <f>MAX(G70,15%)</f>
        <v>0.15</v>
      </c>
      <c r="S70" s="452">
        <f>MAX(J70,15%)</f>
        <v>0.15</v>
      </c>
      <c r="T70" s="452">
        <f>MAX(G70,20%)</f>
        <v>0.2</v>
      </c>
      <c r="U70" s="484">
        <f>MAX(J70,20%)</f>
        <v>0.2</v>
      </c>
    </row>
    <row r="71" spans="2:21" s="324" customFormat="1" ht="17.25" customHeight="1">
      <c r="B71" s="411"/>
      <c r="C71" s="344"/>
      <c r="D71" s="344"/>
      <c r="E71" s="344"/>
      <c r="F71" s="345"/>
      <c r="G71" s="345"/>
      <c r="H71" s="345"/>
      <c r="I71" s="345"/>
      <c r="J71" s="384"/>
      <c r="K71" s="345"/>
      <c r="L71" s="345"/>
      <c r="M71" s="384"/>
      <c r="N71" s="384"/>
      <c r="O71" s="384"/>
      <c r="P71" s="345"/>
      <c r="Q71" s="345"/>
      <c r="R71" s="345"/>
      <c r="S71" s="345"/>
      <c r="T71" s="345"/>
      <c r="U71" s="345"/>
    </row>
    <row r="72" spans="2:21" s="324" customFormat="1" ht="24.95" customHeight="1">
      <c r="B72" s="847" t="s">
        <v>35</v>
      </c>
      <c r="C72" s="723" t="s">
        <v>36</v>
      </c>
      <c r="D72" s="723" t="s">
        <v>37</v>
      </c>
      <c r="E72" s="723" t="s">
        <v>598</v>
      </c>
      <c r="F72" s="723" t="s">
        <v>599</v>
      </c>
      <c r="G72" s="797" t="s">
        <v>600</v>
      </c>
      <c r="H72" s="797"/>
      <c r="I72" s="797"/>
      <c r="J72" s="797"/>
      <c r="K72" s="797"/>
      <c r="L72" s="797"/>
      <c r="M72" s="723" t="s">
        <v>601</v>
      </c>
      <c r="N72" s="723"/>
      <c r="O72" s="723"/>
      <c r="P72" s="865" t="s">
        <v>630</v>
      </c>
      <c r="Q72" s="865"/>
      <c r="R72" s="865"/>
      <c r="S72" s="865"/>
      <c r="T72" s="865"/>
      <c r="U72" s="866"/>
    </row>
    <row r="73" spans="2:21" s="324" customFormat="1" ht="30" customHeight="1">
      <c r="B73" s="848"/>
      <c r="C73" s="724"/>
      <c r="D73" s="724"/>
      <c r="E73" s="724"/>
      <c r="F73" s="724"/>
      <c r="G73" s="798" t="s">
        <v>603</v>
      </c>
      <c r="H73" s="798"/>
      <c r="I73" s="798"/>
      <c r="J73" s="798" t="s">
        <v>604</v>
      </c>
      <c r="K73" s="798"/>
      <c r="L73" s="798"/>
      <c r="M73" s="724"/>
      <c r="N73" s="724"/>
      <c r="O73" s="724"/>
      <c r="P73" s="867" t="s">
        <v>605</v>
      </c>
      <c r="Q73" s="867"/>
      <c r="R73" s="867"/>
      <c r="S73" s="868"/>
      <c r="T73" s="869" t="s">
        <v>646</v>
      </c>
      <c r="U73" s="870"/>
    </row>
    <row r="74" spans="2:21" s="324" customFormat="1" ht="51.75" customHeight="1">
      <c r="B74" s="849"/>
      <c r="C74" s="724"/>
      <c r="D74" s="724"/>
      <c r="E74" s="724"/>
      <c r="F74" s="724"/>
      <c r="G74" s="135" t="s">
        <v>607</v>
      </c>
      <c r="H74" s="135" t="s">
        <v>608</v>
      </c>
      <c r="I74" s="135" t="s">
        <v>609</v>
      </c>
      <c r="J74" s="135" t="s">
        <v>607</v>
      </c>
      <c r="K74" s="135" t="s">
        <v>608</v>
      </c>
      <c r="L74" s="135" t="s">
        <v>609</v>
      </c>
      <c r="M74" s="135" t="s">
        <v>607</v>
      </c>
      <c r="N74" s="135" t="s">
        <v>610</v>
      </c>
      <c r="O74" s="135" t="s">
        <v>611</v>
      </c>
      <c r="P74" s="871" t="s">
        <v>647</v>
      </c>
      <c r="Q74" s="872"/>
      <c r="R74" s="871" t="s">
        <v>648</v>
      </c>
      <c r="S74" s="872"/>
      <c r="T74" s="378" t="s">
        <v>612</v>
      </c>
      <c r="U74" s="481" t="s">
        <v>613</v>
      </c>
    </row>
    <row r="75" spans="2:21" s="324" customFormat="1" ht="30" customHeight="1">
      <c r="B75" s="855" t="s">
        <v>649</v>
      </c>
      <c r="C75" s="353" t="s">
        <v>323</v>
      </c>
      <c r="D75" s="412" t="s">
        <v>104</v>
      </c>
      <c r="E75" s="413" t="s">
        <v>285</v>
      </c>
      <c r="F75" s="350">
        <v>0.04</v>
      </c>
      <c r="G75" s="414">
        <v>7.0000000000000007E-2</v>
      </c>
      <c r="H75" s="358">
        <f t="shared" ref="H75:H94" si="44">MAX(G75,N75+2%)</f>
        <v>0.11</v>
      </c>
      <c r="I75" s="459">
        <f>MAX(G75,O75+2%)</f>
        <v>0.13</v>
      </c>
      <c r="J75" s="414">
        <v>7.0000000000000007E-2</v>
      </c>
      <c r="K75" s="358">
        <f t="shared" ref="K75:K94" si="45">MAX(J75,N75+2%)</f>
        <v>0.11</v>
      </c>
      <c r="L75" s="459">
        <f>MAX(J75,O75+2%)</f>
        <v>0.13</v>
      </c>
      <c r="M75" s="460">
        <v>0.06</v>
      </c>
      <c r="N75" s="461">
        <f t="shared" ref="N75:N94" si="46">M75+3%</f>
        <v>0.09</v>
      </c>
      <c r="O75" s="462">
        <f t="shared" ref="O75:O94" si="47">N75+2%</f>
        <v>0.11</v>
      </c>
      <c r="P75" s="776">
        <f t="shared" ref="P75:P93" si="48">MAX(G75,10%)</f>
        <v>0.1</v>
      </c>
      <c r="Q75" s="776"/>
      <c r="R75" s="776">
        <f t="shared" ref="R75:R93" si="49">MAX(J75,10%)</f>
        <v>0.1</v>
      </c>
      <c r="S75" s="776"/>
      <c r="T75" s="389">
        <f t="shared" ref="T75:T93" si="50">MAX(20%,G75)</f>
        <v>0.2</v>
      </c>
      <c r="U75" s="403">
        <f t="shared" ref="U75:U93" si="51">MAX(J75,20%)</f>
        <v>0.2</v>
      </c>
    </row>
    <row r="76" spans="2:21" s="324" customFormat="1" ht="30" customHeight="1">
      <c r="B76" s="852"/>
      <c r="C76" s="353" t="s">
        <v>329</v>
      </c>
      <c r="D76" s="415" t="s">
        <v>107</v>
      </c>
      <c r="E76" s="364" t="s">
        <v>285</v>
      </c>
      <c r="F76" s="350">
        <v>0.05</v>
      </c>
      <c r="G76" s="416">
        <v>7.0000000000000007E-2</v>
      </c>
      <c r="H76" s="358">
        <f t="shared" si="44"/>
        <v>0.11</v>
      </c>
      <c r="I76" s="459">
        <f t="shared" ref="I76:I94" si="52">MAX(G76,O76+2%)</f>
        <v>0.13</v>
      </c>
      <c r="J76" s="414">
        <v>7.0000000000000007E-2</v>
      </c>
      <c r="K76" s="358">
        <f t="shared" si="45"/>
        <v>0.11</v>
      </c>
      <c r="L76" s="459">
        <f t="shared" ref="L76:L94" si="53">MAX(J76,O76+2%)</f>
        <v>0.13</v>
      </c>
      <c r="M76" s="463">
        <v>0.06</v>
      </c>
      <c r="N76" s="464">
        <f t="shared" si="46"/>
        <v>0.09</v>
      </c>
      <c r="O76" s="465">
        <f t="shared" si="47"/>
        <v>0.11</v>
      </c>
      <c r="P76" s="776">
        <f t="shared" si="48"/>
        <v>0.1</v>
      </c>
      <c r="Q76" s="776"/>
      <c r="R76" s="776">
        <f t="shared" si="49"/>
        <v>0.1</v>
      </c>
      <c r="S76" s="776"/>
      <c r="T76" s="389">
        <f t="shared" si="50"/>
        <v>0.2</v>
      </c>
      <c r="U76" s="403">
        <f t="shared" si="51"/>
        <v>0.2</v>
      </c>
    </row>
    <row r="77" spans="2:21" s="324" customFormat="1" ht="30" customHeight="1">
      <c r="B77" s="852"/>
      <c r="C77" s="353" t="s">
        <v>108</v>
      </c>
      <c r="D77" s="412" t="s">
        <v>109</v>
      </c>
      <c r="E77" s="413" t="s">
        <v>285</v>
      </c>
      <c r="F77" s="350">
        <v>0.05</v>
      </c>
      <c r="G77" s="414">
        <v>7.0000000000000007E-2</v>
      </c>
      <c r="H77" s="358">
        <f t="shared" si="44"/>
        <v>0.11</v>
      </c>
      <c r="I77" s="459">
        <f t="shared" si="52"/>
        <v>0.13</v>
      </c>
      <c r="J77" s="414">
        <v>7.0000000000000007E-2</v>
      </c>
      <c r="K77" s="358">
        <f t="shared" si="45"/>
        <v>0.11</v>
      </c>
      <c r="L77" s="459">
        <f t="shared" si="53"/>
        <v>0.13</v>
      </c>
      <c r="M77" s="463">
        <v>0.06</v>
      </c>
      <c r="N77" s="464">
        <f t="shared" si="46"/>
        <v>0.09</v>
      </c>
      <c r="O77" s="465">
        <f t="shared" si="47"/>
        <v>0.11</v>
      </c>
      <c r="P77" s="776">
        <f t="shared" si="48"/>
        <v>0.1</v>
      </c>
      <c r="Q77" s="776"/>
      <c r="R77" s="776">
        <f t="shared" si="49"/>
        <v>0.1</v>
      </c>
      <c r="S77" s="776"/>
      <c r="T77" s="389">
        <f t="shared" si="50"/>
        <v>0.2</v>
      </c>
      <c r="U77" s="403">
        <f t="shared" si="51"/>
        <v>0.2</v>
      </c>
    </row>
    <row r="78" spans="2:21" s="324" customFormat="1" ht="30" customHeight="1">
      <c r="B78" s="852"/>
      <c r="C78" s="353" t="s">
        <v>110</v>
      </c>
      <c r="D78" s="412" t="s">
        <v>111</v>
      </c>
      <c r="E78" s="413" t="s">
        <v>285</v>
      </c>
      <c r="F78" s="350">
        <v>0.06</v>
      </c>
      <c r="G78" s="414">
        <v>7.0000000000000007E-2</v>
      </c>
      <c r="H78" s="358">
        <f t="shared" si="44"/>
        <v>0.11</v>
      </c>
      <c r="I78" s="459">
        <f t="shared" si="52"/>
        <v>0.13</v>
      </c>
      <c r="J78" s="414">
        <v>7.0000000000000007E-2</v>
      </c>
      <c r="K78" s="358">
        <f t="shared" si="45"/>
        <v>0.11</v>
      </c>
      <c r="L78" s="459">
        <f t="shared" si="53"/>
        <v>0.13</v>
      </c>
      <c r="M78" s="463">
        <v>0.06</v>
      </c>
      <c r="N78" s="464">
        <f t="shared" si="46"/>
        <v>0.09</v>
      </c>
      <c r="O78" s="465">
        <f t="shared" si="47"/>
        <v>0.11</v>
      </c>
      <c r="P78" s="776">
        <f t="shared" si="48"/>
        <v>0.1</v>
      </c>
      <c r="Q78" s="776"/>
      <c r="R78" s="776">
        <f t="shared" si="49"/>
        <v>0.1</v>
      </c>
      <c r="S78" s="776"/>
      <c r="T78" s="389">
        <f t="shared" si="50"/>
        <v>0.2</v>
      </c>
      <c r="U78" s="403">
        <f t="shared" si="51"/>
        <v>0.2</v>
      </c>
    </row>
    <row r="79" spans="2:21" s="324" customFormat="1" ht="30" customHeight="1">
      <c r="B79" s="852"/>
      <c r="C79" s="353" t="s">
        <v>112</v>
      </c>
      <c r="D79" s="412" t="s">
        <v>113</v>
      </c>
      <c r="E79" s="413" t="s">
        <v>285</v>
      </c>
      <c r="F79" s="350">
        <v>0.06</v>
      </c>
      <c r="G79" s="414">
        <v>0.08</v>
      </c>
      <c r="H79" s="358">
        <f t="shared" si="44"/>
        <v>0.12</v>
      </c>
      <c r="I79" s="459">
        <f t="shared" si="52"/>
        <v>0.14000000000000001</v>
      </c>
      <c r="J79" s="414">
        <v>0.08</v>
      </c>
      <c r="K79" s="358">
        <f t="shared" si="45"/>
        <v>0.12</v>
      </c>
      <c r="L79" s="459">
        <f t="shared" si="53"/>
        <v>0.14000000000000001</v>
      </c>
      <c r="M79" s="463">
        <v>7.0000000000000007E-2</v>
      </c>
      <c r="N79" s="464">
        <f t="shared" si="46"/>
        <v>0.1</v>
      </c>
      <c r="O79" s="465">
        <f t="shared" si="47"/>
        <v>0.12</v>
      </c>
      <c r="P79" s="776">
        <f t="shared" si="48"/>
        <v>0.1</v>
      </c>
      <c r="Q79" s="776"/>
      <c r="R79" s="776">
        <f t="shared" si="49"/>
        <v>0.1</v>
      </c>
      <c r="S79" s="776"/>
      <c r="T79" s="389">
        <f t="shared" si="50"/>
        <v>0.2</v>
      </c>
      <c r="U79" s="403">
        <f t="shared" si="51"/>
        <v>0.2</v>
      </c>
    </row>
    <row r="80" spans="2:21" s="324" customFormat="1" ht="30" customHeight="1">
      <c r="B80" s="852"/>
      <c r="C80" s="353" t="s">
        <v>130</v>
      </c>
      <c r="D80" s="412" t="s">
        <v>131</v>
      </c>
      <c r="E80" s="413" t="s">
        <v>332</v>
      </c>
      <c r="F80" s="350">
        <v>0.08</v>
      </c>
      <c r="G80" s="414">
        <v>0.12</v>
      </c>
      <c r="H80" s="358">
        <f t="shared" si="44"/>
        <v>0.13</v>
      </c>
      <c r="I80" s="459">
        <f t="shared" si="52"/>
        <v>0.15</v>
      </c>
      <c r="J80" s="414">
        <v>0.12</v>
      </c>
      <c r="K80" s="358">
        <f t="shared" si="45"/>
        <v>0.13</v>
      </c>
      <c r="L80" s="459">
        <f t="shared" si="53"/>
        <v>0.15</v>
      </c>
      <c r="M80" s="463">
        <v>0.08</v>
      </c>
      <c r="N80" s="464">
        <f t="shared" si="46"/>
        <v>0.11</v>
      </c>
      <c r="O80" s="465">
        <f t="shared" si="47"/>
        <v>0.13</v>
      </c>
      <c r="P80" s="776">
        <f t="shared" si="48"/>
        <v>0.12</v>
      </c>
      <c r="Q80" s="776"/>
      <c r="R80" s="776">
        <f t="shared" si="49"/>
        <v>0.12</v>
      </c>
      <c r="S80" s="776"/>
      <c r="T80" s="389">
        <f t="shared" si="50"/>
        <v>0.2</v>
      </c>
      <c r="U80" s="403">
        <f t="shared" si="51"/>
        <v>0.2</v>
      </c>
    </row>
    <row r="81" spans="2:21" s="324" customFormat="1" ht="30" customHeight="1">
      <c r="B81" s="852"/>
      <c r="C81" s="353" t="s">
        <v>335</v>
      </c>
      <c r="D81" s="412" t="s">
        <v>129</v>
      </c>
      <c r="E81" s="413" t="s">
        <v>336</v>
      </c>
      <c r="F81" s="350">
        <v>0.08</v>
      </c>
      <c r="G81" s="414">
        <v>0.2</v>
      </c>
      <c r="H81" s="358">
        <f t="shared" si="44"/>
        <v>0.2</v>
      </c>
      <c r="I81" s="459">
        <f t="shared" si="52"/>
        <v>0.2</v>
      </c>
      <c r="J81" s="414">
        <v>0.15</v>
      </c>
      <c r="K81" s="358">
        <f t="shared" si="45"/>
        <v>0.15</v>
      </c>
      <c r="L81" s="459">
        <f t="shared" si="53"/>
        <v>0.15</v>
      </c>
      <c r="M81" s="463">
        <v>0.08</v>
      </c>
      <c r="N81" s="464">
        <f t="shared" si="46"/>
        <v>0.11</v>
      </c>
      <c r="O81" s="465">
        <f t="shared" si="47"/>
        <v>0.13</v>
      </c>
      <c r="P81" s="776">
        <f t="shared" si="48"/>
        <v>0.2</v>
      </c>
      <c r="Q81" s="776"/>
      <c r="R81" s="776">
        <f t="shared" si="49"/>
        <v>0.15</v>
      </c>
      <c r="S81" s="776"/>
      <c r="T81" s="389">
        <f t="shared" si="50"/>
        <v>0.2</v>
      </c>
      <c r="U81" s="403">
        <f t="shared" si="51"/>
        <v>0.2</v>
      </c>
    </row>
    <row r="82" spans="2:21" s="324" customFormat="1" ht="30" customHeight="1">
      <c r="B82" s="852"/>
      <c r="C82" s="353" t="s">
        <v>136</v>
      </c>
      <c r="D82" s="412" t="s">
        <v>137</v>
      </c>
      <c r="E82" s="413" t="s">
        <v>336</v>
      </c>
      <c r="F82" s="350">
        <v>0.08</v>
      </c>
      <c r="G82" s="414">
        <v>0.11</v>
      </c>
      <c r="H82" s="358">
        <f t="shared" si="44"/>
        <v>0.14000000000000001</v>
      </c>
      <c r="I82" s="459">
        <f t="shared" si="52"/>
        <v>0.16</v>
      </c>
      <c r="J82" s="414">
        <v>0.11</v>
      </c>
      <c r="K82" s="358">
        <f t="shared" si="45"/>
        <v>0.14000000000000001</v>
      </c>
      <c r="L82" s="459">
        <f t="shared" si="53"/>
        <v>0.16</v>
      </c>
      <c r="M82" s="463">
        <v>0.09</v>
      </c>
      <c r="N82" s="464">
        <f t="shared" si="46"/>
        <v>0.12</v>
      </c>
      <c r="O82" s="465">
        <f t="shared" si="47"/>
        <v>0.14000000000000001</v>
      </c>
      <c r="P82" s="776">
        <f t="shared" si="48"/>
        <v>0.11</v>
      </c>
      <c r="Q82" s="776"/>
      <c r="R82" s="776">
        <f t="shared" si="49"/>
        <v>0.11</v>
      </c>
      <c r="S82" s="776"/>
      <c r="T82" s="389">
        <f t="shared" si="50"/>
        <v>0.2</v>
      </c>
      <c r="U82" s="403">
        <f t="shared" si="51"/>
        <v>0.2</v>
      </c>
    </row>
    <row r="83" spans="2:21" s="324" customFormat="1" ht="30" customHeight="1">
      <c r="B83" s="852"/>
      <c r="C83" s="353" t="s">
        <v>114</v>
      </c>
      <c r="D83" s="412" t="s">
        <v>115</v>
      </c>
      <c r="E83" s="413" t="s">
        <v>285</v>
      </c>
      <c r="F83" s="350">
        <v>0.03</v>
      </c>
      <c r="G83" s="414">
        <v>7.0000000000000007E-2</v>
      </c>
      <c r="H83" s="358">
        <f t="shared" si="44"/>
        <v>0.11</v>
      </c>
      <c r="I83" s="459">
        <f t="shared" si="52"/>
        <v>0.13</v>
      </c>
      <c r="J83" s="414">
        <v>7.0000000000000007E-2</v>
      </c>
      <c r="K83" s="358">
        <f t="shared" si="45"/>
        <v>0.11</v>
      </c>
      <c r="L83" s="459">
        <f t="shared" si="53"/>
        <v>0.13</v>
      </c>
      <c r="M83" s="463">
        <v>0.06</v>
      </c>
      <c r="N83" s="464">
        <f t="shared" si="46"/>
        <v>0.09</v>
      </c>
      <c r="O83" s="465">
        <f t="shared" si="47"/>
        <v>0.11</v>
      </c>
      <c r="P83" s="776">
        <f t="shared" si="48"/>
        <v>0.1</v>
      </c>
      <c r="Q83" s="776"/>
      <c r="R83" s="776">
        <f t="shared" si="49"/>
        <v>0.1</v>
      </c>
      <c r="S83" s="776"/>
      <c r="T83" s="389">
        <f t="shared" si="50"/>
        <v>0.2</v>
      </c>
      <c r="U83" s="403">
        <f t="shared" si="51"/>
        <v>0.2</v>
      </c>
    </row>
    <row r="84" spans="2:21" s="324" customFormat="1" ht="30" customHeight="1">
      <c r="B84" s="852"/>
      <c r="C84" s="353" t="s">
        <v>116</v>
      </c>
      <c r="D84" s="412" t="s">
        <v>117</v>
      </c>
      <c r="E84" s="413" t="s">
        <v>285</v>
      </c>
      <c r="F84" s="350">
        <v>0.05</v>
      </c>
      <c r="G84" s="414">
        <v>0.06</v>
      </c>
      <c r="H84" s="358">
        <f t="shared" si="44"/>
        <v>0.1</v>
      </c>
      <c r="I84" s="459">
        <f t="shared" si="52"/>
        <v>0.12</v>
      </c>
      <c r="J84" s="414">
        <v>0.06</v>
      </c>
      <c r="K84" s="358">
        <f t="shared" si="45"/>
        <v>0.1</v>
      </c>
      <c r="L84" s="459">
        <f t="shared" si="53"/>
        <v>0.12</v>
      </c>
      <c r="M84" s="463">
        <v>0.05</v>
      </c>
      <c r="N84" s="464">
        <f t="shared" si="46"/>
        <v>0.08</v>
      </c>
      <c r="O84" s="465">
        <f t="shared" si="47"/>
        <v>0.1</v>
      </c>
      <c r="P84" s="776">
        <f t="shared" si="48"/>
        <v>0.1</v>
      </c>
      <c r="Q84" s="776"/>
      <c r="R84" s="776">
        <f t="shared" si="49"/>
        <v>0.1</v>
      </c>
      <c r="S84" s="776"/>
      <c r="T84" s="389">
        <f t="shared" si="50"/>
        <v>0.2</v>
      </c>
      <c r="U84" s="403">
        <f t="shared" si="51"/>
        <v>0.2</v>
      </c>
    </row>
    <row r="85" spans="2:21" s="324" customFormat="1" ht="30" customHeight="1">
      <c r="B85" s="852"/>
      <c r="C85" s="353" t="s">
        <v>126</v>
      </c>
      <c r="D85" s="412" t="s">
        <v>127</v>
      </c>
      <c r="E85" s="413" t="s">
        <v>285</v>
      </c>
      <c r="F85" s="350">
        <v>7.0000000000000007E-2</v>
      </c>
      <c r="G85" s="414">
        <v>7.0000000000000007E-2</v>
      </c>
      <c r="H85" s="358">
        <f t="shared" si="44"/>
        <v>0.11</v>
      </c>
      <c r="I85" s="459">
        <f t="shared" si="52"/>
        <v>0.13</v>
      </c>
      <c r="J85" s="414">
        <v>7.0000000000000007E-2</v>
      </c>
      <c r="K85" s="358">
        <f t="shared" si="45"/>
        <v>0.11</v>
      </c>
      <c r="L85" s="459">
        <f t="shared" si="53"/>
        <v>0.13</v>
      </c>
      <c r="M85" s="463">
        <v>0.06</v>
      </c>
      <c r="N85" s="464">
        <f t="shared" si="46"/>
        <v>0.09</v>
      </c>
      <c r="O85" s="465">
        <f t="shared" si="47"/>
        <v>0.11</v>
      </c>
      <c r="P85" s="776">
        <f t="shared" si="48"/>
        <v>0.1</v>
      </c>
      <c r="Q85" s="776"/>
      <c r="R85" s="776">
        <f t="shared" si="49"/>
        <v>0.1</v>
      </c>
      <c r="S85" s="776"/>
      <c r="T85" s="389">
        <f t="shared" si="50"/>
        <v>0.2</v>
      </c>
      <c r="U85" s="403">
        <f t="shared" si="51"/>
        <v>0.2</v>
      </c>
    </row>
    <row r="86" spans="2:21" s="324" customFormat="1" ht="30" customHeight="1">
      <c r="B86" s="852"/>
      <c r="C86" s="353" t="s">
        <v>134</v>
      </c>
      <c r="D86" s="412" t="s">
        <v>135</v>
      </c>
      <c r="E86" s="413" t="s">
        <v>292</v>
      </c>
      <c r="F86" s="350">
        <v>7.0000000000000007E-2</v>
      </c>
      <c r="G86" s="414">
        <v>7.0000000000000007E-2</v>
      </c>
      <c r="H86" s="358">
        <f t="shared" si="44"/>
        <v>0.11</v>
      </c>
      <c r="I86" s="459">
        <f t="shared" si="52"/>
        <v>0.13</v>
      </c>
      <c r="J86" s="414">
        <v>7.0000000000000007E-2</v>
      </c>
      <c r="K86" s="358">
        <f t="shared" si="45"/>
        <v>0.11</v>
      </c>
      <c r="L86" s="459">
        <f t="shared" si="53"/>
        <v>0.13</v>
      </c>
      <c r="M86" s="463">
        <v>0.06</v>
      </c>
      <c r="N86" s="464">
        <f t="shared" si="46"/>
        <v>0.09</v>
      </c>
      <c r="O86" s="465">
        <f t="shared" si="47"/>
        <v>0.11</v>
      </c>
      <c r="P86" s="776">
        <f t="shared" si="48"/>
        <v>0.1</v>
      </c>
      <c r="Q86" s="776"/>
      <c r="R86" s="776">
        <f t="shared" si="49"/>
        <v>0.1</v>
      </c>
      <c r="S86" s="776"/>
      <c r="T86" s="389">
        <f t="shared" si="50"/>
        <v>0.2</v>
      </c>
      <c r="U86" s="403">
        <f t="shared" si="51"/>
        <v>0.2</v>
      </c>
    </row>
    <row r="87" spans="2:21" s="324" customFormat="1" ht="30" customHeight="1">
      <c r="B87" s="852"/>
      <c r="C87" s="353" t="s">
        <v>124</v>
      </c>
      <c r="D87" s="412" t="s">
        <v>125</v>
      </c>
      <c r="E87" s="413" t="s">
        <v>303</v>
      </c>
      <c r="F87" s="350">
        <v>7.0000000000000007E-2</v>
      </c>
      <c r="G87" s="414">
        <v>7.0000000000000007E-2</v>
      </c>
      <c r="H87" s="358">
        <f t="shared" si="44"/>
        <v>0.11</v>
      </c>
      <c r="I87" s="459">
        <f t="shared" si="52"/>
        <v>0.13</v>
      </c>
      <c r="J87" s="414">
        <v>7.0000000000000007E-2</v>
      </c>
      <c r="K87" s="358">
        <f t="shared" si="45"/>
        <v>0.11</v>
      </c>
      <c r="L87" s="459">
        <f t="shared" si="53"/>
        <v>0.13</v>
      </c>
      <c r="M87" s="463">
        <v>0.06</v>
      </c>
      <c r="N87" s="464">
        <f t="shared" si="46"/>
        <v>0.09</v>
      </c>
      <c r="O87" s="465">
        <f t="shared" si="47"/>
        <v>0.11</v>
      </c>
      <c r="P87" s="776">
        <f t="shared" si="48"/>
        <v>0.1</v>
      </c>
      <c r="Q87" s="776"/>
      <c r="R87" s="776">
        <f t="shared" si="49"/>
        <v>0.1</v>
      </c>
      <c r="S87" s="776"/>
      <c r="T87" s="389">
        <f t="shared" si="50"/>
        <v>0.2</v>
      </c>
      <c r="U87" s="403">
        <f t="shared" si="51"/>
        <v>0.2</v>
      </c>
    </row>
    <row r="88" spans="2:21" s="324" customFormat="1" ht="30" customHeight="1">
      <c r="B88" s="852"/>
      <c r="C88" s="353" t="s">
        <v>132</v>
      </c>
      <c r="D88" s="412" t="s">
        <v>133</v>
      </c>
      <c r="E88" s="413" t="s">
        <v>285</v>
      </c>
      <c r="F88" s="350">
        <v>0.03</v>
      </c>
      <c r="G88" s="414">
        <v>0.06</v>
      </c>
      <c r="H88" s="358">
        <f t="shared" si="44"/>
        <v>0.1</v>
      </c>
      <c r="I88" s="459">
        <f t="shared" si="52"/>
        <v>0.12</v>
      </c>
      <c r="J88" s="414">
        <v>0.06</v>
      </c>
      <c r="K88" s="358">
        <f t="shared" si="45"/>
        <v>0.1</v>
      </c>
      <c r="L88" s="459">
        <f t="shared" si="53"/>
        <v>0.12</v>
      </c>
      <c r="M88" s="463">
        <v>0.05</v>
      </c>
      <c r="N88" s="464">
        <f t="shared" si="46"/>
        <v>0.08</v>
      </c>
      <c r="O88" s="465">
        <f t="shared" si="47"/>
        <v>0.1</v>
      </c>
      <c r="P88" s="776">
        <f t="shared" si="48"/>
        <v>0.1</v>
      </c>
      <c r="Q88" s="776"/>
      <c r="R88" s="776">
        <f t="shared" si="49"/>
        <v>0.1</v>
      </c>
      <c r="S88" s="776"/>
      <c r="T88" s="389">
        <f t="shared" si="50"/>
        <v>0.2</v>
      </c>
      <c r="U88" s="403">
        <f t="shared" si="51"/>
        <v>0.2</v>
      </c>
    </row>
    <row r="89" spans="2:21" s="324" customFormat="1" ht="30" customHeight="1">
      <c r="B89" s="852"/>
      <c r="C89" s="353" t="s">
        <v>142</v>
      </c>
      <c r="D89" s="412" t="s">
        <v>143</v>
      </c>
      <c r="E89" s="413" t="s">
        <v>342</v>
      </c>
      <c r="F89" s="350">
        <v>0.6</v>
      </c>
      <c r="G89" s="414">
        <v>0.4</v>
      </c>
      <c r="H89" s="358">
        <f t="shared" si="44"/>
        <v>0.4</v>
      </c>
      <c r="I89" s="459">
        <f t="shared" si="52"/>
        <v>0.4</v>
      </c>
      <c r="J89" s="414">
        <v>0.4</v>
      </c>
      <c r="K89" s="358">
        <f t="shared" si="45"/>
        <v>0.4</v>
      </c>
      <c r="L89" s="459">
        <f t="shared" si="53"/>
        <v>0.4</v>
      </c>
      <c r="M89" s="463">
        <v>0.05</v>
      </c>
      <c r="N89" s="464">
        <f t="shared" si="46"/>
        <v>0.08</v>
      </c>
      <c r="O89" s="465">
        <f t="shared" si="47"/>
        <v>0.1</v>
      </c>
      <c r="P89" s="776">
        <f t="shared" si="48"/>
        <v>0.4</v>
      </c>
      <c r="Q89" s="776"/>
      <c r="R89" s="776">
        <f t="shared" si="49"/>
        <v>0.4</v>
      </c>
      <c r="S89" s="776"/>
      <c r="T89" s="389">
        <f t="shared" si="50"/>
        <v>0.4</v>
      </c>
      <c r="U89" s="403">
        <f t="shared" si="51"/>
        <v>0.4</v>
      </c>
    </row>
    <row r="90" spans="2:21" s="324" customFormat="1" ht="30" customHeight="1">
      <c r="B90" s="852"/>
      <c r="C90" s="353" t="s">
        <v>144</v>
      </c>
      <c r="D90" s="412" t="s">
        <v>145</v>
      </c>
      <c r="E90" s="413" t="s">
        <v>345</v>
      </c>
      <c r="F90" s="350">
        <v>0.4</v>
      </c>
      <c r="G90" s="414">
        <v>0.1</v>
      </c>
      <c r="H90" s="358">
        <f t="shared" si="44"/>
        <v>0.1</v>
      </c>
      <c r="I90" s="459">
        <f t="shared" si="52"/>
        <v>0.12</v>
      </c>
      <c r="J90" s="414">
        <v>0.1</v>
      </c>
      <c r="K90" s="358">
        <f t="shared" si="45"/>
        <v>0.1</v>
      </c>
      <c r="L90" s="459">
        <f t="shared" si="53"/>
        <v>0.12</v>
      </c>
      <c r="M90" s="463">
        <v>0.05</v>
      </c>
      <c r="N90" s="464">
        <f t="shared" si="46"/>
        <v>0.08</v>
      </c>
      <c r="O90" s="465">
        <f t="shared" si="47"/>
        <v>0.1</v>
      </c>
      <c r="P90" s="776">
        <f t="shared" si="48"/>
        <v>0.1</v>
      </c>
      <c r="Q90" s="776"/>
      <c r="R90" s="776">
        <f t="shared" si="49"/>
        <v>0.1</v>
      </c>
      <c r="S90" s="776"/>
      <c r="T90" s="389">
        <f t="shared" si="50"/>
        <v>0.2</v>
      </c>
      <c r="U90" s="403">
        <f t="shared" si="51"/>
        <v>0.2</v>
      </c>
    </row>
    <row r="91" spans="2:21" s="324" customFormat="1" ht="30" customHeight="1">
      <c r="B91" s="852"/>
      <c r="C91" s="353" t="s">
        <v>146</v>
      </c>
      <c r="D91" s="412" t="s">
        <v>147</v>
      </c>
      <c r="E91" s="413" t="s">
        <v>347</v>
      </c>
      <c r="F91" s="350">
        <v>0.05</v>
      </c>
      <c r="G91" s="414">
        <v>0.08</v>
      </c>
      <c r="H91" s="358">
        <f t="shared" si="44"/>
        <v>0.11</v>
      </c>
      <c r="I91" s="459">
        <f t="shared" si="52"/>
        <v>0.13</v>
      </c>
      <c r="J91" s="414">
        <v>0.08</v>
      </c>
      <c r="K91" s="358">
        <f t="shared" si="45"/>
        <v>0.11</v>
      </c>
      <c r="L91" s="459">
        <f t="shared" si="53"/>
        <v>0.13</v>
      </c>
      <c r="M91" s="463">
        <v>0.06</v>
      </c>
      <c r="N91" s="464">
        <f t="shared" si="46"/>
        <v>0.09</v>
      </c>
      <c r="O91" s="465">
        <f t="shared" si="47"/>
        <v>0.11</v>
      </c>
      <c r="P91" s="776">
        <f t="shared" si="48"/>
        <v>0.1</v>
      </c>
      <c r="Q91" s="776"/>
      <c r="R91" s="776">
        <f t="shared" si="49"/>
        <v>0.1</v>
      </c>
      <c r="S91" s="776"/>
      <c r="T91" s="389">
        <f t="shared" si="50"/>
        <v>0.2</v>
      </c>
      <c r="U91" s="403">
        <f t="shared" si="51"/>
        <v>0.2</v>
      </c>
    </row>
    <row r="92" spans="2:21" s="324" customFormat="1" ht="30" customHeight="1">
      <c r="B92" s="852"/>
      <c r="C92" s="353" t="s">
        <v>138</v>
      </c>
      <c r="D92" s="412" t="s">
        <v>139</v>
      </c>
      <c r="E92" s="413" t="s">
        <v>292</v>
      </c>
      <c r="F92" s="350">
        <v>0.06</v>
      </c>
      <c r="G92" s="414">
        <v>7.0000000000000007E-2</v>
      </c>
      <c r="H92" s="358">
        <f t="shared" si="44"/>
        <v>0.11</v>
      </c>
      <c r="I92" s="459">
        <f t="shared" si="52"/>
        <v>0.13</v>
      </c>
      <c r="J92" s="414">
        <v>7.0000000000000007E-2</v>
      </c>
      <c r="K92" s="358">
        <f t="shared" si="45"/>
        <v>0.11</v>
      </c>
      <c r="L92" s="459">
        <f t="shared" si="53"/>
        <v>0.13</v>
      </c>
      <c r="M92" s="463">
        <v>0.06</v>
      </c>
      <c r="N92" s="464">
        <f t="shared" si="46"/>
        <v>0.09</v>
      </c>
      <c r="O92" s="465">
        <f t="shared" si="47"/>
        <v>0.11</v>
      </c>
      <c r="P92" s="776">
        <f t="shared" si="48"/>
        <v>0.1</v>
      </c>
      <c r="Q92" s="776"/>
      <c r="R92" s="776">
        <f t="shared" si="49"/>
        <v>0.1</v>
      </c>
      <c r="S92" s="776"/>
      <c r="T92" s="389">
        <f t="shared" si="50"/>
        <v>0.2</v>
      </c>
      <c r="U92" s="403">
        <f t="shared" si="51"/>
        <v>0.2</v>
      </c>
    </row>
    <row r="93" spans="2:21" s="324" customFormat="1" ht="30" customHeight="1">
      <c r="B93" s="852"/>
      <c r="C93" s="353" t="s">
        <v>140</v>
      </c>
      <c r="D93" s="412" t="s">
        <v>141</v>
      </c>
      <c r="E93" s="413" t="s">
        <v>349</v>
      </c>
      <c r="F93" s="350">
        <v>0.03</v>
      </c>
      <c r="G93" s="414">
        <v>0.08</v>
      </c>
      <c r="H93" s="358">
        <f t="shared" si="44"/>
        <v>0.11</v>
      </c>
      <c r="I93" s="459">
        <f t="shared" si="52"/>
        <v>0.13</v>
      </c>
      <c r="J93" s="414">
        <v>0.08</v>
      </c>
      <c r="K93" s="358">
        <f t="shared" si="45"/>
        <v>0.11</v>
      </c>
      <c r="L93" s="459">
        <f t="shared" si="53"/>
        <v>0.13</v>
      </c>
      <c r="M93" s="463">
        <v>0.06</v>
      </c>
      <c r="N93" s="464">
        <f t="shared" si="46"/>
        <v>0.09</v>
      </c>
      <c r="O93" s="465">
        <f t="shared" si="47"/>
        <v>0.11</v>
      </c>
      <c r="P93" s="776">
        <f t="shared" si="48"/>
        <v>0.1</v>
      </c>
      <c r="Q93" s="776"/>
      <c r="R93" s="776">
        <f t="shared" si="49"/>
        <v>0.1</v>
      </c>
      <c r="S93" s="776"/>
      <c r="T93" s="389">
        <f t="shared" si="50"/>
        <v>0.2</v>
      </c>
      <c r="U93" s="403">
        <f t="shared" si="51"/>
        <v>0.2</v>
      </c>
    </row>
    <row r="94" spans="2:21" s="324" customFormat="1" ht="47.25" customHeight="1">
      <c r="B94" s="852"/>
      <c r="C94" s="858" t="s">
        <v>122</v>
      </c>
      <c r="D94" s="825" t="s">
        <v>123</v>
      </c>
      <c r="E94" s="788" t="s">
        <v>292</v>
      </c>
      <c r="F94" s="813">
        <v>0.06</v>
      </c>
      <c r="G94" s="735">
        <v>7.0000000000000007E-2</v>
      </c>
      <c r="H94" s="732">
        <f t="shared" si="44"/>
        <v>0.11</v>
      </c>
      <c r="I94" s="778">
        <f t="shared" si="52"/>
        <v>0.13</v>
      </c>
      <c r="J94" s="735">
        <v>7.0000000000000007E-2</v>
      </c>
      <c r="K94" s="732">
        <f t="shared" si="45"/>
        <v>0.11</v>
      </c>
      <c r="L94" s="778">
        <f t="shared" si="53"/>
        <v>0.13</v>
      </c>
      <c r="M94" s="759">
        <v>0.06</v>
      </c>
      <c r="N94" s="765">
        <f t="shared" si="46"/>
        <v>0.09</v>
      </c>
      <c r="O94" s="726">
        <f t="shared" si="47"/>
        <v>0.11</v>
      </c>
      <c r="P94" s="861" t="s">
        <v>624</v>
      </c>
      <c r="Q94" s="862"/>
      <c r="R94" s="861" t="s">
        <v>625</v>
      </c>
      <c r="S94" s="862"/>
      <c r="T94" s="378" t="s">
        <v>650</v>
      </c>
      <c r="U94" s="481" t="s">
        <v>651</v>
      </c>
    </row>
    <row r="95" spans="2:21" s="324" customFormat="1" ht="30" customHeight="1">
      <c r="B95" s="852"/>
      <c r="C95" s="733"/>
      <c r="D95" s="733"/>
      <c r="E95" s="733"/>
      <c r="F95" s="733"/>
      <c r="G95" s="733"/>
      <c r="H95" s="733"/>
      <c r="I95" s="733"/>
      <c r="J95" s="733"/>
      <c r="K95" s="733"/>
      <c r="L95" s="733"/>
      <c r="M95" s="733"/>
      <c r="N95" s="733"/>
      <c r="O95" s="727"/>
      <c r="P95" s="863">
        <f>MAX(C94,20%)</f>
        <v>0.2</v>
      </c>
      <c r="Q95" s="864"/>
      <c r="R95" s="768">
        <f>MAX(J94,15%)</f>
        <v>0.15</v>
      </c>
      <c r="S95" s="769"/>
      <c r="T95" s="482">
        <f>MAX(G94,20%)</f>
        <v>0.2</v>
      </c>
      <c r="U95" s="403">
        <f>MAX(J95,20%)</f>
        <v>0.2</v>
      </c>
    </row>
    <row r="96" spans="2:21" s="324" customFormat="1" ht="30" customHeight="1">
      <c r="B96" s="852"/>
      <c r="C96" s="353" t="s">
        <v>118</v>
      </c>
      <c r="D96" s="412" t="s">
        <v>119</v>
      </c>
      <c r="E96" s="413" t="s">
        <v>292</v>
      </c>
      <c r="F96" s="350">
        <v>0.06</v>
      </c>
      <c r="G96" s="414">
        <v>7.0000000000000007E-2</v>
      </c>
      <c r="H96" s="358">
        <f>MAX(G96,N96+2%)</f>
        <v>0.11</v>
      </c>
      <c r="I96" s="466">
        <f>MAX(G96,O96+2%)</f>
        <v>0.13</v>
      </c>
      <c r="J96" s="414">
        <v>7.0000000000000007E-2</v>
      </c>
      <c r="K96" s="358">
        <f>MAX(J96,N96+2%)</f>
        <v>0.11</v>
      </c>
      <c r="L96" s="466">
        <f>MAX(J96,O96+2%)</f>
        <v>0.13</v>
      </c>
      <c r="M96" s="463">
        <v>0.06</v>
      </c>
      <c r="N96" s="464">
        <f>M96+3%</f>
        <v>0.09</v>
      </c>
      <c r="O96" s="465">
        <f>N96+2%</f>
        <v>0.11</v>
      </c>
      <c r="P96" s="766">
        <f>MAX(C95,20%)</f>
        <v>0.2</v>
      </c>
      <c r="Q96" s="767">
        <f>MAX(D95,20%)</f>
        <v>0.2</v>
      </c>
      <c r="R96" s="768">
        <f>MAX(J96,15%)</f>
        <v>0.15</v>
      </c>
      <c r="S96" s="769"/>
      <c r="T96" s="448">
        <f>MAX(G96,20%)</f>
        <v>0.2</v>
      </c>
      <c r="U96" s="403">
        <f>MAX(J96,20%)</f>
        <v>0.2</v>
      </c>
    </row>
    <row r="97" spans="2:21" s="324" customFormat="1" ht="30" customHeight="1">
      <c r="B97" s="854"/>
      <c r="C97" s="406" t="s">
        <v>120</v>
      </c>
      <c r="D97" s="417" t="s">
        <v>121</v>
      </c>
      <c r="E97" s="418" t="s">
        <v>292</v>
      </c>
      <c r="F97" s="419">
        <v>0.06</v>
      </c>
      <c r="G97" s="420">
        <v>7.0000000000000007E-2</v>
      </c>
      <c r="H97" s="421">
        <f>MAX(G97,N97+2%)</f>
        <v>0.11</v>
      </c>
      <c r="I97" s="467">
        <f>MAX(G97,O97+2%)</f>
        <v>0.13</v>
      </c>
      <c r="J97" s="420">
        <v>7.0000000000000007E-2</v>
      </c>
      <c r="K97" s="421">
        <f>MAX(J97,N97+2%)</f>
        <v>0.11</v>
      </c>
      <c r="L97" s="467">
        <f>MAX(J97,O97+2%)</f>
        <v>0.13</v>
      </c>
      <c r="M97" s="468">
        <v>0.06</v>
      </c>
      <c r="N97" s="469">
        <f>M97+3%</f>
        <v>0.09</v>
      </c>
      <c r="O97" s="470">
        <f>N97+2%</f>
        <v>0.11</v>
      </c>
      <c r="P97" s="770">
        <f>MAX(C96,20%)</f>
        <v>0.2</v>
      </c>
      <c r="Q97" s="771"/>
      <c r="R97" s="772">
        <f>MAX(J97,15%)</f>
        <v>0.15</v>
      </c>
      <c r="S97" s="773"/>
      <c r="T97" s="452">
        <f>MAX(G97,20%)</f>
        <v>0.2</v>
      </c>
      <c r="U97" s="485">
        <f>MAX(J97,20%)</f>
        <v>0.2</v>
      </c>
    </row>
    <row r="98" spans="2:21" s="324" customFormat="1" ht="30" customHeight="1">
      <c r="B98" s="422"/>
      <c r="C98" s="423"/>
      <c r="D98" s="423"/>
      <c r="E98" s="424"/>
      <c r="F98" s="425"/>
      <c r="G98" s="426"/>
      <c r="H98" s="426"/>
      <c r="I98" s="426"/>
      <c r="J98" s="471"/>
      <c r="K98" s="426"/>
      <c r="L98" s="426"/>
      <c r="M98" s="471"/>
      <c r="N98" s="471"/>
      <c r="O98" s="471"/>
      <c r="P98" s="472"/>
      <c r="Q98" s="472"/>
      <c r="R98" s="472"/>
      <c r="S98" s="472"/>
      <c r="T98" s="472"/>
      <c r="U98" s="486"/>
    </row>
    <row r="99" spans="2:21" s="324" customFormat="1" ht="24.95" customHeight="1">
      <c r="B99" s="856" t="s">
        <v>35</v>
      </c>
      <c r="C99" s="723" t="s">
        <v>36</v>
      </c>
      <c r="D99" s="723" t="s">
        <v>37</v>
      </c>
      <c r="E99" s="723" t="s">
        <v>598</v>
      </c>
      <c r="F99" s="723" t="s">
        <v>599</v>
      </c>
      <c r="G99" s="797" t="s">
        <v>600</v>
      </c>
      <c r="H99" s="797"/>
      <c r="I99" s="797"/>
      <c r="J99" s="797"/>
      <c r="K99" s="797"/>
      <c r="L99" s="797"/>
      <c r="M99" s="723" t="s">
        <v>601</v>
      </c>
      <c r="N99" s="723"/>
      <c r="O99" s="723"/>
      <c r="P99" s="723" t="s">
        <v>630</v>
      </c>
      <c r="Q99" s="723"/>
      <c r="R99" s="723"/>
      <c r="S99" s="723"/>
      <c r="T99" s="723"/>
      <c r="U99" s="774"/>
    </row>
    <row r="100" spans="2:21" s="324" customFormat="1" ht="35.25" customHeight="1">
      <c r="B100" s="843"/>
      <c r="C100" s="724"/>
      <c r="D100" s="724"/>
      <c r="E100" s="724"/>
      <c r="F100" s="724"/>
      <c r="G100" s="798" t="s">
        <v>603</v>
      </c>
      <c r="H100" s="798"/>
      <c r="I100" s="798"/>
      <c r="J100" s="798" t="s">
        <v>604</v>
      </c>
      <c r="K100" s="798"/>
      <c r="L100" s="798"/>
      <c r="M100" s="724"/>
      <c r="N100" s="724"/>
      <c r="O100" s="724"/>
      <c r="P100" s="724" t="s">
        <v>605</v>
      </c>
      <c r="Q100" s="724"/>
      <c r="R100" s="724"/>
      <c r="S100" s="724"/>
      <c r="T100" s="724" t="s">
        <v>646</v>
      </c>
      <c r="U100" s="775"/>
    </row>
    <row r="101" spans="2:21" s="324" customFormat="1" ht="54" customHeight="1">
      <c r="B101" s="843"/>
      <c r="C101" s="724"/>
      <c r="D101" s="724"/>
      <c r="E101" s="724"/>
      <c r="F101" s="724"/>
      <c r="G101" s="135" t="s">
        <v>607</v>
      </c>
      <c r="H101" s="135" t="s">
        <v>608</v>
      </c>
      <c r="I101" s="135" t="s">
        <v>609</v>
      </c>
      <c r="J101" s="135" t="s">
        <v>607</v>
      </c>
      <c r="K101" s="135" t="s">
        <v>608</v>
      </c>
      <c r="L101" s="135" t="s">
        <v>609</v>
      </c>
      <c r="M101" s="135" t="s">
        <v>607</v>
      </c>
      <c r="N101" s="135" t="s">
        <v>610</v>
      </c>
      <c r="O101" s="135" t="s">
        <v>611</v>
      </c>
      <c r="P101" s="798" t="s">
        <v>647</v>
      </c>
      <c r="Q101" s="798"/>
      <c r="R101" s="798" t="s">
        <v>648</v>
      </c>
      <c r="S101" s="798"/>
      <c r="T101" s="378" t="s">
        <v>652</v>
      </c>
      <c r="U101" s="400" t="s">
        <v>653</v>
      </c>
    </row>
    <row r="102" spans="2:21" s="324" customFormat="1" ht="30" customHeight="1">
      <c r="B102" s="655" t="s">
        <v>654</v>
      </c>
      <c r="C102" s="340" t="s">
        <v>203</v>
      </c>
      <c r="D102" s="340" t="s">
        <v>204</v>
      </c>
      <c r="E102" s="303" t="s">
        <v>292</v>
      </c>
      <c r="F102" s="427">
        <v>0.06</v>
      </c>
      <c r="G102" s="330">
        <v>0.08</v>
      </c>
      <c r="H102" s="331">
        <f>MAX(G102,N102+2%)</f>
        <v>0.11</v>
      </c>
      <c r="I102" s="371">
        <f>MAX(G102,O102+2%)</f>
        <v>0.13</v>
      </c>
      <c r="J102" s="330">
        <v>7.0000000000000007E-2</v>
      </c>
      <c r="K102" s="331">
        <f>MAX(J102,N102+2%)</f>
        <v>0.11</v>
      </c>
      <c r="L102" s="371">
        <f>MAX(J102,O102+2%)</f>
        <v>0.13</v>
      </c>
      <c r="M102" s="372">
        <v>0.06</v>
      </c>
      <c r="N102" s="373">
        <f>M102+3%</f>
        <v>0.09</v>
      </c>
      <c r="O102" s="374">
        <f>N102+2%</f>
        <v>0.11</v>
      </c>
      <c r="P102" s="776">
        <f>MAX(G102,10%)</f>
        <v>0.1</v>
      </c>
      <c r="Q102" s="776"/>
      <c r="R102" s="776">
        <f>MAX(J102,10%)</f>
        <v>0.1</v>
      </c>
      <c r="S102" s="776"/>
      <c r="T102" s="389">
        <f>MAX(G102,20%)</f>
        <v>0.2</v>
      </c>
      <c r="U102" s="403">
        <f>MAX(J102,20%)</f>
        <v>0.2</v>
      </c>
    </row>
    <row r="103" spans="2:21" s="324" customFormat="1" ht="39.950000000000003" customHeight="1">
      <c r="B103" s="656"/>
      <c r="C103" s="340" t="s">
        <v>655</v>
      </c>
      <c r="D103" s="826" t="s">
        <v>207</v>
      </c>
      <c r="E103" s="789" t="s">
        <v>306</v>
      </c>
      <c r="F103" s="804">
        <v>0.11</v>
      </c>
      <c r="G103" s="734">
        <v>0.1</v>
      </c>
      <c r="H103" s="731">
        <f>MAX(G103,N103+2%)</f>
        <v>0.13</v>
      </c>
      <c r="I103" s="777">
        <f>MAX(G103,O103+2%)</f>
        <v>0.15</v>
      </c>
      <c r="J103" s="734">
        <v>0.09</v>
      </c>
      <c r="K103" s="731">
        <f>MAX(J103,N103+2%)</f>
        <v>0.13</v>
      </c>
      <c r="L103" s="777">
        <f>MAX(J103,O103+2%)</f>
        <v>0.15</v>
      </c>
      <c r="M103" s="758">
        <v>0.08</v>
      </c>
      <c r="N103" s="760">
        <f>M103+3%</f>
        <v>0.11</v>
      </c>
      <c r="O103" s="728">
        <f>N103+2%</f>
        <v>0.13</v>
      </c>
      <c r="P103" s="776">
        <f>MAX(G103,10%)</f>
        <v>0.1</v>
      </c>
      <c r="Q103" s="776"/>
      <c r="R103" s="776">
        <f>MAX(J103,10%)</f>
        <v>0.1</v>
      </c>
      <c r="S103" s="776"/>
      <c r="T103" s="389">
        <f>MAX(G103,20%)</f>
        <v>0.2</v>
      </c>
      <c r="U103" s="488">
        <f>MAX(J103,20%)</f>
        <v>0.2</v>
      </c>
    </row>
    <row r="104" spans="2:21" s="324" customFormat="1" ht="45.95" customHeight="1">
      <c r="B104" s="656"/>
      <c r="C104" s="837" t="s">
        <v>656</v>
      </c>
      <c r="D104" s="826"/>
      <c r="E104" s="789"/>
      <c r="F104" s="804"/>
      <c r="G104" s="734"/>
      <c r="H104" s="731"/>
      <c r="I104" s="777"/>
      <c r="J104" s="734"/>
      <c r="K104" s="731"/>
      <c r="L104" s="777"/>
      <c r="M104" s="758"/>
      <c r="N104" s="760"/>
      <c r="O104" s="728"/>
      <c r="P104" s="724" t="s">
        <v>657</v>
      </c>
      <c r="Q104" s="724"/>
      <c r="R104" s="724" t="s">
        <v>658</v>
      </c>
      <c r="S104" s="724"/>
      <c r="T104" s="378" t="s">
        <v>624</v>
      </c>
      <c r="U104" s="400" t="s">
        <v>625</v>
      </c>
    </row>
    <row r="105" spans="2:21" s="324" customFormat="1" ht="30" customHeight="1">
      <c r="B105" s="656"/>
      <c r="C105" s="837"/>
      <c r="D105" s="826"/>
      <c r="E105" s="789"/>
      <c r="F105" s="804"/>
      <c r="G105" s="734"/>
      <c r="H105" s="731"/>
      <c r="I105" s="777"/>
      <c r="J105" s="734"/>
      <c r="K105" s="731"/>
      <c r="L105" s="777"/>
      <c r="M105" s="758"/>
      <c r="N105" s="760"/>
      <c r="O105" s="728"/>
      <c r="P105" s="776">
        <f>MAX(G103,10%)</f>
        <v>0.1</v>
      </c>
      <c r="Q105" s="776"/>
      <c r="R105" s="776">
        <f>MAX(J103,10%)</f>
        <v>0.1</v>
      </c>
      <c r="S105" s="776"/>
      <c r="T105" s="389">
        <f>MAX(G103,20%)</f>
        <v>0.2</v>
      </c>
      <c r="U105" s="488">
        <f>MAX(J103,20%)</f>
        <v>0.2</v>
      </c>
    </row>
    <row r="106" spans="2:21" s="324" customFormat="1" ht="30" customHeight="1">
      <c r="B106" s="857"/>
      <c r="C106" s="428" t="s">
        <v>208</v>
      </c>
      <c r="D106" s="428" t="s">
        <v>209</v>
      </c>
      <c r="E106" s="429" t="s">
        <v>369</v>
      </c>
      <c r="F106" s="430">
        <v>7.0000000000000007E-2</v>
      </c>
      <c r="G106" s="431">
        <v>0.09</v>
      </c>
      <c r="H106" s="432">
        <f>MAX(G106,N106+2%)</f>
        <v>0.12</v>
      </c>
      <c r="I106" s="473">
        <f>MAX(G106,O106+2%)</f>
        <v>0.14000000000000001</v>
      </c>
      <c r="J106" s="330">
        <v>0.08</v>
      </c>
      <c r="K106" s="432">
        <f>MAX(J106,N106+2%)</f>
        <v>0.12</v>
      </c>
      <c r="L106" s="473">
        <f>MAX(J106,O106+2%)</f>
        <v>0.14000000000000001</v>
      </c>
      <c r="M106" s="474">
        <v>7.0000000000000007E-2</v>
      </c>
      <c r="N106" s="475">
        <f>M106+3%</f>
        <v>0.1</v>
      </c>
      <c r="O106" s="476">
        <f>N106+2%</f>
        <v>0.12</v>
      </c>
      <c r="P106" s="744">
        <f>MAX(G106,10%)</f>
        <v>0.1</v>
      </c>
      <c r="Q106" s="744"/>
      <c r="R106" s="744">
        <f>MAX(J106,10%)</f>
        <v>0.1</v>
      </c>
      <c r="S106" s="744"/>
      <c r="T106" s="489">
        <f>MAX(G106,20%)</f>
        <v>0.2</v>
      </c>
      <c r="U106" s="490">
        <f>MAX(J106,20%)</f>
        <v>0.2</v>
      </c>
    </row>
    <row r="107" spans="2:21" s="324" customFormat="1" ht="17.25" customHeight="1">
      <c r="B107" s="433"/>
      <c r="C107" s="433"/>
      <c r="D107" s="433"/>
      <c r="E107" s="433"/>
      <c r="F107" s="434"/>
      <c r="G107" s="434"/>
      <c r="H107" s="434"/>
      <c r="I107" s="434"/>
      <c r="J107" s="434"/>
      <c r="K107" s="434"/>
      <c r="L107" s="434"/>
      <c r="M107" s="434"/>
      <c r="N107" s="434"/>
      <c r="O107" s="434"/>
      <c r="P107" s="477"/>
      <c r="Q107" s="477"/>
      <c r="R107" s="477"/>
      <c r="S107" s="477"/>
      <c r="T107" s="477"/>
      <c r="U107" s="486"/>
    </row>
    <row r="108" spans="2:21" s="324" customFormat="1" ht="24.95" customHeight="1">
      <c r="B108" s="833" t="s">
        <v>35</v>
      </c>
      <c r="C108" s="799" t="s">
        <v>36</v>
      </c>
      <c r="D108" s="799" t="s">
        <v>37</v>
      </c>
      <c r="E108" s="799" t="s">
        <v>598</v>
      </c>
      <c r="F108" s="799" t="s">
        <v>599</v>
      </c>
      <c r="G108" s="712" t="s">
        <v>659</v>
      </c>
      <c r="H108" s="713"/>
      <c r="I108" s="745" t="s">
        <v>660</v>
      </c>
      <c r="J108" s="746"/>
      <c r="K108" s="746"/>
      <c r="L108" s="747"/>
      <c r="M108" s="748" t="s">
        <v>630</v>
      </c>
      <c r="N108" s="749"/>
      <c r="O108" s="749"/>
      <c r="P108" s="749"/>
      <c r="Q108" s="749"/>
      <c r="R108" s="750"/>
    </row>
    <row r="109" spans="2:21" s="324" customFormat="1">
      <c r="B109" s="834"/>
      <c r="C109" s="800"/>
      <c r="D109" s="800"/>
      <c r="E109" s="800"/>
      <c r="F109" s="800"/>
      <c r="G109" s="714"/>
      <c r="H109" s="715"/>
      <c r="I109" s="859" t="s">
        <v>661</v>
      </c>
      <c r="J109" s="860"/>
      <c r="K109" s="859" t="s">
        <v>662</v>
      </c>
      <c r="L109" s="860"/>
      <c r="M109" s="716" t="s">
        <v>663</v>
      </c>
      <c r="N109" s="717"/>
      <c r="O109" s="717"/>
      <c r="P109" s="717"/>
      <c r="Q109" s="717"/>
      <c r="R109" s="718"/>
    </row>
    <row r="110" spans="2:21" s="324" customFormat="1" ht="30">
      <c r="B110" s="835"/>
      <c r="C110" s="753"/>
      <c r="D110" s="753"/>
      <c r="E110" s="753"/>
      <c r="F110" s="753"/>
      <c r="G110" s="135" t="s">
        <v>603</v>
      </c>
      <c r="H110" s="135" t="s">
        <v>664</v>
      </c>
      <c r="I110" s="478" t="s">
        <v>665</v>
      </c>
      <c r="J110" s="135" t="s">
        <v>664</v>
      </c>
      <c r="K110" s="478" t="s">
        <v>665</v>
      </c>
      <c r="L110" s="135" t="s">
        <v>664</v>
      </c>
      <c r="M110" s="714"/>
      <c r="N110" s="719"/>
      <c r="O110" s="719"/>
      <c r="P110" s="719"/>
      <c r="Q110" s="719"/>
      <c r="R110" s="720"/>
    </row>
    <row r="111" spans="2:21" s="324" customFormat="1" ht="30" customHeight="1">
      <c r="B111" s="646" t="s">
        <v>666</v>
      </c>
      <c r="C111" s="340" t="s">
        <v>221</v>
      </c>
      <c r="D111" s="340" t="s">
        <v>222</v>
      </c>
      <c r="E111" s="303">
        <v>300</v>
      </c>
      <c r="F111" s="334">
        <v>0.02</v>
      </c>
      <c r="G111" s="330">
        <v>0.12</v>
      </c>
      <c r="H111" s="435">
        <v>0.1</v>
      </c>
      <c r="I111" s="721" t="s">
        <v>667</v>
      </c>
      <c r="J111" s="721"/>
      <c r="K111" s="721"/>
      <c r="L111" s="721"/>
      <c r="M111" s="736" t="s">
        <v>668</v>
      </c>
      <c r="N111" s="736"/>
      <c r="O111" s="736"/>
      <c r="P111" s="737"/>
      <c r="Q111" s="737"/>
      <c r="R111" s="738"/>
    </row>
    <row r="112" spans="2:21" s="324" customFormat="1" ht="30" customHeight="1">
      <c r="B112" s="646"/>
      <c r="C112" s="340" t="s">
        <v>224</v>
      </c>
      <c r="D112" s="340" t="s">
        <v>225</v>
      </c>
      <c r="E112" s="303">
        <v>300</v>
      </c>
      <c r="F112" s="334">
        <v>0.02</v>
      </c>
      <c r="G112" s="330">
        <v>0.12</v>
      </c>
      <c r="H112" s="435">
        <v>0.1</v>
      </c>
      <c r="I112" s="721"/>
      <c r="J112" s="721"/>
      <c r="K112" s="721"/>
      <c r="L112" s="721"/>
      <c r="M112" s="736" t="s">
        <v>668</v>
      </c>
      <c r="N112" s="736"/>
      <c r="O112" s="736"/>
      <c r="P112" s="737"/>
      <c r="Q112" s="737"/>
      <c r="R112" s="738"/>
    </row>
    <row r="113" spans="2:18" s="324" customFormat="1" ht="30" customHeight="1">
      <c r="B113" s="646"/>
      <c r="C113" s="340" t="s">
        <v>226</v>
      </c>
      <c r="D113" s="340" t="s">
        <v>227</v>
      </c>
      <c r="E113" s="303">
        <v>200</v>
      </c>
      <c r="F113" s="334">
        <v>0.02</v>
      </c>
      <c r="G113" s="330">
        <v>0.12</v>
      </c>
      <c r="H113" s="435">
        <v>0.1</v>
      </c>
      <c r="I113" s="721"/>
      <c r="J113" s="721"/>
      <c r="K113" s="721"/>
      <c r="L113" s="721"/>
      <c r="M113" s="736" t="s">
        <v>668</v>
      </c>
      <c r="N113" s="736"/>
      <c r="O113" s="736"/>
      <c r="P113" s="737"/>
      <c r="Q113" s="737"/>
      <c r="R113" s="738"/>
    </row>
    <row r="114" spans="2:18" s="324" customFormat="1" ht="30" customHeight="1">
      <c r="B114" s="646"/>
      <c r="C114" s="340" t="s">
        <v>228</v>
      </c>
      <c r="D114" s="340" t="s">
        <v>229</v>
      </c>
      <c r="E114" s="303">
        <v>200</v>
      </c>
      <c r="F114" s="334">
        <v>0.02</v>
      </c>
      <c r="G114" s="330">
        <v>0.12</v>
      </c>
      <c r="H114" s="435">
        <v>0.1</v>
      </c>
      <c r="I114" s="721"/>
      <c r="J114" s="721"/>
      <c r="K114" s="721"/>
      <c r="L114" s="721"/>
      <c r="M114" s="736" t="s">
        <v>668</v>
      </c>
      <c r="N114" s="736"/>
      <c r="O114" s="736"/>
      <c r="P114" s="737"/>
      <c r="Q114" s="737"/>
      <c r="R114" s="738"/>
    </row>
    <row r="115" spans="2:18" s="324" customFormat="1" ht="30" customHeight="1">
      <c r="B115" s="646"/>
      <c r="C115" s="340" t="s">
        <v>211</v>
      </c>
      <c r="D115" s="340" t="s">
        <v>212</v>
      </c>
      <c r="E115" s="303">
        <v>20000</v>
      </c>
      <c r="F115" s="436">
        <v>3.0000000000000001E-3</v>
      </c>
      <c r="G115" s="437">
        <v>5.0000000000000001E-3</v>
      </c>
      <c r="H115" s="438">
        <v>5.0000000000000001E-3</v>
      </c>
      <c r="I115" s="721"/>
      <c r="J115" s="721"/>
      <c r="K115" s="721"/>
      <c r="L115" s="721"/>
      <c r="M115" s="739">
        <v>0.01</v>
      </c>
      <c r="N115" s="739"/>
      <c r="O115" s="736"/>
      <c r="P115" s="737"/>
      <c r="Q115" s="737"/>
      <c r="R115" s="738"/>
    </row>
    <row r="116" spans="2:18" s="324" customFormat="1" ht="30" customHeight="1">
      <c r="B116" s="646"/>
      <c r="C116" s="340" t="s">
        <v>215</v>
      </c>
      <c r="D116" s="340" t="s">
        <v>216</v>
      </c>
      <c r="E116" s="303">
        <v>10000</v>
      </c>
      <c r="F116" s="436">
        <v>5.0000000000000001E-3</v>
      </c>
      <c r="G116" s="437">
        <v>1.2E-2</v>
      </c>
      <c r="H116" s="438">
        <v>1.2E-2</v>
      </c>
      <c r="I116" s="721"/>
      <c r="J116" s="721"/>
      <c r="K116" s="721"/>
      <c r="L116" s="721"/>
      <c r="M116" s="739">
        <v>0.02</v>
      </c>
      <c r="N116" s="739"/>
      <c r="O116" s="736"/>
      <c r="P116" s="737"/>
      <c r="Q116" s="737"/>
      <c r="R116" s="738"/>
    </row>
    <row r="117" spans="2:18" s="324" customFormat="1" ht="30" customHeight="1">
      <c r="B117" s="646"/>
      <c r="C117" s="340" t="s">
        <v>217</v>
      </c>
      <c r="D117" s="340" t="s">
        <v>218</v>
      </c>
      <c r="E117" s="303">
        <v>10000</v>
      </c>
      <c r="F117" s="436">
        <v>5.0000000000000001E-3</v>
      </c>
      <c r="G117" s="437">
        <v>0.02</v>
      </c>
      <c r="H117" s="438">
        <v>0.02</v>
      </c>
      <c r="I117" s="721"/>
      <c r="J117" s="721"/>
      <c r="K117" s="721"/>
      <c r="L117" s="721"/>
      <c r="M117" s="739">
        <v>0.03</v>
      </c>
      <c r="N117" s="739"/>
      <c r="O117" s="736"/>
      <c r="P117" s="737"/>
      <c r="Q117" s="737"/>
      <c r="R117" s="738"/>
    </row>
    <row r="118" spans="2:18" s="324" customFormat="1" ht="30" customHeight="1">
      <c r="B118" s="836"/>
      <c r="C118" s="439" t="s">
        <v>219</v>
      </c>
      <c r="D118" s="439" t="s">
        <v>220</v>
      </c>
      <c r="E118" s="429">
        <v>10000</v>
      </c>
      <c r="F118" s="440">
        <v>1.4999999999999999E-2</v>
      </c>
      <c r="G118" s="441">
        <v>3.5000000000000003E-2</v>
      </c>
      <c r="H118" s="442">
        <v>3.5000000000000003E-2</v>
      </c>
      <c r="I118" s="722"/>
      <c r="J118" s="722"/>
      <c r="K118" s="722"/>
      <c r="L118" s="722"/>
      <c r="M118" s="740">
        <v>0.05</v>
      </c>
      <c r="N118" s="740"/>
      <c r="O118" s="741"/>
      <c r="P118" s="742"/>
      <c r="Q118" s="742"/>
      <c r="R118" s="743"/>
    </row>
  </sheetData>
  <mergeCells count="315">
    <mergeCell ref="A1:C1"/>
    <mergeCell ref="B2:U2"/>
    <mergeCell ref="G3:L3"/>
    <mergeCell ref="P3:U3"/>
    <mergeCell ref="G4:I4"/>
    <mergeCell ref="J4:L4"/>
    <mergeCell ref="P4:Q4"/>
    <mergeCell ref="R4:U4"/>
    <mergeCell ref="R28:S28"/>
    <mergeCell ref="T28:U28"/>
    <mergeCell ref="E3:E5"/>
    <mergeCell ref="E23:E24"/>
    <mergeCell ref="E25:E26"/>
    <mergeCell ref="E28:E29"/>
    <mergeCell ref="G23:G24"/>
    <mergeCell ref="G25:G26"/>
    <mergeCell ref="L31:L32"/>
    <mergeCell ref="M23:M24"/>
    <mergeCell ref="M25:M26"/>
    <mergeCell ref="O23:O24"/>
    <mergeCell ref="O25:O26"/>
    <mergeCell ref="M28:M29"/>
    <mergeCell ref="M31:M32"/>
    <mergeCell ref="O28:O29"/>
    <mergeCell ref="O31:O32"/>
    <mergeCell ref="P38:Q38"/>
    <mergeCell ref="R38:S38"/>
    <mergeCell ref="R29:S29"/>
    <mergeCell ref="T29:U29"/>
    <mergeCell ref="R30:S30"/>
    <mergeCell ref="T30:U30"/>
    <mergeCell ref="R31:S31"/>
    <mergeCell ref="T31:U31"/>
    <mergeCell ref="R32:S32"/>
    <mergeCell ref="T32:U32"/>
    <mergeCell ref="P34:U34"/>
    <mergeCell ref="P35:S35"/>
    <mergeCell ref="T35:U35"/>
    <mergeCell ref="P36:Q36"/>
    <mergeCell ref="R36:S36"/>
    <mergeCell ref="P37:Q37"/>
    <mergeCell ref="R37:S37"/>
    <mergeCell ref="P39:Q39"/>
    <mergeCell ref="R39:S39"/>
    <mergeCell ref="P40:Q40"/>
    <mergeCell ref="R40:S40"/>
    <mergeCell ref="P41:Q41"/>
    <mergeCell ref="R41:S41"/>
    <mergeCell ref="P42:Q42"/>
    <mergeCell ref="R42:S42"/>
    <mergeCell ref="P43:Q43"/>
    <mergeCell ref="R43:S43"/>
    <mergeCell ref="P44:Q44"/>
    <mergeCell ref="R44:S44"/>
    <mergeCell ref="P45:Q45"/>
    <mergeCell ref="R45:S45"/>
    <mergeCell ref="P46:Q46"/>
    <mergeCell ref="R46:S46"/>
    <mergeCell ref="P49:Q49"/>
    <mergeCell ref="R49:S49"/>
    <mergeCell ref="P50:Q50"/>
    <mergeCell ref="R50:S50"/>
    <mergeCell ref="P51:Q51"/>
    <mergeCell ref="R51:S51"/>
    <mergeCell ref="P52:Q52"/>
    <mergeCell ref="R52:S52"/>
    <mergeCell ref="P53:Q53"/>
    <mergeCell ref="R53:S53"/>
    <mergeCell ref="P54:Q54"/>
    <mergeCell ref="R54:S54"/>
    <mergeCell ref="P55:Q55"/>
    <mergeCell ref="R55:S55"/>
    <mergeCell ref="P56:Q56"/>
    <mergeCell ref="R56:S56"/>
    <mergeCell ref="P57:Q57"/>
    <mergeCell ref="R57:S57"/>
    <mergeCell ref="P58:Q58"/>
    <mergeCell ref="R58:S58"/>
    <mergeCell ref="P59:Q59"/>
    <mergeCell ref="R59:S59"/>
    <mergeCell ref="P60:Q60"/>
    <mergeCell ref="R60:S60"/>
    <mergeCell ref="P61:Q61"/>
    <mergeCell ref="R61:S61"/>
    <mergeCell ref="P62:Q62"/>
    <mergeCell ref="R62:S62"/>
    <mergeCell ref="P63:Q63"/>
    <mergeCell ref="R63:S63"/>
    <mergeCell ref="P64:Q64"/>
    <mergeCell ref="R64:S64"/>
    <mergeCell ref="P65:Q65"/>
    <mergeCell ref="R65:S65"/>
    <mergeCell ref="P72:U72"/>
    <mergeCell ref="G73:I73"/>
    <mergeCell ref="J73:L73"/>
    <mergeCell ref="P73:S73"/>
    <mergeCell ref="T73:U73"/>
    <mergeCell ref="P74:Q74"/>
    <mergeCell ref="R74:S74"/>
    <mergeCell ref="P75:Q75"/>
    <mergeCell ref="R75:S75"/>
    <mergeCell ref="P76:Q76"/>
    <mergeCell ref="R76:S76"/>
    <mergeCell ref="P77:Q77"/>
    <mergeCell ref="R77:S77"/>
    <mergeCell ref="P78:Q78"/>
    <mergeCell ref="R78:S78"/>
    <mergeCell ref="P79:Q79"/>
    <mergeCell ref="R79:S79"/>
    <mergeCell ref="P80:Q80"/>
    <mergeCell ref="R80:S80"/>
    <mergeCell ref="P81:Q81"/>
    <mergeCell ref="R81:S81"/>
    <mergeCell ref="P82:Q82"/>
    <mergeCell ref="R82:S82"/>
    <mergeCell ref="P83:Q83"/>
    <mergeCell ref="R83:S83"/>
    <mergeCell ref="P84:Q84"/>
    <mergeCell ref="R84:S84"/>
    <mergeCell ref="P85:Q85"/>
    <mergeCell ref="R85:S85"/>
    <mergeCell ref="P92:Q92"/>
    <mergeCell ref="R92:S92"/>
    <mergeCell ref="P93:Q93"/>
    <mergeCell ref="R93:S93"/>
    <mergeCell ref="P94:Q94"/>
    <mergeCell ref="R94:S94"/>
    <mergeCell ref="P95:Q95"/>
    <mergeCell ref="R95:S95"/>
    <mergeCell ref="P86:Q86"/>
    <mergeCell ref="R86:S86"/>
    <mergeCell ref="P87:Q87"/>
    <mergeCell ref="R87:S87"/>
    <mergeCell ref="P88:Q88"/>
    <mergeCell ref="R88:S88"/>
    <mergeCell ref="P89:Q89"/>
    <mergeCell ref="R89:S89"/>
    <mergeCell ref="P90:Q90"/>
    <mergeCell ref="R90:S90"/>
    <mergeCell ref="I109:J109"/>
    <mergeCell ref="K109:L109"/>
    <mergeCell ref="M111:R111"/>
    <mergeCell ref="M112:R112"/>
    <mergeCell ref="M113:R113"/>
    <mergeCell ref="P101:Q101"/>
    <mergeCell ref="R101:S101"/>
    <mergeCell ref="P102:Q102"/>
    <mergeCell ref="R102:S102"/>
    <mergeCell ref="P103:Q103"/>
    <mergeCell ref="R103:S103"/>
    <mergeCell ref="P104:Q104"/>
    <mergeCell ref="R104:S104"/>
    <mergeCell ref="P105:Q105"/>
    <mergeCell ref="R105:S105"/>
    <mergeCell ref="B108:B110"/>
    <mergeCell ref="B111:B118"/>
    <mergeCell ref="C3:C5"/>
    <mergeCell ref="C23:C24"/>
    <mergeCell ref="C25:C26"/>
    <mergeCell ref="C28:C29"/>
    <mergeCell ref="C31:C32"/>
    <mergeCell ref="C34:C36"/>
    <mergeCell ref="C66:C67"/>
    <mergeCell ref="C72:C74"/>
    <mergeCell ref="B3:B5"/>
    <mergeCell ref="B6:B24"/>
    <mergeCell ref="B25:B32"/>
    <mergeCell ref="B34:B36"/>
    <mergeCell ref="B37:B70"/>
    <mergeCell ref="B72:B74"/>
    <mergeCell ref="B75:B97"/>
    <mergeCell ref="B99:B101"/>
    <mergeCell ref="B102:B106"/>
    <mergeCell ref="C94:C95"/>
    <mergeCell ref="C99:C101"/>
    <mergeCell ref="C104:C105"/>
    <mergeCell ref="C108:C110"/>
    <mergeCell ref="D3:D5"/>
    <mergeCell ref="D23:D24"/>
    <mergeCell ref="D25:D26"/>
    <mergeCell ref="D28:D29"/>
    <mergeCell ref="D31:D32"/>
    <mergeCell ref="D34:D36"/>
    <mergeCell ref="D40:D41"/>
    <mergeCell ref="D43:D44"/>
    <mergeCell ref="D47:D48"/>
    <mergeCell ref="D49:D50"/>
    <mergeCell ref="D57:D58"/>
    <mergeCell ref="D66:D67"/>
    <mergeCell ref="D68:D70"/>
    <mergeCell ref="D72:D74"/>
    <mergeCell ref="D94:D95"/>
    <mergeCell ref="D99:D101"/>
    <mergeCell ref="D103:D105"/>
    <mergeCell ref="D108:D110"/>
    <mergeCell ref="E108:E110"/>
    <mergeCell ref="F3:F5"/>
    <mergeCell ref="F23:F24"/>
    <mergeCell ref="F25:F26"/>
    <mergeCell ref="F28:F29"/>
    <mergeCell ref="F31:F32"/>
    <mergeCell ref="F34:F36"/>
    <mergeCell ref="F40:F41"/>
    <mergeCell ref="F43:F44"/>
    <mergeCell ref="F47:F48"/>
    <mergeCell ref="F49:F50"/>
    <mergeCell ref="F57:F58"/>
    <mergeCell ref="F66:F67"/>
    <mergeCell ref="F68:F70"/>
    <mergeCell ref="F72:F74"/>
    <mergeCell ref="F94:F95"/>
    <mergeCell ref="F99:F101"/>
    <mergeCell ref="F103:F105"/>
    <mergeCell ref="F108:F110"/>
    <mergeCell ref="E31:E32"/>
    <mergeCell ref="E34:E36"/>
    <mergeCell ref="E40:E41"/>
    <mergeCell ref="E43:E44"/>
    <mergeCell ref="E47:E48"/>
    <mergeCell ref="H23:H24"/>
    <mergeCell ref="H25:H26"/>
    <mergeCell ref="H28:H29"/>
    <mergeCell ref="H31:H32"/>
    <mergeCell ref="H66:H67"/>
    <mergeCell ref="H94:H95"/>
    <mergeCell ref="H103:H105"/>
    <mergeCell ref="E72:E74"/>
    <mergeCell ref="E94:E95"/>
    <mergeCell ref="E99:E101"/>
    <mergeCell ref="E103:E105"/>
    <mergeCell ref="E49:E50"/>
    <mergeCell ref="E57:E58"/>
    <mergeCell ref="E66:E67"/>
    <mergeCell ref="E68:E70"/>
    <mergeCell ref="G99:L99"/>
    <mergeCell ref="G100:I100"/>
    <mergeCell ref="J100:L100"/>
    <mergeCell ref="G72:L72"/>
    <mergeCell ref="G35:I35"/>
    <mergeCell ref="J35:L35"/>
    <mergeCell ref="G34:L34"/>
    <mergeCell ref="G28:G29"/>
    <mergeCell ref="G31:G32"/>
    <mergeCell ref="L66:L67"/>
    <mergeCell ref="L94:L95"/>
    <mergeCell ref="L103:L105"/>
    <mergeCell ref="I66:I67"/>
    <mergeCell ref="I94:I95"/>
    <mergeCell ref="I103:I105"/>
    <mergeCell ref="J23:J24"/>
    <mergeCell ref="J25:J26"/>
    <mergeCell ref="J28:J29"/>
    <mergeCell ref="J31:J32"/>
    <mergeCell ref="J66:J67"/>
    <mergeCell ref="J94:J95"/>
    <mergeCell ref="J103:J105"/>
    <mergeCell ref="I28:I29"/>
    <mergeCell ref="I31:I32"/>
    <mergeCell ref="K28:K29"/>
    <mergeCell ref="K31:K32"/>
    <mergeCell ref="I23:I24"/>
    <mergeCell ref="I25:I26"/>
    <mergeCell ref="K23:K24"/>
    <mergeCell ref="K25:K26"/>
    <mergeCell ref="L23:L24"/>
    <mergeCell ref="L25:L26"/>
    <mergeCell ref="L28:L29"/>
    <mergeCell ref="U47:U48"/>
    <mergeCell ref="M3:O4"/>
    <mergeCell ref="M34:O35"/>
    <mergeCell ref="P47:Q48"/>
    <mergeCell ref="R47:S48"/>
    <mergeCell ref="M66:M67"/>
    <mergeCell ref="M94:M95"/>
    <mergeCell ref="M103:M105"/>
    <mergeCell ref="N23:N24"/>
    <mergeCell ref="N25:N26"/>
    <mergeCell ref="N28:N29"/>
    <mergeCell ref="N31:N32"/>
    <mergeCell ref="N66:N67"/>
    <mergeCell ref="N94:N95"/>
    <mergeCell ref="N103:N105"/>
    <mergeCell ref="P96:Q96"/>
    <mergeCell ref="R96:S96"/>
    <mergeCell ref="P97:Q97"/>
    <mergeCell ref="R97:S97"/>
    <mergeCell ref="P99:U99"/>
    <mergeCell ref="P100:S100"/>
    <mergeCell ref="T100:U100"/>
    <mergeCell ref="P91:Q91"/>
    <mergeCell ref="R91:S91"/>
    <mergeCell ref="G108:H109"/>
    <mergeCell ref="M109:R110"/>
    <mergeCell ref="I111:L118"/>
    <mergeCell ref="M99:O100"/>
    <mergeCell ref="M72:O73"/>
    <mergeCell ref="O66:O67"/>
    <mergeCell ref="O94:O95"/>
    <mergeCell ref="O103:O105"/>
    <mergeCell ref="T47:T48"/>
    <mergeCell ref="K66:K67"/>
    <mergeCell ref="K94:K95"/>
    <mergeCell ref="K103:K105"/>
    <mergeCell ref="G66:G67"/>
    <mergeCell ref="G94:G95"/>
    <mergeCell ref="G103:G105"/>
    <mergeCell ref="M114:R114"/>
    <mergeCell ref="M115:R115"/>
    <mergeCell ref="M116:R116"/>
    <mergeCell ref="M117:R117"/>
    <mergeCell ref="M118:R118"/>
    <mergeCell ref="P106:Q106"/>
    <mergeCell ref="R106:S106"/>
    <mergeCell ref="I108:L108"/>
    <mergeCell ref="M108:R108"/>
  </mergeCells>
  <phoneticPr fontId="106" type="noConversion"/>
  <hyperlinks>
    <hyperlink ref="A1" location="'目录'!A1" display="点此返回目录"/>
  </hyperlinks>
  <pageMargins left="0.75" right="0.75" top="1" bottom="1" header="0.5" footer="0.5"/>
  <pageSetup paperSize="9" orientation="portrait" horizontalDpi="300" verticalDpi="30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AA221"/>
  <sheetViews>
    <sheetView workbookViewId="0">
      <selection sqref="A1:B1"/>
    </sheetView>
  </sheetViews>
  <sheetFormatPr defaultColWidth="9" defaultRowHeight="20.25"/>
  <cols>
    <col min="1" max="1" width="3.5" style="272" customWidth="1"/>
    <col min="2" max="2" width="11.625" style="296" customWidth="1"/>
    <col min="3" max="3" width="23.25" style="272" customWidth="1"/>
    <col min="4" max="4" width="18.5" style="272" customWidth="1"/>
    <col min="5" max="5" width="21.75" style="272" customWidth="1"/>
    <col min="6" max="6" width="23.625" style="272" customWidth="1"/>
    <col min="7" max="7" width="33.25" style="272" customWidth="1"/>
    <col min="8" max="8" width="33.375" style="272" customWidth="1"/>
    <col min="9" max="9" width="42.75" style="272" customWidth="1"/>
    <col min="10" max="10" width="25.25" style="272" customWidth="1"/>
    <col min="11" max="11" width="37.875" style="272" customWidth="1"/>
    <col min="12" max="12" width="25.875" style="272" customWidth="1"/>
    <col min="13" max="13" width="23.25" style="272" customWidth="1"/>
    <col min="14" max="14" width="24.625" style="272" customWidth="1"/>
    <col min="15" max="15" width="18.25" style="272" customWidth="1"/>
    <col min="16" max="27" width="9" style="272"/>
  </cols>
  <sheetData>
    <row r="1" spans="1:15" ht="25.5" customHeight="1">
      <c r="A1" s="623" t="s">
        <v>33</v>
      </c>
      <c r="B1" s="623"/>
      <c r="C1" s="14"/>
      <c r="D1" s="14"/>
    </row>
    <row r="2" spans="1:15" ht="50.1" customHeight="1">
      <c r="B2" s="999" t="s">
        <v>669</v>
      </c>
      <c r="C2" s="1000"/>
      <c r="D2" s="1000"/>
      <c r="E2" s="1000"/>
      <c r="F2" s="1000"/>
      <c r="G2" s="1000"/>
      <c r="H2" s="1000"/>
      <c r="I2" s="576"/>
      <c r="K2" s="1001" t="s">
        <v>670</v>
      </c>
      <c r="L2" s="1002"/>
      <c r="M2" s="1002"/>
      <c r="N2" s="1002"/>
      <c r="O2" s="1003"/>
    </row>
    <row r="3" spans="1:15" ht="35.1" customHeight="1">
      <c r="B3" s="297" t="s">
        <v>35</v>
      </c>
      <c r="C3" s="298" t="s">
        <v>36</v>
      </c>
      <c r="D3" s="298" t="s">
        <v>37</v>
      </c>
      <c r="E3" s="636" t="s">
        <v>671</v>
      </c>
      <c r="F3" s="1004"/>
      <c r="G3" s="298" t="s">
        <v>672</v>
      </c>
      <c r="H3" s="298" t="s">
        <v>606</v>
      </c>
      <c r="I3" s="306" t="s">
        <v>673</v>
      </c>
      <c r="K3" s="307" t="s">
        <v>674</v>
      </c>
      <c r="L3" s="308" t="s">
        <v>675</v>
      </c>
      <c r="M3" s="308" t="s">
        <v>676</v>
      </c>
      <c r="N3" s="308" t="s">
        <v>677</v>
      </c>
      <c r="O3" s="309" t="s">
        <v>673</v>
      </c>
    </row>
    <row r="4" spans="1:15" ht="20.100000000000001" customHeight="1">
      <c r="B4" s="977" t="s">
        <v>44</v>
      </c>
      <c r="C4" s="837" t="s">
        <v>302</v>
      </c>
      <c r="D4" s="967" t="s">
        <v>69</v>
      </c>
      <c r="E4" s="902" t="s">
        <v>678</v>
      </c>
      <c r="F4" s="923"/>
      <c r="G4" s="924">
        <v>3000</v>
      </c>
      <c r="H4" s="924">
        <v>1000</v>
      </c>
      <c r="I4" s="954" t="s">
        <v>679</v>
      </c>
      <c r="K4" s="943" t="s">
        <v>680</v>
      </c>
      <c r="L4" s="933">
        <v>100</v>
      </c>
      <c r="M4" s="933">
        <v>200</v>
      </c>
      <c r="N4" s="933">
        <v>400</v>
      </c>
      <c r="O4" s="927" t="s">
        <v>681</v>
      </c>
    </row>
    <row r="5" spans="1:15" ht="20.100000000000001" customHeight="1">
      <c r="B5" s="978"/>
      <c r="C5" s="922"/>
      <c r="D5" s="968"/>
      <c r="E5" s="902" t="s">
        <v>682</v>
      </c>
      <c r="F5" s="736"/>
      <c r="G5" s="923"/>
      <c r="H5" s="923"/>
      <c r="I5" s="954"/>
      <c r="K5" s="944"/>
      <c r="L5" s="902"/>
      <c r="M5" s="902"/>
      <c r="N5" s="902"/>
      <c r="O5" s="928"/>
    </row>
    <row r="6" spans="1:15" ht="20.100000000000001" customHeight="1">
      <c r="B6" s="978"/>
      <c r="C6" s="837" t="s">
        <v>71</v>
      </c>
      <c r="D6" s="967" t="s">
        <v>72</v>
      </c>
      <c r="E6" s="902" t="s">
        <v>683</v>
      </c>
      <c r="F6" s="923"/>
      <c r="G6" s="924">
        <v>3000</v>
      </c>
      <c r="H6" s="924">
        <v>1000</v>
      </c>
      <c r="I6" s="954"/>
      <c r="K6" s="945" t="s">
        <v>684</v>
      </c>
      <c r="L6" s="902">
        <v>1000</v>
      </c>
      <c r="M6" s="902">
        <v>2000</v>
      </c>
      <c r="N6" s="902">
        <v>4000</v>
      </c>
      <c r="O6" s="928"/>
    </row>
    <row r="7" spans="1:15" ht="20.100000000000001" customHeight="1">
      <c r="B7" s="978"/>
      <c r="C7" s="922"/>
      <c r="D7" s="968"/>
      <c r="E7" s="789" t="s">
        <v>685</v>
      </c>
      <c r="F7" s="736"/>
      <c r="G7" s="923"/>
      <c r="H7" s="923"/>
      <c r="I7" s="954"/>
      <c r="K7" s="945"/>
      <c r="L7" s="902"/>
      <c r="M7" s="902"/>
      <c r="N7" s="902"/>
      <c r="O7" s="928"/>
    </row>
    <row r="8" spans="1:15" ht="20.100000000000001" customHeight="1">
      <c r="B8" s="978"/>
      <c r="C8" s="837" t="s">
        <v>75</v>
      </c>
      <c r="D8" s="967" t="s">
        <v>76</v>
      </c>
      <c r="E8" s="902" t="s">
        <v>686</v>
      </c>
      <c r="F8" s="923"/>
      <c r="G8" s="924">
        <v>2400</v>
      </c>
      <c r="H8" s="924">
        <v>800</v>
      </c>
      <c r="I8" s="954"/>
      <c r="K8" s="945"/>
      <c r="L8" s="902"/>
      <c r="M8" s="902"/>
      <c r="N8" s="902"/>
      <c r="O8" s="928"/>
    </row>
    <row r="9" spans="1:15" ht="20.100000000000001" customHeight="1">
      <c r="B9" s="978"/>
      <c r="C9" s="922"/>
      <c r="D9" s="968"/>
      <c r="E9" s="902" t="s">
        <v>687</v>
      </c>
      <c r="F9" s="736"/>
      <c r="G9" s="923"/>
      <c r="H9" s="923"/>
      <c r="I9" s="954"/>
      <c r="K9" s="945" t="s">
        <v>688</v>
      </c>
      <c r="L9" s="902">
        <v>2000</v>
      </c>
      <c r="M9" s="902">
        <v>4000</v>
      </c>
      <c r="N9" s="902">
        <v>8000</v>
      </c>
      <c r="O9" s="928"/>
    </row>
    <row r="10" spans="1:15" ht="20.100000000000001" customHeight="1">
      <c r="B10" s="978"/>
      <c r="C10" s="837" t="s">
        <v>77</v>
      </c>
      <c r="D10" s="967" t="s">
        <v>78</v>
      </c>
      <c r="E10" s="902" t="s">
        <v>689</v>
      </c>
      <c r="F10" s="923"/>
      <c r="G10" s="924">
        <v>1800</v>
      </c>
      <c r="H10" s="924">
        <v>600</v>
      </c>
      <c r="I10" s="954"/>
      <c r="K10" s="945"/>
      <c r="L10" s="902"/>
      <c r="M10" s="902"/>
      <c r="N10" s="902"/>
      <c r="O10" s="928"/>
    </row>
    <row r="11" spans="1:15" ht="20.100000000000001" customHeight="1">
      <c r="B11" s="978"/>
      <c r="C11" s="922"/>
      <c r="D11" s="968"/>
      <c r="E11" s="789" t="s">
        <v>690</v>
      </c>
      <c r="F11" s="736"/>
      <c r="G11" s="923"/>
      <c r="H11" s="923"/>
      <c r="I11" s="954"/>
      <c r="K11" s="945"/>
      <c r="L11" s="902"/>
      <c r="M11" s="902"/>
      <c r="N11" s="902"/>
      <c r="O11" s="928"/>
    </row>
    <row r="12" spans="1:15" ht="20.100000000000001" customHeight="1">
      <c r="B12" s="978"/>
      <c r="C12" s="837" t="s">
        <v>50</v>
      </c>
      <c r="D12" s="967" t="s">
        <v>51</v>
      </c>
      <c r="E12" s="789" t="s">
        <v>691</v>
      </c>
      <c r="F12" s="923"/>
      <c r="G12" s="924">
        <v>4500</v>
      </c>
      <c r="H12" s="924">
        <v>900</v>
      </c>
      <c r="I12" s="954" t="s">
        <v>692</v>
      </c>
      <c r="K12" s="945"/>
      <c r="L12" s="902"/>
      <c r="M12" s="902"/>
      <c r="N12" s="902"/>
      <c r="O12" s="928"/>
    </row>
    <row r="13" spans="1:15" ht="20.100000000000001" customHeight="1">
      <c r="B13" s="978"/>
      <c r="C13" s="922"/>
      <c r="D13" s="968"/>
      <c r="E13" s="789" t="s">
        <v>693</v>
      </c>
      <c r="F13" s="736"/>
      <c r="G13" s="923"/>
      <c r="H13" s="923"/>
      <c r="I13" s="954"/>
      <c r="K13" s="945" t="s">
        <v>694</v>
      </c>
      <c r="L13" s="902">
        <v>5000</v>
      </c>
      <c r="M13" s="902">
        <v>10000</v>
      </c>
      <c r="N13" s="902">
        <v>10000</v>
      </c>
      <c r="O13" s="928"/>
    </row>
    <row r="14" spans="1:15" ht="20.100000000000001" customHeight="1">
      <c r="B14" s="978"/>
      <c r="C14" s="837" t="s">
        <v>45</v>
      </c>
      <c r="D14" s="967" t="s">
        <v>46</v>
      </c>
      <c r="E14" s="789" t="s">
        <v>695</v>
      </c>
      <c r="F14" s="923"/>
      <c r="G14" s="924">
        <v>1800</v>
      </c>
      <c r="H14" s="924">
        <v>360</v>
      </c>
      <c r="I14" s="954"/>
      <c r="K14" s="945"/>
      <c r="L14" s="902"/>
      <c r="M14" s="902"/>
      <c r="N14" s="902"/>
      <c r="O14" s="928"/>
    </row>
    <row r="15" spans="1:15" ht="20.100000000000001" customHeight="1">
      <c r="B15" s="978"/>
      <c r="C15" s="922"/>
      <c r="D15" s="968"/>
      <c r="E15" s="789" t="s">
        <v>696</v>
      </c>
      <c r="F15" s="736"/>
      <c r="G15" s="923"/>
      <c r="H15" s="923"/>
      <c r="I15" s="954"/>
      <c r="K15" s="945"/>
      <c r="L15" s="902"/>
      <c r="M15" s="902"/>
      <c r="N15" s="902"/>
      <c r="O15" s="928"/>
    </row>
    <row r="16" spans="1:15" ht="20.100000000000001" customHeight="1">
      <c r="B16" s="978"/>
      <c r="C16" s="837" t="s">
        <v>697</v>
      </c>
      <c r="D16" s="967" t="s">
        <v>57</v>
      </c>
      <c r="E16" s="902" t="s">
        <v>698</v>
      </c>
      <c r="F16" s="923"/>
      <c r="G16" s="924">
        <v>9000</v>
      </c>
      <c r="H16" s="924">
        <v>1800</v>
      </c>
      <c r="I16" s="954"/>
      <c r="K16" s="945"/>
      <c r="L16" s="902"/>
      <c r="M16" s="902"/>
      <c r="N16" s="902"/>
      <c r="O16" s="928"/>
    </row>
    <row r="17" spans="2:15" ht="20.100000000000001" customHeight="1">
      <c r="B17" s="978"/>
      <c r="C17" s="922"/>
      <c r="D17" s="968"/>
      <c r="E17" s="789" t="s">
        <v>699</v>
      </c>
      <c r="F17" s="736"/>
      <c r="G17" s="923"/>
      <c r="H17" s="923"/>
      <c r="I17" s="954"/>
      <c r="K17" s="946"/>
      <c r="L17" s="925"/>
      <c r="M17" s="925"/>
      <c r="N17" s="925"/>
      <c r="O17" s="929"/>
    </row>
    <row r="18" spans="2:15" ht="20.100000000000001" customHeight="1">
      <c r="B18" s="978"/>
      <c r="C18" s="837" t="s">
        <v>83</v>
      </c>
      <c r="D18" s="967" t="s">
        <v>84</v>
      </c>
      <c r="E18" s="902" t="s">
        <v>689</v>
      </c>
      <c r="F18" s="923"/>
      <c r="G18" s="924">
        <v>1800</v>
      </c>
      <c r="H18" s="924">
        <v>600</v>
      </c>
      <c r="I18" s="954" t="s">
        <v>700</v>
      </c>
    </row>
    <row r="19" spans="2:15" ht="20.100000000000001" customHeight="1">
      <c r="B19" s="978"/>
      <c r="C19" s="922"/>
      <c r="D19" s="968"/>
      <c r="E19" s="902" t="s">
        <v>701</v>
      </c>
      <c r="F19" s="736"/>
      <c r="G19" s="923"/>
      <c r="H19" s="923"/>
      <c r="I19" s="955"/>
      <c r="K19" s="639" t="s">
        <v>702</v>
      </c>
      <c r="L19" s="640"/>
      <c r="M19" s="640"/>
      <c r="N19" s="640"/>
      <c r="O19" s="642"/>
    </row>
    <row r="20" spans="2:15" ht="20.100000000000001" customHeight="1">
      <c r="B20" s="978"/>
      <c r="C20" s="837" t="s">
        <v>73</v>
      </c>
      <c r="D20" s="967" t="s">
        <v>74</v>
      </c>
      <c r="E20" s="902" t="s">
        <v>703</v>
      </c>
      <c r="F20" s="923"/>
      <c r="G20" s="924">
        <v>1800</v>
      </c>
      <c r="H20" s="924">
        <v>360</v>
      </c>
      <c r="I20" s="954" t="s">
        <v>704</v>
      </c>
      <c r="K20" s="918"/>
      <c r="L20" s="919"/>
      <c r="M20" s="919"/>
      <c r="N20" s="919"/>
      <c r="O20" s="920"/>
    </row>
    <row r="21" spans="2:15" ht="20.100000000000001" customHeight="1">
      <c r="B21" s="978"/>
      <c r="C21" s="922"/>
      <c r="D21" s="968"/>
      <c r="E21" s="902" t="s">
        <v>705</v>
      </c>
      <c r="F21" s="736"/>
      <c r="G21" s="923"/>
      <c r="H21" s="923"/>
      <c r="I21" s="955"/>
      <c r="K21" s="947" t="s">
        <v>674</v>
      </c>
      <c r="L21" s="926" t="s">
        <v>675</v>
      </c>
      <c r="M21" s="926" t="s">
        <v>676</v>
      </c>
      <c r="N21" s="926" t="s">
        <v>677</v>
      </c>
      <c r="O21" s="930" t="s">
        <v>673</v>
      </c>
    </row>
    <row r="22" spans="2:15" ht="20.100000000000001" customHeight="1">
      <c r="B22" s="978"/>
      <c r="C22" s="837" t="s">
        <v>79</v>
      </c>
      <c r="D22" s="967" t="s">
        <v>80</v>
      </c>
      <c r="E22" s="902" t="s">
        <v>686</v>
      </c>
      <c r="F22" s="923"/>
      <c r="G22" s="924">
        <v>1800</v>
      </c>
      <c r="H22" s="924">
        <v>600</v>
      </c>
      <c r="I22" s="954" t="s">
        <v>706</v>
      </c>
      <c r="K22" s="948"/>
      <c r="L22" s="636"/>
      <c r="M22" s="636"/>
      <c r="N22" s="636"/>
      <c r="O22" s="913"/>
    </row>
    <row r="23" spans="2:15" ht="20.100000000000001" customHeight="1">
      <c r="B23" s="978"/>
      <c r="C23" s="922"/>
      <c r="D23" s="968"/>
      <c r="E23" s="789" t="s">
        <v>707</v>
      </c>
      <c r="F23" s="736"/>
      <c r="G23" s="923"/>
      <c r="H23" s="923"/>
      <c r="I23" s="955"/>
      <c r="K23" s="944" t="s">
        <v>680</v>
      </c>
      <c r="L23" s="902">
        <v>100</v>
      </c>
      <c r="M23" s="902">
        <v>200</v>
      </c>
      <c r="N23" s="902">
        <v>400</v>
      </c>
      <c r="O23" s="931" t="s">
        <v>708</v>
      </c>
    </row>
    <row r="24" spans="2:15" ht="20.100000000000001" customHeight="1">
      <c r="B24" s="978"/>
      <c r="C24" s="837" t="s">
        <v>81</v>
      </c>
      <c r="D24" s="967" t="s">
        <v>82</v>
      </c>
      <c r="E24" s="902" t="s">
        <v>709</v>
      </c>
      <c r="F24" s="923"/>
      <c r="G24" s="924">
        <v>600</v>
      </c>
      <c r="H24" s="924">
        <v>200</v>
      </c>
      <c r="I24" s="954" t="s">
        <v>710</v>
      </c>
      <c r="K24" s="944"/>
      <c r="L24" s="902"/>
      <c r="M24" s="902"/>
      <c r="N24" s="902"/>
      <c r="O24" s="931"/>
    </row>
    <row r="25" spans="2:15" ht="20.100000000000001" customHeight="1">
      <c r="B25" s="978"/>
      <c r="C25" s="922"/>
      <c r="D25" s="968"/>
      <c r="E25" s="789" t="s">
        <v>711</v>
      </c>
      <c r="F25" s="736"/>
      <c r="G25" s="923"/>
      <c r="H25" s="923"/>
      <c r="I25" s="954"/>
      <c r="K25" s="945" t="s">
        <v>684</v>
      </c>
      <c r="L25" s="902">
        <v>1000</v>
      </c>
      <c r="M25" s="902">
        <v>2000</v>
      </c>
      <c r="N25" s="902">
        <v>4000</v>
      </c>
      <c r="O25" s="931"/>
    </row>
    <row r="26" spans="2:15" ht="20.100000000000001" customHeight="1">
      <c r="B26" s="978"/>
      <c r="C26" s="837" t="s">
        <v>64</v>
      </c>
      <c r="D26" s="967" t="s">
        <v>65</v>
      </c>
      <c r="E26" s="902" t="s">
        <v>712</v>
      </c>
      <c r="F26" s="922"/>
      <c r="G26" s="924">
        <v>300</v>
      </c>
      <c r="H26" s="924">
        <v>60</v>
      </c>
      <c r="I26" s="954"/>
      <c r="K26" s="945"/>
      <c r="L26" s="902"/>
      <c r="M26" s="902"/>
      <c r="N26" s="902"/>
      <c r="O26" s="931"/>
    </row>
    <row r="27" spans="2:15" ht="20.100000000000001" customHeight="1">
      <c r="B27" s="978"/>
      <c r="C27" s="922"/>
      <c r="D27" s="968"/>
      <c r="E27" s="902" t="s">
        <v>713</v>
      </c>
      <c r="F27" s="924"/>
      <c r="G27" s="922"/>
      <c r="H27" s="922"/>
      <c r="I27" s="954"/>
      <c r="K27" s="945"/>
      <c r="L27" s="902"/>
      <c r="M27" s="902"/>
      <c r="N27" s="902"/>
      <c r="O27" s="931"/>
    </row>
    <row r="28" spans="2:15" ht="30" customHeight="1">
      <c r="B28" s="978"/>
      <c r="C28" s="299" t="s">
        <v>88</v>
      </c>
      <c r="D28" s="300" t="s">
        <v>89</v>
      </c>
      <c r="E28" s="902">
        <v>9000</v>
      </c>
      <c r="F28" s="923"/>
      <c r="G28" s="301">
        <v>2700</v>
      </c>
      <c r="H28" s="301">
        <v>900</v>
      </c>
      <c r="I28" s="954"/>
      <c r="K28" s="945" t="s">
        <v>688</v>
      </c>
      <c r="L28" s="902">
        <v>2000</v>
      </c>
      <c r="M28" s="902">
        <v>4000</v>
      </c>
      <c r="N28" s="902">
        <v>8000</v>
      </c>
      <c r="O28" s="931"/>
    </row>
    <row r="29" spans="2:15" ht="30" customHeight="1">
      <c r="B29" s="978"/>
      <c r="C29" s="299" t="s">
        <v>318</v>
      </c>
      <c r="D29" s="300" t="s">
        <v>67</v>
      </c>
      <c r="E29" s="902">
        <v>4500</v>
      </c>
      <c r="F29" s="923"/>
      <c r="G29" s="301">
        <v>900</v>
      </c>
      <c r="H29" s="301">
        <v>300</v>
      </c>
      <c r="I29" s="954"/>
      <c r="K29" s="945"/>
      <c r="L29" s="902"/>
      <c r="M29" s="902"/>
      <c r="N29" s="902"/>
      <c r="O29" s="931"/>
    </row>
    <row r="30" spans="2:15" ht="30" customHeight="1">
      <c r="B30" s="978"/>
      <c r="C30" s="299" t="s">
        <v>85</v>
      </c>
      <c r="D30" s="300" t="s">
        <v>86</v>
      </c>
      <c r="E30" s="902">
        <v>9000</v>
      </c>
      <c r="F30" s="923"/>
      <c r="G30" s="301">
        <v>2700</v>
      </c>
      <c r="H30" s="301">
        <v>900</v>
      </c>
      <c r="I30" s="310" t="s">
        <v>714</v>
      </c>
      <c r="K30" s="945"/>
      <c r="L30" s="902"/>
      <c r="M30" s="902"/>
      <c r="N30" s="902"/>
      <c r="O30" s="931"/>
    </row>
    <row r="31" spans="2:15" ht="30" customHeight="1">
      <c r="B31" s="978"/>
      <c r="C31" s="299" t="s">
        <v>715</v>
      </c>
      <c r="D31" s="300" t="s">
        <v>61</v>
      </c>
      <c r="E31" s="902">
        <v>8000</v>
      </c>
      <c r="F31" s="923"/>
      <c r="G31" s="301">
        <v>1500</v>
      </c>
      <c r="H31" s="301">
        <v>500</v>
      </c>
      <c r="I31" s="310"/>
      <c r="K31" s="945" t="s">
        <v>716</v>
      </c>
      <c r="L31" s="902">
        <v>5000</v>
      </c>
      <c r="M31" s="902">
        <v>10000</v>
      </c>
      <c r="N31" s="902">
        <v>10000</v>
      </c>
      <c r="O31" s="931"/>
    </row>
    <row r="32" spans="2:15" ht="30" customHeight="1">
      <c r="B32" s="978"/>
      <c r="C32" s="299" t="s">
        <v>717</v>
      </c>
      <c r="D32" s="300" t="s">
        <v>63</v>
      </c>
      <c r="E32" s="902">
        <v>500</v>
      </c>
      <c r="F32" s="923"/>
      <c r="G32" s="301">
        <v>150</v>
      </c>
      <c r="H32" s="301">
        <v>50</v>
      </c>
      <c r="I32" s="310"/>
      <c r="K32" s="945"/>
      <c r="L32" s="902"/>
      <c r="M32" s="902"/>
      <c r="N32" s="902"/>
      <c r="O32" s="931"/>
    </row>
    <row r="33" spans="2:15" ht="36" customHeight="1">
      <c r="B33" s="978"/>
      <c r="C33" s="298" t="s">
        <v>36</v>
      </c>
      <c r="D33" s="298" t="s">
        <v>37</v>
      </c>
      <c r="E33" s="724" t="s">
        <v>718</v>
      </c>
      <c r="F33" s="724"/>
      <c r="G33" s="135" t="s">
        <v>719</v>
      </c>
      <c r="H33" s="135" t="s">
        <v>672</v>
      </c>
      <c r="I33" s="313" t="s">
        <v>673</v>
      </c>
      <c r="K33" s="946"/>
      <c r="L33" s="925"/>
      <c r="M33" s="925"/>
      <c r="N33" s="925"/>
      <c r="O33" s="932"/>
    </row>
    <row r="34" spans="2:15" ht="30" customHeight="1">
      <c r="B34" s="978"/>
      <c r="C34" s="299" t="s">
        <v>720</v>
      </c>
      <c r="D34" s="300" t="s">
        <v>59</v>
      </c>
      <c r="E34" s="902">
        <v>7500</v>
      </c>
      <c r="F34" s="923"/>
      <c r="G34" s="301">
        <v>1500</v>
      </c>
      <c r="H34" s="301">
        <v>500</v>
      </c>
      <c r="I34" s="209"/>
      <c r="K34" s="314"/>
      <c r="L34" s="314"/>
      <c r="M34" s="314"/>
      <c r="N34" s="314"/>
    </row>
    <row r="35" spans="2:15" ht="36" customHeight="1">
      <c r="B35" s="978"/>
      <c r="C35" s="298" t="s">
        <v>36</v>
      </c>
      <c r="D35" s="298" t="s">
        <v>37</v>
      </c>
      <c r="E35" s="724" t="s">
        <v>721</v>
      </c>
      <c r="F35" s="724"/>
      <c r="G35" s="724" t="s">
        <v>722</v>
      </c>
      <c r="H35" s="724"/>
      <c r="I35" s="313" t="s">
        <v>673</v>
      </c>
      <c r="K35" s="996" t="s">
        <v>723</v>
      </c>
      <c r="L35" s="997"/>
      <c r="M35" s="997"/>
      <c r="N35" s="997"/>
      <c r="O35" s="998"/>
    </row>
    <row r="36" spans="2:15" ht="30" customHeight="1">
      <c r="B36" s="978"/>
      <c r="C36" s="299" t="s">
        <v>405</v>
      </c>
      <c r="D36" s="300" t="s">
        <v>406</v>
      </c>
      <c r="E36" s="902">
        <v>8000</v>
      </c>
      <c r="F36" s="923"/>
      <c r="G36" s="902">
        <v>3000</v>
      </c>
      <c r="H36" s="923"/>
      <c r="I36" s="934" t="s">
        <v>724</v>
      </c>
      <c r="K36" s="949" t="s">
        <v>674</v>
      </c>
      <c r="L36" s="911" t="s">
        <v>725</v>
      </c>
      <c r="M36" s="911"/>
      <c r="N36" s="911" t="s">
        <v>673</v>
      </c>
      <c r="O36" s="912"/>
    </row>
    <row r="37" spans="2:15" ht="30" customHeight="1">
      <c r="B37" s="978"/>
      <c r="C37" s="299" t="s">
        <v>726</v>
      </c>
      <c r="D37" s="300" t="s">
        <v>412</v>
      </c>
      <c r="E37" s="902">
        <v>500</v>
      </c>
      <c r="F37" s="923"/>
      <c r="G37" s="902">
        <v>150</v>
      </c>
      <c r="H37" s="923"/>
      <c r="I37" s="935"/>
      <c r="K37" s="948"/>
      <c r="L37" s="636"/>
      <c r="M37" s="636"/>
      <c r="N37" s="636"/>
      <c r="O37" s="913"/>
    </row>
    <row r="38" spans="2:15" ht="30" customHeight="1">
      <c r="B38" s="978"/>
      <c r="C38" s="299" t="s">
        <v>416</v>
      </c>
      <c r="D38" s="300" t="s">
        <v>417</v>
      </c>
      <c r="E38" s="902">
        <v>9000</v>
      </c>
      <c r="F38" s="923"/>
      <c r="G38" s="902">
        <v>2700</v>
      </c>
      <c r="H38" s="923"/>
      <c r="I38" s="935"/>
      <c r="K38" s="950" t="s">
        <v>680</v>
      </c>
      <c r="L38" s="905" t="s">
        <v>727</v>
      </c>
      <c r="M38" s="905"/>
      <c r="N38" s="907" t="s">
        <v>728</v>
      </c>
      <c r="O38" s="908"/>
    </row>
    <row r="39" spans="2:15" ht="30" customHeight="1">
      <c r="B39" s="978"/>
      <c r="C39" s="299" t="s">
        <v>419</v>
      </c>
      <c r="D39" s="300" t="s">
        <v>420</v>
      </c>
      <c r="E39" s="902">
        <v>10000</v>
      </c>
      <c r="F39" s="923"/>
      <c r="G39" s="902">
        <v>3000</v>
      </c>
      <c r="H39" s="923"/>
      <c r="I39" s="935"/>
      <c r="K39" s="950"/>
      <c r="L39" s="905"/>
      <c r="M39" s="905"/>
      <c r="N39" s="907"/>
      <c r="O39" s="908"/>
    </row>
    <row r="40" spans="2:15" ht="30" customHeight="1">
      <c r="B40" s="978"/>
      <c r="C40" s="299" t="s">
        <v>423</v>
      </c>
      <c r="D40" s="300" t="s">
        <v>424</v>
      </c>
      <c r="E40" s="902">
        <v>6000</v>
      </c>
      <c r="F40" s="923"/>
      <c r="G40" s="902">
        <v>2400</v>
      </c>
      <c r="H40" s="923"/>
      <c r="I40" s="935"/>
      <c r="K40" s="950" t="s">
        <v>729</v>
      </c>
      <c r="L40" s="905" t="s">
        <v>730</v>
      </c>
      <c r="M40" s="905"/>
      <c r="N40" s="907"/>
      <c r="O40" s="908"/>
    </row>
    <row r="41" spans="2:15" ht="30" customHeight="1">
      <c r="B41" s="978"/>
      <c r="C41" s="299" t="s">
        <v>427</v>
      </c>
      <c r="D41" s="300" t="s">
        <v>428</v>
      </c>
      <c r="E41" s="902">
        <v>90000</v>
      </c>
      <c r="F41" s="923"/>
      <c r="G41" s="902">
        <v>4500</v>
      </c>
      <c r="H41" s="923"/>
      <c r="I41" s="935"/>
      <c r="K41" s="950"/>
      <c r="L41" s="905"/>
      <c r="M41" s="905"/>
      <c r="N41" s="907"/>
      <c r="O41" s="908"/>
    </row>
    <row r="42" spans="2:15" ht="30" customHeight="1">
      <c r="B42" s="978"/>
      <c r="C42" s="299" t="s">
        <v>432</v>
      </c>
      <c r="D42" s="300" t="s">
        <v>433</v>
      </c>
      <c r="E42" s="902">
        <v>9000</v>
      </c>
      <c r="F42" s="923"/>
      <c r="G42" s="902">
        <v>2700</v>
      </c>
      <c r="H42" s="923"/>
      <c r="I42" s="935"/>
      <c r="K42" s="950" t="s">
        <v>731</v>
      </c>
      <c r="L42" s="905" t="s">
        <v>732</v>
      </c>
      <c r="M42" s="905"/>
      <c r="N42" s="907"/>
      <c r="O42" s="908"/>
    </row>
    <row r="43" spans="2:15" ht="30" customHeight="1">
      <c r="B43" s="978"/>
      <c r="C43" s="299" t="s">
        <v>733</v>
      </c>
      <c r="D43" s="300" t="s">
        <v>438</v>
      </c>
      <c r="E43" s="902">
        <v>1000</v>
      </c>
      <c r="F43" s="923"/>
      <c r="G43" s="902">
        <v>300</v>
      </c>
      <c r="H43" s="923"/>
      <c r="I43" s="935"/>
      <c r="K43" s="951"/>
      <c r="L43" s="906"/>
      <c r="M43" s="906"/>
      <c r="N43" s="909"/>
      <c r="O43" s="910"/>
    </row>
    <row r="44" spans="2:15" ht="30" customHeight="1">
      <c r="B44" s="978"/>
      <c r="C44" s="299" t="s">
        <v>440</v>
      </c>
      <c r="D44" s="300" t="s">
        <v>441</v>
      </c>
      <c r="E44" s="902">
        <v>5000</v>
      </c>
      <c r="F44" s="922"/>
      <c r="G44" s="902">
        <v>1800</v>
      </c>
      <c r="H44" s="922"/>
      <c r="I44" s="935"/>
      <c r="K44" s="315"/>
      <c r="L44" s="315"/>
      <c r="M44" s="315"/>
      <c r="N44" s="316"/>
      <c r="O44" s="316"/>
    </row>
    <row r="45" spans="2:15" ht="30" customHeight="1">
      <c r="B45" s="978"/>
      <c r="C45" s="299" t="s">
        <v>444</v>
      </c>
      <c r="D45" s="300" t="s">
        <v>445</v>
      </c>
      <c r="E45" s="902">
        <v>6000</v>
      </c>
      <c r="F45" s="922"/>
      <c r="G45" s="902">
        <v>1800</v>
      </c>
      <c r="H45" s="922"/>
      <c r="I45" s="935"/>
      <c r="K45" s="315"/>
      <c r="L45" s="315"/>
      <c r="M45" s="315"/>
      <c r="N45" s="316"/>
      <c r="O45" s="316"/>
    </row>
    <row r="46" spans="2:15" ht="30" customHeight="1">
      <c r="B46" s="978"/>
      <c r="C46" s="299" t="s">
        <v>447</v>
      </c>
      <c r="D46" s="300" t="s">
        <v>448</v>
      </c>
      <c r="E46" s="902">
        <v>1500</v>
      </c>
      <c r="F46" s="922"/>
      <c r="G46" s="902">
        <v>600</v>
      </c>
      <c r="H46" s="922"/>
      <c r="I46" s="935"/>
      <c r="K46" s="315"/>
      <c r="L46" s="315"/>
      <c r="M46" s="315"/>
      <c r="N46" s="316"/>
      <c r="O46" s="316"/>
    </row>
    <row r="47" spans="2:15" ht="30" customHeight="1">
      <c r="B47" s="979"/>
      <c r="C47" s="299" t="s">
        <v>450</v>
      </c>
      <c r="D47" s="300" t="s">
        <v>451</v>
      </c>
      <c r="E47" s="902">
        <v>5000</v>
      </c>
      <c r="F47" s="922"/>
      <c r="G47" s="902">
        <v>1800</v>
      </c>
      <c r="H47" s="922"/>
      <c r="I47" s="936"/>
      <c r="K47" s="315"/>
      <c r="L47" s="315"/>
      <c r="M47" s="315"/>
      <c r="N47" s="316"/>
      <c r="O47" s="316"/>
    </row>
    <row r="48" spans="2:15" ht="36" customHeight="1">
      <c r="B48" s="980" t="s">
        <v>90</v>
      </c>
      <c r="C48" s="298" t="s">
        <v>36</v>
      </c>
      <c r="D48" s="298" t="s">
        <v>37</v>
      </c>
      <c r="E48" s="724" t="s">
        <v>718</v>
      </c>
      <c r="F48" s="966"/>
      <c r="G48" s="135" t="s">
        <v>734</v>
      </c>
      <c r="H48" s="135" t="s">
        <v>735</v>
      </c>
      <c r="I48" s="313" t="s">
        <v>673</v>
      </c>
    </row>
    <row r="49" spans="2:9" ht="30" customHeight="1">
      <c r="B49" s="980"/>
      <c r="C49" s="299" t="s">
        <v>91</v>
      </c>
      <c r="D49" s="300" t="s">
        <v>92</v>
      </c>
      <c r="E49" s="902">
        <v>3000</v>
      </c>
      <c r="F49" s="923"/>
      <c r="G49" s="301">
        <v>1500</v>
      </c>
      <c r="H49" s="301">
        <v>500</v>
      </c>
      <c r="I49" s="738"/>
    </row>
    <row r="50" spans="2:9" ht="20.100000000000001" customHeight="1">
      <c r="B50" s="980"/>
      <c r="C50" s="837" t="s">
        <v>93</v>
      </c>
      <c r="D50" s="967" t="s">
        <v>94</v>
      </c>
      <c r="E50" s="902" t="s">
        <v>678</v>
      </c>
      <c r="F50" s="923"/>
      <c r="G50" s="924">
        <v>1500</v>
      </c>
      <c r="H50" s="924">
        <v>500</v>
      </c>
      <c r="I50" s="738"/>
    </row>
    <row r="51" spans="2:9" ht="20.100000000000001" customHeight="1">
      <c r="B51" s="980"/>
      <c r="C51" s="992"/>
      <c r="D51" s="974"/>
      <c r="E51" s="902" t="s">
        <v>682</v>
      </c>
      <c r="F51" s="736"/>
      <c r="G51" s="923"/>
      <c r="H51" s="923"/>
      <c r="I51" s="738"/>
    </row>
    <row r="52" spans="2:9" ht="36" customHeight="1">
      <c r="B52" s="980"/>
      <c r="C52" s="298" t="s">
        <v>36</v>
      </c>
      <c r="D52" s="298" t="s">
        <v>37</v>
      </c>
      <c r="E52" s="724" t="s">
        <v>671</v>
      </c>
      <c r="F52" s="966"/>
      <c r="G52" s="15" t="s">
        <v>735</v>
      </c>
      <c r="H52" s="15" t="s">
        <v>606</v>
      </c>
      <c r="I52" s="313" t="s">
        <v>673</v>
      </c>
    </row>
    <row r="53" spans="2:9" ht="30" customHeight="1">
      <c r="B53" s="980"/>
      <c r="C53" s="299" t="s">
        <v>95</v>
      </c>
      <c r="D53" s="300" t="s">
        <v>96</v>
      </c>
      <c r="E53" s="902">
        <v>2000</v>
      </c>
      <c r="F53" s="923"/>
      <c r="G53" s="301">
        <v>600</v>
      </c>
      <c r="H53" s="301">
        <v>200</v>
      </c>
      <c r="I53" s="310" t="s">
        <v>736</v>
      </c>
    </row>
    <row r="54" spans="2:9" ht="20.100000000000001" customHeight="1">
      <c r="B54" s="980"/>
      <c r="C54" s="837" t="s">
        <v>97</v>
      </c>
      <c r="D54" s="967" t="s">
        <v>98</v>
      </c>
      <c r="E54" s="902" t="s">
        <v>703</v>
      </c>
      <c r="F54" s="923"/>
      <c r="G54" s="924">
        <v>3500</v>
      </c>
      <c r="H54" s="924">
        <v>700</v>
      </c>
      <c r="I54" s="954" t="s">
        <v>679</v>
      </c>
    </row>
    <row r="55" spans="2:9" ht="20.100000000000001" customHeight="1">
      <c r="B55" s="980"/>
      <c r="C55" s="992"/>
      <c r="D55" s="974"/>
      <c r="E55" s="902" t="s">
        <v>737</v>
      </c>
      <c r="F55" s="736"/>
      <c r="G55" s="923"/>
      <c r="H55" s="923"/>
      <c r="I55" s="955"/>
    </row>
    <row r="56" spans="2:9" ht="36" customHeight="1">
      <c r="B56" s="980"/>
      <c r="C56" s="298" t="s">
        <v>36</v>
      </c>
      <c r="D56" s="298" t="s">
        <v>37</v>
      </c>
      <c r="E56" s="724" t="s">
        <v>738</v>
      </c>
      <c r="F56" s="966"/>
      <c r="G56" s="135" t="s">
        <v>739</v>
      </c>
      <c r="H56" s="135" t="s">
        <v>740</v>
      </c>
      <c r="I56" s="313" t="s">
        <v>673</v>
      </c>
    </row>
    <row r="57" spans="2:9" ht="30" customHeight="1">
      <c r="B57" s="980"/>
      <c r="C57" s="299" t="s">
        <v>100</v>
      </c>
      <c r="D57" s="300" t="s">
        <v>101</v>
      </c>
      <c r="E57" s="902">
        <v>1200</v>
      </c>
      <c r="F57" s="923"/>
      <c r="G57" s="301">
        <v>360</v>
      </c>
      <c r="H57" s="301">
        <v>120</v>
      </c>
      <c r="I57" s="209"/>
    </row>
    <row r="58" spans="2:9" ht="36" customHeight="1">
      <c r="B58" s="980"/>
      <c r="C58" s="298" t="s">
        <v>36</v>
      </c>
      <c r="D58" s="298" t="s">
        <v>37</v>
      </c>
      <c r="E58" s="724" t="s">
        <v>718</v>
      </c>
      <c r="F58" s="966"/>
      <c r="G58" s="135" t="s">
        <v>734</v>
      </c>
      <c r="H58" s="135" t="s">
        <v>735</v>
      </c>
      <c r="I58" s="313" t="s">
        <v>673</v>
      </c>
    </row>
    <row r="59" spans="2:9" ht="82.5">
      <c r="B59" s="980"/>
      <c r="C59" s="299" t="s">
        <v>393</v>
      </c>
      <c r="D59" s="300" t="s">
        <v>394</v>
      </c>
      <c r="E59" s="924">
        <v>3000</v>
      </c>
      <c r="F59" s="923"/>
      <c r="G59" s="301">
        <v>1500</v>
      </c>
      <c r="H59" s="301">
        <v>500</v>
      </c>
      <c r="I59" s="210" t="s">
        <v>724</v>
      </c>
    </row>
    <row r="60" spans="2:9" ht="36" customHeight="1">
      <c r="B60" s="981" t="s">
        <v>102</v>
      </c>
      <c r="C60" s="298" t="s">
        <v>36</v>
      </c>
      <c r="D60" s="298" t="s">
        <v>37</v>
      </c>
      <c r="E60" s="724" t="s">
        <v>741</v>
      </c>
      <c r="F60" s="966"/>
      <c r="G60" s="135" t="s">
        <v>742</v>
      </c>
      <c r="H60" s="135" t="s">
        <v>743</v>
      </c>
      <c r="I60" s="313" t="s">
        <v>673</v>
      </c>
    </row>
    <row r="61" spans="2:9" ht="20.100000000000001" customHeight="1">
      <c r="B61" s="982"/>
      <c r="C61" s="837" t="s">
        <v>744</v>
      </c>
      <c r="D61" s="967" t="s">
        <v>104</v>
      </c>
      <c r="E61" s="8" t="s">
        <v>745</v>
      </c>
      <c r="F61" s="304" t="s">
        <v>746</v>
      </c>
      <c r="G61" s="921">
        <v>2500</v>
      </c>
      <c r="H61" s="921">
        <v>1000</v>
      </c>
      <c r="I61" s="738" t="s">
        <v>747</v>
      </c>
    </row>
    <row r="62" spans="2:9" ht="20.100000000000001" customHeight="1">
      <c r="B62" s="982"/>
      <c r="C62" s="976"/>
      <c r="D62" s="975"/>
      <c r="E62" s="8" t="s">
        <v>748</v>
      </c>
      <c r="F62" s="304" t="s">
        <v>749</v>
      </c>
      <c r="G62" s="923"/>
      <c r="H62" s="923"/>
      <c r="I62" s="738"/>
    </row>
    <row r="63" spans="2:9" ht="20.100000000000001" customHeight="1">
      <c r="B63" s="982"/>
      <c r="C63" s="837" t="s">
        <v>750</v>
      </c>
      <c r="D63" s="967" t="s">
        <v>104</v>
      </c>
      <c r="E63" s="8" t="s">
        <v>751</v>
      </c>
      <c r="F63" s="304">
        <v>2500</v>
      </c>
      <c r="G63" s="921">
        <v>2000</v>
      </c>
      <c r="H63" s="921">
        <v>1000</v>
      </c>
      <c r="I63" s="738"/>
    </row>
    <row r="64" spans="2:9" ht="20.100000000000001" customHeight="1">
      <c r="B64" s="982"/>
      <c r="C64" s="922"/>
      <c r="D64" s="968"/>
      <c r="E64" s="8" t="s">
        <v>752</v>
      </c>
      <c r="F64" s="304" t="s">
        <v>753</v>
      </c>
      <c r="G64" s="922"/>
      <c r="H64" s="922"/>
      <c r="I64" s="738"/>
    </row>
    <row r="65" spans="2:9" ht="20.100000000000001" customHeight="1">
      <c r="B65" s="982"/>
      <c r="C65" s="837" t="s">
        <v>754</v>
      </c>
      <c r="D65" s="967" t="s">
        <v>107</v>
      </c>
      <c r="E65" s="8" t="s">
        <v>755</v>
      </c>
      <c r="F65" s="304">
        <v>5000</v>
      </c>
      <c r="G65" s="921">
        <v>3000</v>
      </c>
      <c r="H65" s="921">
        <v>1000</v>
      </c>
      <c r="I65" s="738"/>
    </row>
    <row r="66" spans="2:9" ht="20.100000000000001" customHeight="1">
      <c r="B66" s="982"/>
      <c r="C66" s="922"/>
      <c r="D66" s="968"/>
      <c r="E66" s="8" t="s">
        <v>756</v>
      </c>
      <c r="F66" s="304" t="s">
        <v>753</v>
      </c>
      <c r="G66" s="922"/>
      <c r="H66" s="922"/>
      <c r="I66" s="738"/>
    </row>
    <row r="67" spans="2:9" ht="20.100000000000001" customHeight="1">
      <c r="B67" s="982"/>
      <c r="C67" s="837" t="s">
        <v>757</v>
      </c>
      <c r="D67" s="967" t="s">
        <v>109</v>
      </c>
      <c r="E67" s="8" t="s">
        <v>758</v>
      </c>
      <c r="F67" s="304" t="s">
        <v>759</v>
      </c>
      <c r="G67" s="921">
        <v>7500</v>
      </c>
      <c r="H67" s="921">
        <v>2500</v>
      </c>
      <c r="I67" s="738"/>
    </row>
    <row r="68" spans="2:9" ht="20.100000000000001" customHeight="1">
      <c r="B68" s="982"/>
      <c r="C68" s="922"/>
      <c r="D68" s="968"/>
      <c r="E68" s="8" t="s">
        <v>760</v>
      </c>
      <c r="F68" s="304" t="s">
        <v>749</v>
      </c>
      <c r="G68" s="922"/>
      <c r="H68" s="922"/>
      <c r="I68" s="738"/>
    </row>
    <row r="69" spans="2:9" ht="20.100000000000001" customHeight="1">
      <c r="B69" s="982"/>
      <c r="C69" s="837" t="s">
        <v>761</v>
      </c>
      <c r="D69" s="967" t="s">
        <v>109</v>
      </c>
      <c r="E69" s="8" t="s">
        <v>758</v>
      </c>
      <c r="F69" s="304" t="s">
        <v>762</v>
      </c>
      <c r="G69" s="921">
        <v>7500</v>
      </c>
      <c r="H69" s="921">
        <v>2500</v>
      </c>
      <c r="I69" s="738"/>
    </row>
    <row r="70" spans="2:9" ht="20.100000000000001" customHeight="1">
      <c r="B70" s="982"/>
      <c r="C70" s="922"/>
      <c r="D70" s="968"/>
      <c r="E70" s="8" t="s">
        <v>760</v>
      </c>
      <c r="F70" s="304" t="s">
        <v>753</v>
      </c>
      <c r="G70" s="922"/>
      <c r="H70" s="922"/>
      <c r="I70" s="738"/>
    </row>
    <row r="71" spans="2:9" ht="20.100000000000001" customHeight="1">
      <c r="B71" s="982"/>
      <c r="C71" s="837" t="s">
        <v>114</v>
      </c>
      <c r="D71" s="967" t="s">
        <v>115</v>
      </c>
      <c r="E71" s="8" t="s">
        <v>758</v>
      </c>
      <c r="F71" s="304" t="s">
        <v>762</v>
      </c>
      <c r="G71" s="921">
        <v>15000</v>
      </c>
      <c r="H71" s="921">
        <v>5000</v>
      </c>
      <c r="I71" s="738"/>
    </row>
    <row r="72" spans="2:9" ht="20.100000000000001" customHeight="1">
      <c r="B72" s="982"/>
      <c r="C72" s="922"/>
      <c r="D72" s="968"/>
      <c r="E72" s="8" t="s">
        <v>760</v>
      </c>
      <c r="F72" s="304" t="s">
        <v>753</v>
      </c>
      <c r="G72" s="922"/>
      <c r="H72" s="922"/>
      <c r="I72" s="738"/>
    </row>
    <row r="73" spans="2:9" ht="20.100000000000001" customHeight="1">
      <c r="B73" s="982"/>
      <c r="C73" s="837" t="s">
        <v>116</v>
      </c>
      <c r="D73" s="967" t="s">
        <v>117</v>
      </c>
      <c r="E73" s="8" t="s">
        <v>745</v>
      </c>
      <c r="F73" s="304">
        <v>15000</v>
      </c>
      <c r="G73" s="921">
        <v>4500</v>
      </c>
      <c r="H73" s="921">
        <v>1500</v>
      </c>
      <c r="I73" s="738"/>
    </row>
    <row r="74" spans="2:9" ht="20.100000000000001" customHeight="1">
      <c r="B74" s="982"/>
      <c r="C74" s="922"/>
      <c r="D74" s="968"/>
      <c r="E74" s="8" t="s">
        <v>748</v>
      </c>
      <c r="F74" s="304" t="s">
        <v>749</v>
      </c>
      <c r="G74" s="922"/>
      <c r="H74" s="922"/>
      <c r="I74" s="738"/>
    </row>
    <row r="75" spans="2:9" ht="20.100000000000001" customHeight="1">
      <c r="B75" s="982"/>
      <c r="C75" s="837" t="s">
        <v>763</v>
      </c>
      <c r="D75" s="967" t="s">
        <v>111</v>
      </c>
      <c r="E75" s="8" t="s">
        <v>764</v>
      </c>
      <c r="F75" s="304" t="s">
        <v>762</v>
      </c>
      <c r="G75" s="921">
        <v>3000</v>
      </c>
      <c r="H75" s="921">
        <v>1000</v>
      </c>
      <c r="I75" s="738"/>
    </row>
    <row r="76" spans="2:9" ht="20.100000000000001" customHeight="1">
      <c r="B76" s="982"/>
      <c r="C76" s="922"/>
      <c r="D76" s="968"/>
      <c r="E76" s="8" t="s">
        <v>765</v>
      </c>
      <c r="F76" s="304" t="s">
        <v>749</v>
      </c>
      <c r="G76" s="922"/>
      <c r="H76" s="922"/>
      <c r="I76" s="738"/>
    </row>
    <row r="77" spans="2:9" ht="20.100000000000001" customHeight="1">
      <c r="B77" s="982"/>
      <c r="C77" s="837" t="s">
        <v>766</v>
      </c>
      <c r="D77" s="967" t="s">
        <v>111</v>
      </c>
      <c r="E77" s="8" t="s">
        <v>764</v>
      </c>
      <c r="F77" s="304" t="s">
        <v>767</v>
      </c>
      <c r="G77" s="921">
        <v>3000</v>
      </c>
      <c r="H77" s="921">
        <v>1000</v>
      </c>
      <c r="I77" s="738"/>
    </row>
    <row r="78" spans="2:9" ht="20.100000000000001" customHeight="1">
      <c r="B78" s="982"/>
      <c r="C78" s="922"/>
      <c r="D78" s="968"/>
      <c r="E78" s="8" t="s">
        <v>765</v>
      </c>
      <c r="F78" s="304" t="s">
        <v>753</v>
      </c>
      <c r="G78" s="922"/>
      <c r="H78" s="922"/>
      <c r="I78" s="738"/>
    </row>
    <row r="79" spans="2:9" ht="20.100000000000001" customHeight="1">
      <c r="B79" s="982"/>
      <c r="C79" s="837" t="s">
        <v>768</v>
      </c>
      <c r="D79" s="967" t="s">
        <v>113</v>
      </c>
      <c r="E79" s="8" t="s">
        <v>755</v>
      </c>
      <c r="F79" s="304" t="s">
        <v>767</v>
      </c>
      <c r="G79" s="921">
        <v>1500</v>
      </c>
      <c r="H79" s="921">
        <v>500</v>
      </c>
      <c r="I79" s="738"/>
    </row>
    <row r="80" spans="2:9" ht="20.100000000000001" customHeight="1">
      <c r="B80" s="982"/>
      <c r="C80" s="922"/>
      <c r="D80" s="968"/>
      <c r="E80" s="8" t="s">
        <v>756</v>
      </c>
      <c r="F80" s="304" t="s">
        <v>749</v>
      </c>
      <c r="G80" s="922"/>
      <c r="H80" s="922"/>
      <c r="I80" s="738"/>
    </row>
    <row r="81" spans="2:9" ht="20.100000000000001" customHeight="1">
      <c r="B81" s="982"/>
      <c r="C81" s="837" t="s">
        <v>769</v>
      </c>
      <c r="D81" s="967" t="s">
        <v>113</v>
      </c>
      <c r="E81" s="8" t="s">
        <v>755</v>
      </c>
      <c r="F81" s="304">
        <v>5000</v>
      </c>
      <c r="G81" s="921">
        <v>1500</v>
      </c>
      <c r="H81" s="921">
        <v>500</v>
      </c>
      <c r="I81" s="738"/>
    </row>
    <row r="82" spans="2:9" ht="20.100000000000001" customHeight="1">
      <c r="B82" s="982"/>
      <c r="C82" s="922"/>
      <c r="D82" s="968"/>
      <c r="E82" s="8" t="s">
        <v>756</v>
      </c>
      <c r="F82" s="304" t="s">
        <v>753</v>
      </c>
      <c r="G82" s="922"/>
      <c r="H82" s="922"/>
      <c r="I82" s="738"/>
    </row>
    <row r="83" spans="2:9" ht="20.100000000000001" customHeight="1">
      <c r="B83" s="982"/>
      <c r="C83" s="837" t="s">
        <v>770</v>
      </c>
      <c r="D83" s="967" t="s">
        <v>123</v>
      </c>
      <c r="E83" s="8" t="s">
        <v>764</v>
      </c>
      <c r="F83" s="304" t="s">
        <v>762</v>
      </c>
      <c r="G83" s="921">
        <v>5000</v>
      </c>
      <c r="H83" s="921">
        <v>2500</v>
      </c>
      <c r="I83" s="738"/>
    </row>
    <row r="84" spans="2:9" ht="20.100000000000001" customHeight="1">
      <c r="B84" s="982"/>
      <c r="C84" s="922"/>
      <c r="D84" s="968"/>
      <c r="E84" s="8" t="s">
        <v>765</v>
      </c>
      <c r="F84" s="304" t="s">
        <v>749</v>
      </c>
      <c r="G84" s="922"/>
      <c r="H84" s="922"/>
      <c r="I84" s="738"/>
    </row>
    <row r="85" spans="2:9" ht="20.100000000000001" customHeight="1">
      <c r="B85" s="982"/>
      <c r="C85" s="837" t="s">
        <v>118</v>
      </c>
      <c r="D85" s="967" t="s">
        <v>119</v>
      </c>
      <c r="E85" s="8" t="s">
        <v>764</v>
      </c>
      <c r="F85" s="304" t="s">
        <v>762</v>
      </c>
      <c r="G85" s="921">
        <v>5000</v>
      </c>
      <c r="H85" s="921">
        <v>2500</v>
      </c>
      <c r="I85" s="738"/>
    </row>
    <row r="86" spans="2:9" ht="20.100000000000001" customHeight="1">
      <c r="B86" s="982"/>
      <c r="C86" s="922"/>
      <c r="D86" s="968"/>
      <c r="E86" s="8" t="s">
        <v>765</v>
      </c>
      <c r="F86" s="304" t="s">
        <v>749</v>
      </c>
      <c r="G86" s="922"/>
      <c r="H86" s="922"/>
      <c r="I86" s="738"/>
    </row>
    <row r="87" spans="2:9" ht="20.100000000000001" customHeight="1">
      <c r="B87" s="982"/>
      <c r="C87" s="837" t="s">
        <v>128</v>
      </c>
      <c r="D87" s="967" t="s">
        <v>129</v>
      </c>
      <c r="E87" s="8" t="s">
        <v>751</v>
      </c>
      <c r="F87" s="304">
        <v>5000</v>
      </c>
      <c r="G87" s="921">
        <v>300</v>
      </c>
      <c r="H87" s="921">
        <v>100</v>
      </c>
      <c r="I87" s="738"/>
    </row>
    <row r="88" spans="2:9" ht="20.100000000000001" customHeight="1">
      <c r="B88" s="982"/>
      <c r="C88" s="922"/>
      <c r="D88" s="968"/>
      <c r="E88" s="8" t="s">
        <v>752</v>
      </c>
      <c r="F88" s="304" t="s">
        <v>749</v>
      </c>
      <c r="G88" s="922"/>
      <c r="H88" s="922"/>
      <c r="I88" s="738"/>
    </row>
    <row r="89" spans="2:9" ht="20.100000000000001" customHeight="1">
      <c r="B89" s="982"/>
      <c r="C89" s="837" t="s">
        <v>130</v>
      </c>
      <c r="D89" s="967" t="s">
        <v>131</v>
      </c>
      <c r="E89" s="8" t="s">
        <v>771</v>
      </c>
      <c r="F89" s="304">
        <v>8000</v>
      </c>
      <c r="G89" s="921">
        <v>500</v>
      </c>
      <c r="H89" s="921">
        <v>200</v>
      </c>
      <c r="I89" s="738"/>
    </row>
    <row r="90" spans="2:9" ht="20.100000000000001" customHeight="1">
      <c r="B90" s="982"/>
      <c r="C90" s="922"/>
      <c r="D90" s="968"/>
      <c r="E90" s="8" t="s">
        <v>772</v>
      </c>
      <c r="F90" s="304" t="s">
        <v>749</v>
      </c>
      <c r="G90" s="922"/>
      <c r="H90" s="922"/>
      <c r="I90" s="738"/>
    </row>
    <row r="91" spans="2:9" ht="20.100000000000001" customHeight="1">
      <c r="B91" s="982"/>
      <c r="C91" s="837" t="s">
        <v>144</v>
      </c>
      <c r="D91" s="967" t="s">
        <v>145</v>
      </c>
      <c r="E91" s="8" t="s">
        <v>773</v>
      </c>
      <c r="F91" s="304">
        <v>30000</v>
      </c>
      <c r="G91" s="921">
        <v>800</v>
      </c>
      <c r="H91" s="921">
        <v>200</v>
      </c>
      <c r="I91" s="738"/>
    </row>
    <row r="92" spans="2:9" ht="20.100000000000001" customHeight="1">
      <c r="B92" s="982"/>
      <c r="C92" s="922"/>
      <c r="D92" s="968"/>
      <c r="E92" s="8" t="s">
        <v>774</v>
      </c>
      <c r="F92" s="304" t="s">
        <v>749</v>
      </c>
      <c r="G92" s="922"/>
      <c r="H92" s="922"/>
      <c r="I92" s="738"/>
    </row>
    <row r="93" spans="2:9" ht="20.100000000000001" customHeight="1">
      <c r="B93" s="982"/>
      <c r="C93" s="837" t="s">
        <v>775</v>
      </c>
      <c r="D93" s="967" t="s">
        <v>143</v>
      </c>
      <c r="E93" s="8" t="s">
        <v>776</v>
      </c>
      <c r="F93" s="304">
        <v>6000</v>
      </c>
      <c r="G93" s="921">
        <v>80</v>
      </c>
      <c r="H93" s="921">
        <v>20</v>
      </c>
      <c r="I93" s="738"/>
    </row>
    <row r="94" spans="2:9" ht="20.100000000000001" customHeight="1">
      <c r="B94" s="982"/>
      <c r="C94" s="922"/>
      <c r="D94" s="968"/>
      <c r="E94" s="8" t="s">
        <v>777</v>
      </c>
      <c r="F94" s="304" t="s">
        <v>749</v>
      </c>
      <c r="G94" s="922"/>
      <c r="H94" s="922"/>
      <c r="I94" s="738"/>
    </row>
    <row r="95" spans="2:9" ht="20.100000000000001" customHeight="1">
      <c r="B95" s="982"/>
      <c r="C95" s="837" t="s">
        <v>778</v>
      </c>
      <c r="D95" s="967" t="s">
        <v>143</v>
      </c>
      <c r="E95" s="8" t="s">
        <v>779</v>
      </c>
      <c r="F95" s="304">
        <v>500</v>
      </c>
      <c r="G95" s="921">
        <v>100</v>
      </c>
      <c r="H95" s="921">
        <v>20</v>
      </c>
      <c r="I95" s="738"/>
    </row>
    <row r="96" spans="2:9" ht="20.100000000000001" customHeight="1">
      <c r="B96" s="982"/>
      <c r="C96" s="922"/>
      <c r="D96" s="968"/>
      <c r="E96" s="8" t="s">
        <v>780</v>
      </c>
      <c r="F96" s="304" t="s">
        <v>749</v>
      </c>
      <c r="G96" s="922"/>
      <c r="H96" s="922"/>
      <c r="I96" s="738"/>
    </row>
    <row r="97" spans="2:9" ht="20.100000000000001" customHeight="1">
      <c r="B97" s="982"/>
      <c r="C97" s="837" t="s">
        <v>146</v>
      </c>
      <c r="D97" s="967" t="s">
        <v>147</v>
      </c>
      <c r="E97" s="8" t="s">
        <v>781</v>
      </c>
      <c r="F97" s="304">
        <v>1500</v>
      </c>
      <c r="G97" s="921">
        <v>300</v>
      </c>
      <c r="H97" s="921">
        <v>60</v>
      </c>
      <c r="I97" s="738"/>
    </row>
    <row r="98" spans="2:9" ht="20.100000000000001" customHeight="1">
      <c r="B98" s="982"/>
      <c r="C98" s="922"/>
      <c r="D98" s="968"/>
      <c r="E98" s="8" t="s">
        <v>782</v>
      </c>
      <c r="F98" s="304" t="s">
        <v>753</v>
      </c>
      <c r="G98" s="922"/>
      <c r="H98" s="922"/>
      <c r="I98" s="738"/>
    </row>
    <row r="99" spans="2:9" ht="20.100000000000001" customHeight="1">
      <c r="B99" s="982"/>
      <c r="C99" s="837" t="s">
        <v>120</v>
      </c>
      <c r="D99" s="967" t="s">
        <v>121</v>
      </c>
      <c r="E99" s="8" t="s">
        <v>764</v>
      </c>
      <c r="F99" s="304" t="s">
        <v>762</v>
      </c>
      <c r="G99" s="921">
        <v>5000</v>
      </c>
      <c r="H99" s="921">
        <v>2500</v>
      </c>
      <c r="I99" s="738"/>
    </row>
    <row r="100" spans="2:9" ht="20.100000000000001" customHeight="1">
      <c r="B100" s="982"/>
      <c r="C100" s="922"/>
      <c r="D100" s="968"/>
      <c r="E100" s="8" t="s">
        <v>765</v>
      </c>
      <c r="F100" s="304" t="s">
        <v>749</v>
      </c>
      <c r="G100" s="922"/>
      <c r="H100" s="922"/>
      <c r="I100" s="738"/>
    </row>
    <row r="101" spans="2:9" ht="20.100000000000001" customHeight="1">
      <c r="B101" s="982"/>
      <c r="C101" s="837" t="s">
        <v>134</v>
      </c>
      <c r="D101" s="967" t="s">
        <v>135</v>
      </c>
      <c r="E101" s="8" t="s">
        <v>783</v>
      </c>
      <c r="F101" s="304">
        <v>12000</v>
      </c>
      <c r="G101" s="921">
        <v>2000</v>
      </c>
      <c r="H101" s="921">
        <v>1000</v>
      </c>
      <c r="I101" s="738"/>
    </row>
    <row r="102" spans="2:9" ht="20.100000000000001" customHeight="1">
      <c r="B102" s="982"/>
      <c r="C102" s="922"/>
      <c r="D102" s="968"/>
      <c r="E102" s="8" t="s">
        <v>784</v>
      </c>
      <c r="F102" s="304" t="s">
        <v>749</v>
      </c>
      <c r="G102" s="922"/>
      <c r="H102" s="922"/>
      <c r="I102" s="738"/>
    </row>
    <row r="103" spans="2:9" ht="20.100000000000001" customHeight="1">
      <c r="B103" s="982"/>
      <c r="C103" s="837" t="s">
        <v>124</v>
      </c>
      <c r="D103" s="967" t="s">
        <v>125</v>
      </c>
      <c r="E103" s="8" t="s">
        <v>771</v>
      </c>
      <c r="F103" s="304">
        <v>8000</v>
      </c>
      <c r="G103" s="921">
        <v>1000</v>
      </c>
      <c r="H103" s="921">
        <v>500</v>
      </c>
      <c r="I103" s="738"/>
    </row>
    <row r="104" spans="2:9" ht="20.100000000000001" customHeight="1">
      <c r="B104" s="982"/>
      <c r="C104" s="922"/>
      <c r="D104" s="968"/>
      <c r="E104" s="8" t="s">
        <v>772</v>
      </c>
      <c r="F104" s="304" t="s">
        <v>749</v>
      </c>
      <c r="G104" s="922"/>
      <c r="H104" s="922"/>
      <c r="I104" s="738"/>
    </row>
    <row r="105" spans="2:9" ht="20.100000000000001" customHeight="1">
      <c r="B105" s="982"/>
      <c r="C105" s="837" t="s">
        <v>132</v>
      </c>
      <c r="D105" s="967" t="s">
        <v>133</v>
      </c>
      <c r="E105" s="8" t="s">
        <v>764</v>
      </c>
      <c r="F105" s="304" t="s">
        <v>762</v>
      </c>
      <c r="G105" s="921">
        <v>2000</v>
      </c>
      <c r="H105" s="921">
        <v>1000</v>
      </c>
      <c r="I105" s="738"/>
    </row>
    <row r="106" spans="2:9" ht="20.100000000000001" customHeight="1">
      <c r="B106" s="982"/>
      <c r="C106" s="923"/>
      <c r="D106" s="968"/>
      <c r="E106" s="8" t="s">
        <v>765</v>
      </c>
      <c r="F106" s="304" t="s">
        <v>749</v>
      </c>
      <c r="G106" s="923"/>
      <c r="H106" s="923"/>
      <c r="I106" s="738"/>
    </row>
    <row r="107" spans="2:9" ht="20.100000000000001" customHeight="1">
      <c r="B107" s="982"/>
      <c r="C107" s="837" t="s">
        <v>126</v>
      </c>
      <c r="D107" s="967" t="s">
        <v>127</v>
      </c>
      <c r="E107" s="8" t="s">
        <v>771</v>
      </c>
      <c r="F107" s="304">
        <v>8000</v>
      </c>
      <c r="G107" s="921">
        <v>3000</v>
      </c>
      <c r="H107" s="921">
        <v>1000</v>
      </c>
      <c r="I107" s="738"/>
    </row>
    <row r="108" spans="2:9" ht="20.100000000000001" customHeight="1">
      <c r="B108" s="982"/>
      <c r="C108" s="923"/>
      <c r="D108" s="968"/>
      <c r="E108" s="8" t="s">
        <v>772</v>
      </c>
      <c r="F108" s="304" t="s">
        <v>749</v>
      </c>
      <c r="G108" s="923"/>
      <c r="H108" s="923"/>
      <c r="I108" s="738"/>
    </row>
    <row r="109" spans="2:9" ht="36" customHeight="1">
      <c r="B109" s="982"/>
      <c r="C109" s="298" t="s">
        <v>36</v>
      </c>
      <c r="D109" s="298" t="s">
        <v>37</v>
      </c>
      <c r="E109" s="317" t="s">
        <v>785</v>
      </c>
      <c r="F109" s="317" t="s">
        <v>786</v>
      </c>
      <c r="G109" s="318" t="s">
        <v>787</v>
      </c>
      <c r="H109" s="318" t="s">
        <v>743</v>
      </c>
      <c r="I109" s="313" t="s">
        <v>673</v>
      </c>
    </row>
    <row r="110" spans="2:9" ht="30" customHeight="1">
      <c r="B110" s="982"/>
      <c r="C110" s="299" t="s">
        <v>788</v>
      </c>
      <c r="D110" s="300" t="s">
        <v>137</v>
      </c>
      <c r="E110" s="304">
        <v>15000</v>
      </c>
      <c r="F110" s="304">
        <v>10000</v>
      </c>
      <c r="G110" s="305">
        <v>6000</v>
      </c>
      <c r="H110" s="305">
        <v>2000</v>
      </c>
      <c r="I110" s="738" t="s">
        <v>747</v>
      </c>
    </row>
    <row r="111" spans="2:9" ht="30" customHeight="1">
      <c r="B111" s="982"/>
      <c r="C111" s="299" t="s">
        <v>789</v>
      </c>
      <c r="D111" s="300" t="s">
        <v>137</v>
      </c>
      <c r="E111" s="304">
        <v>7500</v>
      </c>
      <c r="F111" s="304">
        <v>6000</v>
      </c>
      <c r="G111" s="305">
        <v>4000</v>
      </c>
      <c r="H111" s="305">
        <v>2000</v>
      </c>
      <c r="I111" s="738"/>
    </row>
    <row r="112" spans="2:9" ht="30" customHeight="1">
      <c r="B112" s="982"/>
      <c r="C112" s="299" t="s">
        <v>138</v>
      </c>
      <c r="D112" s="300" t="s">
        <v>139</v>
      </c>
      <c r="E112" s="304">
        <v>1200</v>
      </c>
      <c r="F112" s="304">
        <v>400</v>
      </c>
      <c r="G112" s="305">
        <v>120</v>
      </c>
      <c r="H112" s="305">
        <v>20</v>
      </c>
      <c r="I112" s="738"/>
    </row>
    <row r="113" spans="2:9" ht="30" customHeight="1">
      <c r="B113" s="982"/>
      <c r="C113" s="299" t="s">
        <v>790</v>
      </c>
      <c r="D113" s="300" t="s">
        <v>141</v>
      </c>
      <c r="E113" s="304">
        <v>500</v>
      </c>
      <c r="F113" s="304">
        <v>125</v>
      </c>
      <c r="G113" s="305">
        <v>30</v>
      </c>
      <c r="H113" s="305">
        <v>10</v>
      </c>
      <c r="I113" s="738"/>
    </row>
    <row r="114" spans="2:9" ht="30" customHeight="1">
      <c r="B114" s="982"/>
      <c r="C114" s="299" t="s">
        <v>791</v>
      </c>
      <c r="D114" s="300" t="s">
        <v>141</v>
      </c>
      <c r="E114" s="304">
        <v>200</v>
      </c>
      <c r="F114" s="304">
        <v>50</v>
      </c>
      <c r="G114" s="305">
        <v>10</v>
      </c>
      <c r="H114" s="305">
        <v>5</v>
      </c>
      <c r="I114" s="738"/>
    </row>
    <row r="115" spans="2:9" ht="36" customHeight="1">
      <c r="B115" s="982"/>
      <c r="C115" s="298" t="s">
        <v>36</v>
      </c>
      <c r="D115" s="298" t="s">
        <v>37</v>
      </c>
      <c r="E115" s="995" t="s">
        <v>792</v>
      </c>
      <c r="F115" s="995"/>
      <c r="G115" s="995"/>
      <c r="H115" s="995"/>
      <c r="I115" s="313" t="s">
        <v>673</v>
      </c>
    </row>
    <row r="116" spans="2:9" ht="30" customHeight="1">
      <c r="B116" s="982"/>
      <c r="C116" s="299" t="s">
        <v>476</v>
      </c>
      <c r="D116" s="300" t="s">
        <v>477</v>
      </c>
      <c r="E116" s="902">
        <v>10000</v>
      </c>
      <c r="F116" s="923"/>
      <c r="G116" s="923"/>
      <c r="H116" s="923"/>
      <c r="I116" s="934" t="s">
        <v>724</v>
      </c>
    </row>
    <row r="117" spans="2:9" ht="30" customHeight="1">
      <c r="B117" s="982"/>
      <c r="C117" s="299" t="s">
        <v>460</v>
      </c>
      <c r="D117" s="300" t="s">
        <v>461</v>
      </c>
      <c r="E117" s="902">
        <v>40000</v>
      </c>
      <c r="F117" s="923"/>
      <c r="G117" s="923"/>
      <c r="H117" s="923"/>
      <c r="I117" s="935"/>
    </row>
    <row r="118" spans="2:9" ht="30" customHeight="1">
      <c r="B118" s="982"/>
      <c r="C118" s="299" t="s">
        <v>453</v>
      </c>
      <c r="D118" s="300" t="s">
        <v>454</v>
      </c>
      <c r="E118" s="902">
        <v>40000</v>
      </c>
      <c r="F118" s="923"/>
      <c r="G118" s="923"/>
      <c r="H118" s="923"/>
      <c r="I118" s="935"/>
    </row>
    <row r="119" spans="2:9" ht="30" customHeight="1">
      <c r="B119" s="982"/>
      <c r="C119" s="299" t="s">
        <v>457</v>
      </c>
      <c r="D119" s="300" t="s">
        <v>458</v>
      </c>
      <c r="E119" s="902">
        <v>40000</v>
      </c>
      <c r="F119" s="923"/>
      <c r="G119" s="923"/>
      <c r="H119" s="923"/>
      <c r="I119" s="935"/>
    </row>
    <row r="120" spans="2:9" ht="30" customHeight="1">
      <c r="B120" s="982"/>
      <c r="C120" s="299" t="s">
        <v>464</v>
      </c>
      <c r="D120" s="300" t="s">
        <v>465</v>
      </c>
      <c r="E120" s="902">
        <v>8000</v>
      </c>
      <c r="F120" s="923"/>
      <c r="G120" s="923"/>
      <c r="H120" s="923"/>
      <c r="I120" s="935"/>
    </row>
    <row r="121" spans="2:9" ht="30" customHeight="1">
      <c r="B121" s="982"/>
      <c r="C121" s="299" t="s">
        <v>473</v>
      </c>
      <c r="D121" s="300" t="s">
        <v>474</v>
      </c>
      <c r="E121" s="902">
        <v>20000</v>
      </c>
      <c r="F121" s="922"/>
      <c r="G121" s="922"/>
      <c r="H121" s="922"/>
      <c r="I121" s="935"/>
    </row>
    <row r="122" spans="2:9" ht="30" customHeight="1">
      <c r="B122" s="982"/>
      <c r="C122" s="299" t="s">
        <v>470</v>
      </c>
      <c r="D122" s="300" t="s">
        <v>471</v>
      </c>
      <c r="E122" s="902">
        <v>20000</v>
      </c>
      <c r="F122" s="923"/>
      <c r="G122" s="923"/>
      <c r="H122" s="923"/>
      <c r="I122" s="935"/>
    </row>
    <row r="123" spans="2:9" ht="30" customHeight="1">
      <c r="B123" s="982"/>
      <c r="C123" s="299" t="s">
        <v>467</v>
      </c>
      <c r="D123" s="300" t="s">
        <v>468</v>
      </c>
      <c r="E123" s="902">
        <v>20000</v>
      </c>
      <c r="F123" s="923"/>
      <c r="G123" s="923"/>
      <c r="H123" s="923"/>
      <c r="I123" s="935"/>
    </row>
    <row r="124" spans="2:9" ht="30" customHeight="1">
      <c r="B124" s="982"/>
      <c r="C124" s="299" t="s">
        <v>479</v>
      </c>
      <c r="D124" s="300" t="s">
        <v>480</v>
      </c>
      <c r="E124" s="902">
        <v>15000</v>
      </c>
      <c r="F124" s="923"/>
      <c r="G124" s="923"/>
      <c r="H124" s="923"/>
      <c r="I124" s="935"/>
    </row>
    <row r="125" spans="2:9" ht="30" customHeight="1">
      <c r="B125" s="982"/>
      <c r="C125" s="299" t="s">
        <v>482</v>
      </c>
      <c r="D125" s="300" t="s">
        <v>483</v>
      </c>
      <c r="E125" s="902">
        <v>20000</v>
      </c>
      <c r="F125" s="923"/>
      <c r="G125" s="923"/>
      <c r="H125" s="923"/>
      <c r="I125" s="935"/>
    </row>
    <row r="126" spans="2:9" ht="30" customHeight="1">
      <c r="B126" s="982"/>
      <c r="C126" s="299" t="s">
        <v>793</v>
      </c>
      <c r="D126" s="300" t="s">
        <v>486</v>
      </c>
      <c r="E126" s="902">
        <v>20000</v>
      </c>
      <c r="F126" s="923"/>
      <c r="G126" s="923"/>
      <c r="H126" s="923"/>
      <c r="I126" s="935"/>
    </row>
    <row r="127" spans="2:9" ht="30" customHeight="1">
      <c r="B127" s="982"/>
      <c r="C127" s="299" t="s">
        <v>488</v>
      </c>
      <c r="D127" s="300" t="s">
        <v>489</v>
      </c>
      <c r="E127" s="902">
        <v>8000</v>
      </c>
      <c r="F127" s="922"/>
      <c r="G127" s="922"/>
      <c r="H127" s="922"/>
      <c r="I127" s="935"/>
    </row>
    <row r="128" spans="2:9" ht="30" customHeight="1">
      <c r="B128" s="982"/>
      <c r="C128" s="299" t="s">
        <v>491</v>
      </c>
      <c r="D128" s="300" t="s">
        <v>492</v>
      </c>
      <c r="E128" s="902">
        <v>12000</v>
      </c>
      <c r="F128" s="922"/>
      <c r="G128" s="922"/>
      <c r="H128" s="922"/>
      <c r="I128" s="935"/>
    </row>
    <row r="129" spans="2:9" ht="30" customHeight="1">
      <c r="B129" s="982"/>
      <c r="C129" s="299" t="s">
        <v>494</v>
      </c>
      <c r="D129" s="300" t="s">
        <v>495</v>
      </c>
      <c r="E129" s="963">
        <v>400</v>
      </c>
      <c r="F129" s="964"/>
      <c r="G129" s="964"/>
      <c r="H129" s="965"/>
      <c r="I129" s="935"/>
    </row>
    <row r="130" spans="2:9" ht="30" customHeight="1">
      <c r="B130" s="982"/>
      <c r="C130" s="299" t="s">
        <v>502</v>
      </c>
      <c r="D130" s="300" t="s">
        <v>503</v>
      </c>
      <c r="E130" s="963">
        <v>15000</v>
      </c>
      <c r="F130" s="964"/>
      <c r="G130" s="964"/>
      <c r="H130" s="965"/>
      <c r="I130" s="935"/>
    </row>
    <row r="131" spans="2:9" ht="30" customHeight="1">
      <c r="B131" s="982"/>
      <c r="C131" s="299" t="s">
        <v>498</v>
      </c>
      <c r="D131" s="300" t="s">
        <v>499</v>
      </c>
      <c r="E131" s="963">
        <v>125</v>
      </c>
      <c r="F131" s="964"/>
      <c r="G131" s="964"/>
      <c r="H131" s="965"/>
      <c r="I131" s="935"/>
    </row>
    <row r="132" spans="2:9" ht="30" customHeight="1">
      <c r="B132" s="982"/>
      <c r="C132" s="299" t="s">
        <v>505</v>
      </c>
      <c r="D132" s="300" t="s">
        <v>506</v>
      </c>
      <c r="E132" s="963">
        <v>1500</v>
      </c>
      <c r="F132" s="964"/>
      <c r="G132" s="964"/>
      <c r="H132" s="965"/>
      <c r="I132" s="936"/>
    </row>
    <row r="133" spans="2:9" ht="47.1" customHeight="1">
      <c r="B133" s="983" t="s">
        <v>148</v>
      </c>
      <c r="C133" s="298" t="s">
        <v>36</v>
      </c>
      <c r="D133" s="298" t="s">
        <v>37</v>
      </c>
      <c r="E133" s="724" t="s">
        <v>794</v>
      </c>
      <c r="F133" s="966"/>
      <c r="G133" s="135" t="s">
        <v>795</v>
      </c>
      <c r="H133" s="319" t="s">
        <v>743</v>
      </c>
      <c r="I133" s="313" t="s">
        <v>673</v>
      </c>
    </row>
    <row r="134" spans="2:9" ht="30" customHeight="1">
      <c r="B134" s="984"/>
      <c r="C134" s="299" t="s">
        <v>180</v>
      </c>
      <c r="D134" s="300" t="s">
        <v>181</v>
      </c>
      <c r="E134" s="902">
        <v>2000</v>
      </c>
      <c r="F134" s="922"/>
      <c r="G134" s="304">
        <v>600</v>
      </c>
      <c r="H134" s="8">
        <v>200</v>
      </c>
      <c r="I134" s="738" t="s">
        <v>747</v>
      </c>
    </row>
    <row r="135" spans="2:9" ht="30" customHeight="1">
      <c r="B135" s="984"/>
      <c r="C135" s="299" t="s">
        <v>192</v>
      </c>
      <c r="D135" s="300" t="s">
        <v>193</v>
      </c>
      <c r="E135" s="902">
        <v>1000</v>
      </c>
      <c r="F135" s="922"/>
      <c r="G135" s="304">
        <v>300</v>
      </c>
      <c r="H135" s="8">
        <v>100</v>
      </c>
      <c r="I135" s="738"/>
    </row>
    <row r="136" spans="2:9" ht="30" customHeight="1">
      <c r="B136" s="984"/>
      <c r="C136" s="299" t="s">
        <v>200</v>
      </c>
      <c r="D136" s="300" t="s">
        <v>201</v>
      </c>
      <c r="E136" s="902">
        <v>7500</v>
      </c>
      <c r="F136" s="922"/>
      <c r="G136" s="304">
        <v>2000</v>
      </c>
      <c r="H136" s="8">
        <v>400</v>
      </c>
      <c r="I136" s="738"/>
    </row>
    <row r="137" spans="2:9" ht="30" customHeight="1">
      <c r="B137" s="984"/>
      <c r="C137" s="299" t="s">
        <v>188</v>
      </c>
      <c r="D137" s="300" t="s">
        <v>189</v>
      </c>
      <c r="E137" s="902">
        <v>10000</v>
      </c>
      <c r="F137" s="922"/>
      <c r="G137" s="304">
        <v>1000</v>
      </c>
      <c r="H137" s="8">
        <v>500</v>
      </c>
      <c r="I137" s="738"/>
    </row>
    <row r="138" spans="2:9" ht="30" customHeight="1">
      <c r="B138" s="984"/>
      <c r="C138" s="299" t="s">
        <v>182</v>
      </c>
      <c r="D138" s="300" t="s">
        <v>183</v>
      </c>
      <c r="E138" s="902">
        <v>20000</v>
      </c>
      <c r="F138" s="922"/>
      <c r="G138" s="304">
        <v>3000</v>
      </c>
      <c r="H138" s="8">
        <v>500</v>
      </c>
      <c r="I138" s="738"/>
    </row>
    <row r="139" spans="2:9" ht="30" customHeight="1">
      <c r="B139" s="984"/>
      <c r="C139" s="299" t="s">
        <v>198</v>
      </c>
      <c r="D139" s="300" t="s">
        <v>199</v>
      </c>
      <c r="E139" s="902">
        <v>20000</v>
      </c>
      <c r="F139" s="922"/>
      <c r="G139" s="304">
        <v>3000</v>
      </c>
      <c r="H139" s="8">
        <v>500</v>
      </c>
      <c r="I139" s="738"/>
    </row>
    <row r="140" spans="2:9" ht="30" customHeight="1">
      <c r="B140" s="984"/>
      <c r="C140" s="299" t="s">
        <v>152</v>
      </c>
      <c r="D140" s="300" t="s">
        <v>153</v>
      </c>
      <c r="E140" s="902">
        <v>5000</v>
      </c>
      <c r="F140" s="922"/>
      <c r="G140" s="304">
        <v>500</v>
      </c>
      <c r="H140" s="8">
        <v>100</v>
      </c>
      <c r="I140" s="738"/>
    </row>
    <row r="141" spans="2:9" ht="30" customHeight="1">
      <c r="B141" s="984"/>
      <c r="C141" s="299" t="s">
        <v>196</v>
      </c>
      <c r="D141" s="300" t="s">
        <v>197</v>
      </c>
      <c r="E141" s="902">
        <v>5000</v>
      </c>
      <c r="F141" s="922"/>
      <c r="G141" s="304">
        <v>500</v>
      </c>
      <c r="H141" s="8">
        <v>200</v>
      </c>
      <c r="I141" s="738"/>
    </row>
    <row r="142" spans="2:9" ht="30" customHeight="1">
      <c r="B142" s="984"/>
      <c r="C142" s="299" t="s">
        <v>172</v>
      </c>
      <c r="D142" s="300" t="s">
        <v>173</v>
      </c>
      <c r="E142" s="902">
        <v>4000</v>
      </c>
      <c r="F142" s="922"/>
      <c r="G142" s="304">
        <v>600</v>
      </c>
      <c r="H142" s="8">
        <v>100</v>
      </c>
      <c r="I142" s="738"/>
    </row>
    <row r="143" spans="2:9" ht="30" customHeight="1">
      <c r="B143" s="984"/>
      <c r="C143" s="299" t="s">
        <v>158</v>
      </c>
      <c r="D143" s="300" t="s">
        <v>159</v>
      </c>
      <c r="E143" s="902">
        <v>20000</v>
      </c>
      <c r="F143" s="922"/>
      <c r="G143" s="304">
        <v>2000</v>
      </c>
      <c r="H143" s="8">
        <v>800</v>
      </c>
      <c r="I143" s="738"/>
    </row>
    <row r="144" spans="2:9" ht="30" customHeight="1">
      <c r="B144" s="984"/>
      <c r="C144" s="299" t="s">
        <v>194</v>
      </c>
      <c r="D144" s="300" t="s">
        <v>195</v>
      </c>
      <c r="E144" s="902">
        <v>5000</v>
      </c>
      <c r="F144" s="922"/>
      <c r="G144" s="304">
        <v>1000</v>
      </c>
      <c r="H144" s="8">
        <v>300</v>
      </c>
      <c r="I144" s="738"/>
    </row>
    <row r="145" spans="2:9" ht="47.1" customHeight="1">
      <c r="B145" s="984"/>
      <c r="C145" s="298" t="s">
        <v>36</v>
      </c>
      <c r="D145" s="298" t="s">
        <v>37</v>
      </c>
      <c r="E145" s="724" t="s">
        <v>796</v>
      </c>
      <c r="F145" s="993"/>
      <c r="G145" s="317" t="s">
        <v>795</v>
      </c>
      <c r="H145" s="319" t="s">
        <v>743</v>
      </c>
      <c r="I145" s="313" t="s">
        <v>673</v>
      </c>
    </row>
    <row r="146" spans="2:9" ht="20.100000000000001" customHeight="1">
      <c r="B146" s="984"/>
      <c r="C146" s="837" t="s">
        <v>184</v>
      </c>
      <c r="D146" s="967" t="s">
        <v>185</v>
      </c>
      <c r="E146" s="914">
        <v>10000</v>
      </c>
      <c r="F146" s="915"/>
      <c r="G146" s="962">
        <v>2000</v>
      </c>
      <c r="H146" s="902">
        <v>1000</v>
      </c>
      <c r="I146" s="956"/>
    </row>
    <row r="147" spans="2:9" ht="20.100000000000001" customHeight="1">
      <c r="B147" s="984"/>
      <c r="C147" s="922"/>
      <c r="D147" s="968"/>
      <c r="E147" s="916"/>
      <c r="F147" s="917"/>
      <c r="G147" s="922"/>
      <c r="H147" s="922"/>
      <c r="I147" s="956"/>
    </row>
    <row r="148" spans="2:9" ht="20.100000000000001" customHeight="1">
      <c r="B148" s="984"/>
      <c r="C148" s="837" t="s">
        <v>178</v>
      </c>
      <c r="D148" s="967" t="s">
        <v>179</v>
      </c>
      <c r="E148" s="914">
        <v>30000</v>
      </c>
      <c r="F148" s="915"/>
      <c r="G148" s="962">
        <v>5000</v>
      </c>
      <c r="H148" s="924">
        <v>2000</v>
      </c>
      <c r="I148" s="956"/>
    </row>
    <row r="149" spans="2:9" ht="20.100000000000001" customHeight="1">
      <c r="B149" s="984"/>
      <c r="C149" s="922"/>
      <c r="D149" s="968"/>
      <c r="E149" s="916"/>
      <c r="F149" s="917"/>
      <c r="G149" s="922"/>
      <c r="H149" s="922"/>
      <c r="I149" s="956"/>
    </row>
    <row r="150" spans="2:9" ht="20.100000000000001" customHeight="1">
      <c r="B150" s="984"/>
      <c r="C150" s="837" t="s">
        <v>149</v>
      </c>
      <c r="D150" s="967" t="s">
        <v>150</v>
      </c>
      <c r="E150" s="8" t="s">
        <v>797</v>
      </c>
      <c r="F150" s="304">
        <v>20000</v>
      </c>
      <c r="G150" s="962">
        <v>4000</v>
      </c>
      <c r="H150" s="962">
        <v>800</v>
      </c>
      <c r="I150" s="956"/>
    </row>
    <row r="151" spans="2:9" ht="20.100000000000001" customHeight="1">
      <c r="B151" s="984"/>
      <c r="C151" s="922"/>
      <c r="D151" s="968"/>
      <c r="E151" s="8" t="s">
        <v>798</v>
      </c>
      <c r="F151" s="304" t="s">
        <v>749</v>
      </c>
      <c r="G151" s="922"/>
      <c r="H151" s="922"/>
      <c r="I151" s="956"/>
    </row>
    <row r="152" spans="2:9" ht="20.100000000000001" customHeight="1">
      <c r="B152" s="984"/>
      <c r="C152" s="837" t="s">
        <v>162</v>
      </c>
      <c r="D152" s="967" t="s">
        <v>163</v>
      </c>
      <c r="E152" s="8" t="s">
        <v>799</v>
      </c>
      <c r="F152" s="304">
        <v>50000</v>
      </c>
      <c r="G152" s="962">
        <v>10000</v>
      </c>
      <c r="H152" s="962">
        <v>5000</v>
      </c>
      <c r="I152" s="956"/>
    </row>
    <row r="153" spans="2:9" ht="20.100000000000001" customHeight="1">
      <c r="B153" s="984"/>
      <c r="C153" s="922"/>
      <c r="D153" s="968"/>
      <c r="E153" s="8" t="s">
        <v>800</v>
      </c>
      <c r="F153" s="304" t="s">
        <v>749</v>
      </c>
      <c r="G153" s="922"/>
      <c r="H153" s="922"/>
      <c r="I153" s="956"/>
    </row>
    <row r="154" spans="2:9" ht="20.100000000000001" customHeight="1">
      <c r="B154" s="984"/>
      <c r="C154" s="837" t="s">
        <v>164</v>
      </c>
      <c r="D154" s="967" t="s">
        <v>165</v>
      </c>
      <c r="E154" s="8" t="s">
        <v>801</v>
      </c>
      <c r="F154" s="304">
        <v>10000</v>
      </c>
      <c r="G154" s="962">
        <v>1500</v>
      </c>
      <c r="H154" s="962">
        <v>300</v>
      </c>
      <c r="I154" s="956"/>
    </row>
    <row r="155" spans="2:9" ht="20.100000000000001" customHeight="1">
      <c r="B155" s="984"/>
      <c r="C155" s="922"/>
      <c r="D155" s="968"/>
      <c r="E155" s="8" t="s">
        <v>802</v>
      </c>
      <c r="F155" s="304" t="s">
        <v>749</v>
      </c>
      <c r="G155" s="922"/>
      <c r="H155" s="922"/>
      <c r="I155" s="956"/>
    </row>
    <row r="156" spans="2:9" ht="20.100000000000001" customHeight="1">
      <c r="B156" s="984"/>
      <c r="C156" s="837" t="s">
        <v>355</v>
      </c>
      <c r="D156" s="967" t="s">
        <v>167</v>
      </c>
      <c r="E156" s="8" t="s">
        <v>801</v>
      </c>
      <c r="F156" s="304">
        <v>10000</v>
      </c>
      <c r="G156" s="962">
        <v>3000</v>
      </c>
      <c r="H156" s="962">
        <v>1000</v>
      </c>
      <c r="I156" s="956"/>
    </row>
    <row r="157" spans="2:9" ht="20.100000000000001" customHeight="1">
      <c r="B157" s="984"/>
      <c r="C157" s="922"/>
      <c r="D157" s="968"/>
      <c r="E157" s="8" t="s">
        <v>802</v>
      </c>
      <c r="F157" s="304" t="s">
        <v>749</v>
      </c>
      <c r="G157" s="922"/>
      <c r="H157" s="922"/>
      <c r="I157" s="956"/>
    </row>
    <row r="158" spans="2:9" ht="20.100000000000001" customHeight="1">
      <c r="B158" s="984"/>
      <c r="C158" s="837" t="s">
        <v>160</v>
      </c>
      <c r="D158" s="967" t="s">
        <v>161</v>
      </c>
      <c r="E158" s="8" t="s">
        <v>803</v>
      </c>
      <c r="F158" s="304">
        <v>30000</v>
      </c>
      <c r="G158" s="962">
        <v>3000</v>
      </c>
      <c r="H158" s="962">
        <v>1000</v>
      </c>
      <c r="I158" s="956"/>
    </row>
    <row r="159" spans="2:9" ht="20.100000000000001" customHeight="1">
      <c r="B159" s="984"/>
      <c r="C159" s="922"/>
      <c r="D159" s="968"/>
      <c r="E159" s="8" t="s">
        <v>804</v>
      </c>
      <c r="F159" s="304" t="s">
        <v>749</v>
      </c>
      <c r="G159" s="922"/>
      <c r="H159" s="922"/>
      <c r="I159" s="956"/>
    </row>
    <row r="160" spans="2:9" ht="20.100000000000001" customHeight="1">
      <c r="B160" s="984"/>
      <c r="C160" s="837" t="s">
        <v>156</v>
      </c>
      <c r="D160" s="967" t="s">
        <v>157</v>
      </c>
      <c r="E160" s="8" t="s">
        <v>797</v>
      </c>
      <c r="F160" s="304">
        <v>20000</v>
      </c>
      <c r="G160" s="962">
        <v>5000</v>
      </c>
      <c r="H160" s="962">
        <v>1000</v>
      </c>
      <c r="I160" s="956"/>
    </row>
    <row r="161" spans="2:9" ht="20.100000000000001" customHeight="1">
      <c r="B161" s="984"/>
      <c r="C161" s="922"/>
      <c r="D161" s="968"/>
      <c r="E161" s="8" t="s">
        <v>798</v>
      </c>
      <c r="F161" s="304" t="s">
        <v>749</v>
      </c>
      <c r="G161" s="922"/>
      <c r="H161" s="922"/>
      <c r="I161" s="956"/>
    </row>
    <row r="162" spans="2:9" ht="20.100000000000001" customHeight="1">
      <c r="B162" s="984"/>
      <c r="C162" s="837" t="s">
        <v>168</v>
      </c>
      <c r="D162" s="967" t="s">
        <v>169</v>
      </c>
      <c r="E162" s="8" t="s">
        <v>797</v>
      </c>
      <c r="F162" s="304">
        <v>20000</v>
      </c>
      <c r="G162" s="962">
        <v>2000</v>
      </c>
      <c r="H162" s="962">
        <v>1000</v>
      </c>
      <c r="I162" s="956"/>
    </row>
    <row r="163" spans="2:9" ht="20.100000000000001" customHeight="1">
      <c r="B163" s="984"/>
      <c r="C163" s="922"/>
      <c r="D163" s="968"/>
      <c r="E163" s="8" t="s">
        <v>798</v>
      </c>
      <c r="F163" s="304" t="s">
        <v>749</v>
      </c>
      <c r="G163" s="922"/>
      <c r="H163" s="922"/>
      <c r="I163" s="956"/>
    </row>
    <row r="164" spans="2:9" ht="20.100000000000001" customHeight="1">
      <c r="B164" s="984"/>
      <c r="C164" s="837" t="s">
        <v>154</v>
      </c>
      <c r="D164" s="967" t="s">
        <v>155</v>
      </c>
      <c r="E164" s="8" t="s">
        <v>803</v>
      </c>
      <c r="F164" s="304">
        <v>30000</v>
      </c>
      <c r="G164" s="962">
        <v>6000</v>
      </c>
      <c r="H164" s="962">
        <v>1000</v>
      </c>
      <c r="I164" s="956"/>
    </row>
    <row r="165" spans="2:9" ht="20.100000000000001" customHeight="1">
      <c r="B165" s="984"/>
      <c r="C165" s="922"/>
      <c r="D165" s="968"/>
      <c r="E165" s="8" t="s">
        <v>804</v>
      </c>
      <c r="F165" s="304" t="s">
        <v>749</v>
      </c>
      <c r="G165" s="922"/>
      <c r="H165" s="922"/>
      <c r="I165" s="956"/>
    </row>
    <row r="166" spans="2:9" ht="20.100000000000001" customHeight="1">
      <c r="B166" s="984"/>
      <c r="C166" s="837" t="s">
        <v>174</v>
      </c>
      <c r="D166" s="967" t="s">
        <v>175</v>
      </c>
      <c r="E166" s="8" t="s">
        <v>805</v>
      </c>
      <c r="F166" s="304">
        <v>3000</v>
      </c>
      <c r="G166" s="962">
        <v>500</v>
      </c>
      <c r="H166" s="962">
        <v>200</v>
      </c>
      <c r="I166" s="956"/>
    </row>
    <row r="167" spans="2:9" ht="20.100000000000001" customHeight="1">
      <c r="B167" s="984"/>
      <c r="C167" s="922"/>
      <c r="D167" s="968"/>
      <c r="E167" s="8" t="s">
        <v>806</v>
      </c>
      <c r="F167" s="304" t="s">
        <v>749</v>
      </c>
      <c r="G167" s="922"/>
      <c r="H167" s="922"/>
      <c r="I167" s="957"/>
    </row>
    <row r="168" spans="2:9" ht="45.95" customHeight="1">
      <c r="B168" s="984"/>
      <c r="C168" s="298" t="s">
        <v>36</v>
      </c>
      <c r="D168" s="298" t="s">
        <v>37</v>
      </c>
      <c r="E168" s="135" t="s">
        <v>807</v>
      </c>
      <c r="F168" s="135" t="s">
        <v>808</v>
      </c>
      <c r="G168" s="135" t="s">
        <v>795</v>
      </c>
      <c r="H168" s="319" t="s">
        <v>743</v>
      </c>
      <c r="I168" s="313" t="s">
        <v>673</v>
      </c>
    </row>
    <row r="169" spans="2:9" ht="30" customHeight="1">
      <c r="B169" s="984"/>
      <c r="C169" s="299" t="s">
        <v>176</v>
      </c>
      <c r="D169" s="300" t="s">
        <v>177</v>
      </c>
      <c r="E169" s="8">
        <v>2000</v>
      </c>
      <c r="F169" s="8">
        <v>1000</v>
      </c>
      <c r="G169" s="8">
        <v>400</v>
      </c>
      <c r="H169" s="8">
        <v>200</v>
      </c>
      <c r="I169" s="738" t="s">
        <v>747</v>
      </c>
    </row>
    <row r="170" spans="2:9" ht="30" customHeight="1">
      <c r="B170" s="984"/>
      <c r="C170" s="299" t="s">
        <v>190</v>
      </c>
      <c r="D170" s="300" t="s">
        <v>191</v>
      </c>
      <c r="E170" s="8">
        <v>600</v>
      </c>
      <c r="F170" s="8">
        <v>200</v>
      </c>
      <c r="G170" s="304">
        <v>40</v>
      </c>
      <c r="H170" s="8">
        <v>10</v>
      </c>
      <c r="I170" s="738"/>
    </row>
    <row r="171" spans="2:9" ht="30" customHeight="1">
      <c r="B171" s="984"/>
      <c r="C171" s="299" t="s">
        <v>186</v>
      </c>
      <c r="D171" s="300" t="s">
        <v>187</v>
      </c>
      <c r="E171" s="8">
        <v>1000</v>
      </c>
      <c r="F171" s="8">
        <v>200</v>
      </c>
      <c r="G171" s="304">
        <v>40</v>
      </c>
      <c r="H171" s="8">
        <v>20</v>
      </c>
      <c r="I171" s="738"/>
    </row>
    <row r="172" spans="2:9" ht="30" customHeight="1">
      <c r="B172" s="984"/>
      <c r="C172" s="299" t="s">
        <v>170</v>
      </c>
      <c r="D172" s="300" t="s">
        <v>171</v>
      </c>
      <c r="E172" s="8">
        <v>6000</v>
      </c>
      <c r="F172" s="8">
        <v>4000</v>
      </c>
      <c r="G172" s="8">
        <v>3000</v>
      </c>
      <c r="H172" s="8">
        <v>2000</v>
      </c>
      <c r="I172" s="738"/>
    </row>
    <row r="173" spans="2:9" ht="36" customHeight="1">
      <c r="B173" s="984"/>
      <c r="C173" s="298" t="s">
        <v>36</v>
      </c>
      <c r="D173" s="298" t="s">
        <v>37</v>
      </c>
      <c r="E173" s="724" t="s">
        <v>809</v>
      </c>
      <c r="F173" s="966"/>
      <c r="G173" s="966"/>
      <c r="H173" s="966"/>
      <c r="I173" s="313" t="s">
        <v>673</v>
      </c>
    </row>
    <row r="174" spans="2:9" ht="30" customHeight="1">
      <c r="B174" s="984"/>
      <c r="C174" s="299" t="s">
        <v>509</v>
      </c>
      <c r="D174" s="300" t="s">
        <v>510</v>
      </c>
      <c r="E174" s="902">
        <v>30000</v>
      </c>
      <c r="F174" s="923"/>
      <c r="G174" s="923"/>
      <c r="H174" s="923"/>
      <c r="I174" s="934" t="s">
        <v>810</v>
      </c>
    </row>
    <row r="175" spans="2:9" ht="30" customHeight="1">
      <c r="B175" s="984"/>
      <c r="C175" s="299" t="s">
        <v>514</v>
      </c>
      <c r="D175" s="300" t="s">
        <v>515</v>
      </c>
      <c r="E175" s="902">
        <v>20000</v>
      </c>
      <c r="F175" s="923"/>
      <c r="G175" s="923"/>
      <c r="H175" s="923"/>
      <c r="I175" s="935"/>
    </row>
    <row r="176" spans="2:9" ht="30" customHeight="1">
      <c r="B176" s="984"/>
      <c r="C176" s="299" t="s">
        <v>522</v>
      </c>
      <c r="D176" s="300" t="s">
        <v>523</v>
      </c>
      <c r="E176" s="902">
        <v>30000</v>
      </c>
      <c r="F176" s="923"/>
      <c r="G176" s="923"/>
      <c r="H176" s="923"/>
      <c r="I176" s="935"/>
    </row>
    <row r="177" spans="2:9" ht="30" customHeight="1">
      <c r="B177" s="984"/>
      <c r="C177" s="299" t="s">
        <v>518</v>
      </c>
      <c r="D177" s="300" t="s">
        <v>519</v>
      </c>
      <c r="E177" s="902">
        <v>30000</v>
      </c>
      <c r="F177" s="923"/>
      <c r="G177" s="923"/>
      <c r="H177" s="923"/>
      <c r="I177" s="935"/>
    </row>
    <row r="178" spans="2:9" ht="30" customHeight="1">
      <c r="B178" s="984"/>
      <c r="C178" s="299" t="s">
        <v>811</v>
      </c>
      <c r="D178" s="300" t="s">
        <v>526</v>
      </c>
      <c r="E178" s="902">
        <v>20000</v>
      </c>
      <c r="F178" s="923"/>
      <c r="G178" s="923"/>
      <c r="H178" s="923"/>
      <c r="I178" s="935"/>
    </row>
    <row r="179" spans="2:9" ht="30" customHeight="1">
      <c r="B179" s="984"/>
      <c r="C179" s="299" t="s">
        <v>528</v>
      </c>
      <c r="D179" s="300" t="s">
        <v>529</v>
      </c>
      <c r="E179" s="902">
        <v>10000</v>
      </c>
      <c r="F179" s="923"/>
      <c r="G179" s="923"/>
      <c r="H179" s="923"/>
      <c r="I179" s="935"/>
    </row>
    <row r="180" spans="2:9" ht="30" customHeight="1">
      <c r="B180" s="984"/>
      <c r="C180" s="299" t="s">
        <v>531</v>
      </c>
      <c r="D180" s="300" t="s">
        <v>532</v>
      </c>
      <c r="E180" s="902">
        <v>3000</v>
      </c>
      <c r="F180" s="923"/>
      <c r="G180" s="923"/>
      <c r="H180" s="923"/>
      <c r="I180" s="935"/>
    </row>
    <row r="181" spans="2:9" ht="30" customHeight="1">
      <c r="B181" s="984"/>
      <c r="C181" s="299" t="s">
        <v>812</v>
      </c>
      <c r="D181" s="300" t="s">
        <v>563</v>
      </c>
      <c r="E181" s="902">
        <v>5000</v>
      </c>
      <c r="F181" s="923"/>
      <c r="G181" s="923"/>
      <c r="H181" s="923"/>
      <c r="I181" s="935"/>
    </row>
    <row r="182" spans="2:9" ht="30" customHeight="1">
      <c r="B182" s="984"/>
      <c r="C182" s="299" t="s">
        <v>537</v>
      </c>
      <c r="D182" s="300" t="s">
        <v>538</v>
      </c>
      <c r="E182" s="902">
        <v>3000</v>
      </c>
      <c r="F182" s="923"/>
      <c r="G182" s="923"/>
      <c r="H182" s="923"/>
      <c r="I182" s="935"/>
    </row>
    <row r="183" spans="2:9" ht="30" customHeight="1">
      <c r="B183" s="984"/>
      <c r="C183" s="299" t="s">
        <v>534</v>
      </c>
      <c r="D183" s="300" t="s">
        <v>535</v>
      </c>
      <c r="E183" s="902">
        <v>2000</v>
      </c>
      <c r="F183" s="923"/>
      <c r="G183" s="923"/>
      <c r="H183" s="923"/>
      <c r="I183" s="935"/>
    </row>
    <row r="184" spans="2:9" ht="30" customHeight="1">
      <c r="B184" s="984"/>
      <c r="C184" s="299" t="s">
        <v>540</v>
      </c>
      <c r="D184" s="300" t="s">
        <v>541</v>
      </c>
      <c r="E184" s="902">
        <v>10000</v>
      </c>
      <c r="F184" s="923"/>
      <c r="G184" s="923"/>
      <c r="H184" s="923"/>
      <c r="I184" s="935"/>
    </row>
    <row r="185" spans="2:9" ht="30" customHeight="1">
      <c r="B185" s="984"/>
      <c r="C185" s="299" t="s">
        <v>543</v>
      </c>
      <c r="D185" s="300" t="s">
        <v>544</v>
      </c>
      <c r="E185" s="902">
        <v>20000</v>
      </c>
      <c r="F185" s="923"/>
      <c r="G185" s="923"/>
      <c r="H185" s="923"/>
      <c r="I185" s="935"/>
    </row>
    <row r="186" spans="2:9" ht="30" customHeight="1">
      <c r="B186" s="984"/>
      <c r="C186" s="299" t="s">
        <v>546</v>
      </c>
      <c r="D186" s="300" t="s">
        <v>547</v>
      </c>
      <c r="E186" s="902">
        <v>30000</v>
      </c>
      <c r="F186" s="923"/>
      <c r="G186" s="923"/>
      <c r="H186" s="923"/>
      <c r="I186" s="935"/>
    </row>
    <row r="187" spans="2:9" ht="30" customHeight="1">
      <c r="B187" s="984"/>
      <c r="C187" s="299" t="s">
        <v>549</v>
      </c>
      <c r="D187" s="300" t="s">
        <v>550</v>
      </c>
      <c r="E187" s="902">
        <v>10000</v>
      </c>
      <c r="F187" s="923"/>
      <c r="G187" s="923"/>
      <c r="H187" s="923"/>
      <c r="I187" s="935"/>
    </row>
    <row r="188" spans="2:9" ht="30" customHeight="1">
      <c r="B188" s="984"/>
      <c r="C188" s="299" t="s">
        <v>552</v>
      </c>
      <c r="D188" s="300" t="s">
        <v>553</v>
      </c>
      <c r="E188" s="902">
        <v>10000</v>
      </c>
      <c r="F188" s="923"/>
      <c r="G188" s="923"/>
      <c r="H188" s="923"/>
      <c r="I188" s="935"/>
    </row>
    <row r="189" spans="2:9" ht="30" customHeight="1">
      <c r="B189" s="984"/>
      <c r="C189" s="299" t="s">
        <v>566</v>
      </c>
      <c r="D189" s="300" t="s">
        <v>567</v>
      </c>
      <c r="E189" s="902">
        <v>1000</v>
      </c>
      <c r="F189" s="923"/>
      <c r="G189" s="923"/>
      <c r="H189" s="923"/>
      <c r="I189" s="935"/>
    </row>
    <row r="190" spans="2:9" ht="30" customHeight="1">
      <c r="B190" s="984"/>
      <c r="C190" s="299" t="s">
        <v>555</v>
      </c>
      <c r="D190" s="300" t="s">
        <v>556</v>
      </c>
      <c r="E190" s="902">
        <v>20000</v>
      </c>
      <c r="F190" s="922"/>
      <c r="G190" s="922"/>
      <c r="H190" s="922"/>
      <c r="I190" s="935"/>
    </row>
    <row r="191" spans="2:9" ht="30" customHeight="1">
      <c r="B191" s="984"/>
      <c r="C191" s="299" t="s">
        <v>569</v>
      </c>
      <c r="D191" s="300" t="s">
        <v>570</v>
      </c>
      <c r="E191" s="902">
        <v>600</v>
      </c>
      <c r="F191" s="922"/>
      <c r="G191" s="922"/>
      <c r="H191" s="922"/>
      <c r="I191" s="935"/>
    </row>
    <row r="192" spans="2:9" ht="30" customHeight="1">
      <c r="B192" s="985"/>
      <c r="C192" s="299" t="s">
        <v>558</v>
      </c>
      <c r="D192" s="300" t="s">
        <v>559</v>
      </c>
      <c r="E192" s="963">
        <v>3000</v>
      </c>
      <c r="F192" s="964"/>
      <c r="G192" s="964"/>
      <c r="H192" s="965"/>
      <c r="I192" s="936"/>
    </row>
    <row r="193" spans="2:9" ht="36" customHeight="1">
      <c r="B193" s="986" t="s">
        <v>202</v>
      </c>
      <c r="C193" s="298" t="s">
        <v>36</v>
      </c>
      <c r="D193" s="298" t="s">
        <v>37</v>
      </c>
      <c r="E193" s="724" t="s">
        <v>813</v>
      </c>
      <c r="F193" s="966"/>
      <c r="G193" s="135" t="s">
        <v>742</v>
      </c>
      <c r="H193" s="319" t="s">
        <v>743</v>
      </c>
      <c r="I193" s="313" t="s">
        <v>673</v>
      </c>
    </row>
    <row r="194" spans="2:9" ht="20.100000000000001" customHeight="1">
      <c r="B194" s="987"/>
      <c r="C194" s="837" t="s">
        <v>203</v>
      </c>
      <c r="D194" s="967" t="s">
        <v>204</v>
      </c>
      <c r="E194" s="8" t="s">
        <v>781</v>
      </c>
      <c r="F194" s="304">
        <v>3000</v>
      </c>
      <c r="G194" s="921">
        <v>900</v>
      </c>
      <c r="H194" s="921">
        <v>200</v>
      </c>
      <c r="I194" s="958" t="s">
        <v>747</v>
      </c>
    </row>
    <row r="195" spans="2:9" ht="20.100000000000001" customHeight="1">
      <c r="B195" s="987"/>
      <c r="C195" s="923"/>
      <c r="D195" s="968"/>
      <c r="E195" s="8" t="s">
        <v>782</v>
      </c>
      <c r="F195" s="304" t="s">
        <v>749</v>
      </c>
      <c r="G195" s="921"/>
      <c r="H195" s="923"/>
      <c r="I195" s="958"/>
    </row>
    <row r="196" spans="2:9" ht="20.100000000000001" customHeight="1">
      <c r="B196" s="987"/>
      <c r="C196" s="837" t="s">
        <v>814</v>
      </c>
      <c r="D196" s="967" t="s">
        <v>207</v>
      </c>
      <c r="E196" s="8" t="s">
        <v>781</v>
      </c>
      <c r="F196" s="304">
        <v>3000</v>
      </c>
      <c r="G196" s="921">
        <v>1000</v>
      </c>
      <c r="H196" s="921">
        <v>300</v>
      </c>
      <c r="I196" s="958"/>
    </row>
    <row r="197" spans="2:9" ht="20.100000000000001" customHeight="1">
      <c r="B197" s="987"/>
      <c r="C197" s="923"/>
      <c r="D197" s="968"/>
      <c r="E197" s="8" t="s">
        <v>782</v>
      </c>
      <c r="F197" s="304" t="s">
        <v>749</v>
      </c>
      <c r="G197" s="921"/>
      <c r="H197" s="923"/>
      <c r="I197" s="958"/>
    </row>
    <row r="198" spans="2:9" ht="41.1" customHeight="1">
      <c r="B198" s="987"/>
      <c r="C198" s="838" t="s">
        <v>815</v>
      </c>
      <c r="D198" s="969" t="s">
        <v>207</v>
      </c>
      <c r="E198" s="724" t="s">
        <v>816</v>
      </c>
      <c r="F198" s="966"/>
      <c r="G198" s="135" t="s">
        <v>787</v>
      </c>
      <c r="H198" s="319" t="s">
        <v>743</v>
      </c>
      <c r="I198" s="313" t="s">
        <v>673</v>
      </c>
    </row>
    <row r="199" spans="2:9" ht="20.100000000000001" customHeight="1">
      <c r="B199" s="987"/>
      <c r="C199" s="972"/>
      <c r="D199" s="970"/>
      <c r="E199" s="8" t="s">
        <v>781</v>
      </c>
      <c r="F199" s="304">
        <v>3000</v>
      </c>
      <c r="G199" s="921">
        <v>1000</v>
      </c>
      <c r="H199" s="921">
        <v>300</v>
      </c>
      <c r="I199" s="959" t="s">
        <v>747</v>
      </c>
    </row>
    <row r="200" spans="2:9" ht="20.100000000000001" customHeight="1">
      <c r="B200" s="987"/>
      <c r="C200" s="973"/>
      <c r="D200" s="971"/>
      <c r="E200" s="8" t="s">
        <v>782</v>
      </c>
      <c r="F200" s="304" t="s">
        <v>749</v>
      </c>
      <c r="G200" s="921"/>
      <c r="H200" s="923"/>
      <c r="I200" s="960"/>
    </row>
    <row r="201" spans="2:9" ht="23.1" customHeight="1">
      <c r="B201" s="987"/>
      <c r="C201" s="972" t="s">
        <v>208</v>
      </c>
      <c r="D201" s="970" t="s">
        <v>209</v>
      </c>
      <c r="E201" s="8" t="s">
        <v>781</v>
      </c>
      <c r="F201" s="304">
        <v>3000</v>
      </c>
      <c r="G201" s="952">
        <v>900</v>
      </c>
      <c r="H201" s="952">
        <v>300</v>
      </c>
      <c r="I201" s="960"/>
    </row>
    <row r="202" spans="2:9" ht="23.1" customHeight="1">
      <c r="B202" s="987"/>
      <c r="C202" s="973"/>
      <c r="D202" s="971"/>
      <c r="E202" s="8" t="s">
        <v>782</v>
      </c>
      <c r="F202" s="304" t="s">
        <v>749</v>
      </c>
      <c r="G202" s="953"/>
      <c r="H202" s="953"/>
      <c r="I202" s="961"/>
    </row>
    <row r="203" spans="2:9" ht="36" customHeight="1">
      <c r="B203" s="987"/>
      <c r="C203" s="298" t="s">
        <v>36</v>
      </c>
      <c r="D203" s="298" t="s">
        <v>37</v>
      </c>
      <c r="E203" s="724" t="s">
        <v>817</v>
      </c>
      <c r="F203" s="724"/>
      <c r="G203" s="724"/>
      <c r="H203" s="724"/>
      <c r="I203" s="313" t="s">
        <v>673</v>
      </c>
    </row>
    <row r="204" spans="2:9" ht="42" customHeight="1">
      <c r="B204" s="987"/>
      <c r="C204" s="299" t="s">
        <v>572</v>
      </c>
      <c r="D204" s="300" t="s">
        <v>573</v>
      </c>
      <c r="E204" s="921">
        <v>3000</v>
      </c>
      <c r="F204" s="921"/>
      <c r="G204" s="921"/>
      <c r="H204" s="921"/>
      <c r="I204" s="934" t="s">
        <v>810</v>
      </c>
    </row>
    <row r="205" spans="2:9" ht="42" customHeight="1">
      <c r="B205" s="987"/>
      <c r="C205" s="299" t="s">
        <v>576</v>
      </c>
      <c r="D205" s="300" t="s">
        <v>577</v>
      </c>
      <c r="E205" s="921">
        <v>3000</v>
      </c>
      <c r="F205" s="921"/>
      <c r="G205" s="921"/>
      <c r="H205" s="921"/>
      <c r="I205" s="935"/>
    </row>
    <row r="206" spans="2:9" ht="42" customHeight="1">
      <c r="B206" s="988"/>
      <c r="C206" s="299" t="s">
        <v>579</v>
      </c>
      <c r="D206" s="300" t="s">
        <v>580</v>
      </c>
      <c r="E206" s="921">
        <v>3000</v>
      </c>
      <c r="F206" s="921"/>
      <c r="G206" s="921"/>
      <c r="H206" s="921"/>
      <c r="I206" s="936"/>
    </row>
    <row r="207" spans="2:9" ht="36" customHeight="1">
      <c r="B207" s="989" t="s">
        <v>210</v>
      </c>
      <c r="C207" s="724" t="s">
        <v>818</v>
      </c>
      <c r="D207" s="724" t="s">
        <v>819</v>
      </c>
      <c r="E207" s="724" t="s">
        <v>820</v>
      </c>
      <c r="F207" s="966"/>
      <c r="G207" s="724" t="s">
        <v>821</v>
      </c>
      <c r="H207" s="966"/>
      <c r="I207" s="937" t="s">
        <v>673</v>
      </c>
    </row>
    <row r="208" spans="2:9" ht="36" customHeight="1">
      <c r="B208" s="989"/>
      <c r="C208" s="966" t="s">
        <v>36</v>
      </c>
      <c r="D208" s="966" t="s">
        <v>37</v>
      </c>
      <c r="E208" s="724" t="s">
        <v>822</v>
      </c>
      <c r="F208" s="994"/>
      <c r="G208" s="994"/>
      <c r="H208" s="994"/>
      <c r="I208" s="938"/>
    </row>
    <row r="209" spans="2:9" ht="35.1" customHeight="1">
      <c r="B209" s="989"/>
      <c r="C209" s="299" t="s">
        <v>221</v>
      </c>
      <c r="D209" s="300" t="s">
        <v>222</v>
      </c>
      <c r="E209" s="902" t="s">
        <v>823</v>
      </c>
      <c r="F209" s="923"/>
      <c r="G209" s="902" t="s">
        <v>824</v>
      </c>
      <c r="H209" s="923"/>
      <c r="I209" s="939" t="s">
        <v>825</v>
      </c>
    </row>
    <row r="210" spans="2:9" ht="35.1" customHeight="1">
      <c r="B210" s="989"/>
      <c r="C210" s="299" t="s">
        <v>224</v>
      </c>
      <c r="D210" s="300" t="s">
        <v>225</v>
      </c>
      <c r="E210" s="902" t="s">
        <v>826</v>
      </c>
      <c r="F210" s="736"/>
      <c r="G210" s="902" t="s">
        <v>827</v>
      </c>
      <c r="H210" s="736"/>
      <c r="I210" s="940"/>
    </row>
    <row r="211" spans="2:9" ht="35.1" customHeight="1">
      <c r="B211" s="989"/>
      <c r="C211" s="299" t="s">
        <v>226</v>
      </c>
      <c r="D211" s="300" t="s">
        <v>227</v>
      </c>
      <c r="E211" s="902" t="s">
        <v>826</v>
      </c>
      <c r="F211" s="736"/>
      <c r="G211" s="902" t="s">
        <v>827</v>
      </c>
      <c r="H211" s="736"/>
      <c r="I211" s="940"/>
    </row>
    <row r="212" spans="2:9" ht="35.1" customHeight="1">
      <c r="B212" s="989"/>
      <c r="C212" s="299" t="s">
        <v>228</v>
      </c>
      <c r="D212" s="300" t="s">
        <v>229</v>
      </c>
      <c r="E212" s="902" t="s">
        <v>826</v>
      </c>
      <c r="F212" s="736"/>
      <c r="G212" s="902" t="s">
        <v>827</v>
      </c>
      <c r="H212" s="736"/>
      <c r="I212" s="940"/>
    </row>
    <row r="213" spans="2:9" ht="36" customHeight="1">
      <c r="B213" s="989"/>
      <c r="C213" s="135" t="s">
        <v>828</v>
      </c>
      <c r="D213" s="135" t="s">
        <v>829</v>
      </c>
      <c r="E213" s="724" t="s">
        <v>822</v>
      </c>
      <c r="F213" s="993"/>
      <c r="G213" s="993"/>
      <c r="H213" s="993"/>
      <c r="I213" s="313" t="s">
        <v>673</v>
      </c>
    </row>
    <row r="214" spans="2:9" ht="80.099999999999994" customHeight="1">
      <c r="B214" s="989"/>
      <c r="C214" s="299" t="s">
        <v>230</v>
      </c>
      <c r="D214" s="300" t="s">
        <v>231</v>
      </c>
      <c r="E214" s="924" t="s">
        <v>830</v>
      </c>
      <c r="F214" s="923"/>
      <c r="G214" s="924" t="s">
        <v>831</v>
      </c>
      <c r="H214" s="923"/>
      <c r="I214" s="939" t="s">
        <v>832</v>
      </c>
    </row>
    <row r="215" spans="2:9" ht="80.099999999999994" customHeight="1">
      <c r="B215" s="989"/>
      <c r="C215" s="299" t="s">
        <v>236</v>
      </c>
      <c r="D215" s="300" t="s">
        <v>237</v>
      </c>
      <c r="E215" s="924" t="s">
        <v>833</v>
      </c>
      <c r="F215" s="736"/>
      <c r="G215" s="924" t="s">
        <v>834</v>
      </c>
      <c r="H215" s="736"/>
      <c r="I215" s="940"/>
    </row>
    <row r="216" spans="2:9" ht="80.099999999999994" customHeight="1">
      <c r="B216" s="989"/>
      <c r="C216" s="299" t="s">
        <v>234</v>
      </c>
      <c r="D216" s="300" t="s">
        <v>235</v>
      </c>
      <c r="E216" s="924" t="s">
        <v>833</v>
      </c>
      <c r="F216" s="736"/>
      <c r="G216" s="924" t="s">
        <v>834</v>
      </c>
      <c r="H216" s="736"/>
      <c r="I216" s="940"/>
    </row>
    <row r="217" spans="2:9" ht="36" customHeight="1">
      <c r="B217" s="989"/>
      <c r="C217" s="135" t="s">
        <v>835</v>
      </c>
      <c r="D217" s="135" t="s">
        <v>836</v>
      </c>
      <c r="E217" s="135" t="s">
        <v>837</v>
      </c>
      <c r="F217" s="135" t="s">
        <v>838</v>
      </c>
      <c r="G217" s="135" t="s">
        <v>839</v>
      </c>
      <c r="H217" s="135" t="s">
        <v>840</v>
      </c>
      <c r="I217" s="313" t="s">
        <v>673</v>
      </c>
    </row>
    <row r="218" spans="2:9" ht="69" customHeight="1">
      <c r="B218" s="989"/>
      <c r="C218" s="320" t="s">
        <v>841</v>
      </c>
      <c r="D218" s="300" t="s">
        <v>212</v>
      </c>
      <c r="E218" s="7" t="s">
        <v>842</v>
      </c>
      <c r="F218" s="7" t="s">
        <v>843</v>
      </c>
      <c r="G218" s="7" t="s">
        <v>844</v>
      </c>
      <c r="H218" s="7" t="s">
        <v>845</v>
      </c>
      <c r="I218" s="939" t="s">
        <v>846</v>
      </c>
    </row>
    <row r="219" spans="2:9" ht="69" customHeight="1">
      <c r="B219" s="990"/>
      <c r="C219" s="320" t="s">
        <v>847</v>
      </c>
      <c r="D219" s="300" t="s">
        <v>216</v>
      </c>
      <c r="E219" s="7" t="s">
        <v>842</v>
      </c>
      <c r="F219" s="7" t="s">
        <v>843</v>
      </c>
      <c r="G219" s="7" t="s">
        <v>844</v>
      </c>
      <c r="H219" s="7" t="s">
        <v>845</v>
      </c>
      <c r="I219" s="941"/>
    </row>
    <row r="220" spans="2:9" ht="69" customHeight="1">
      <c r="B220" s="990"/>
      <c r="C220" s="320" t="s">
        <v>848</v>
      </c>
      <c r="D220" s="300" t="s">
        <v>220</v>
      </c>
      <c r="E220" s="7" t="s">
        <v>842</v>
      </c>
      <c r="F220" s="7" t="s">
        <v>843</v>
      </c>
      <c r="G220" s="7" t="s">
        <v>844</v>
      </c>
      <c r="H220" s="7" t="s">
        <v>845</v>
      </c>
      <c r="I220" s="941"/>
    </row>
    <row r="221" spans="2:9" ht="69" customHeight="1">
      <c r="B221" s="991"/>
      <c r="C221" s="321" t="s">
        <v>849</v>
      </c>
      <c r="D221" s="322" t="s">
        <v>218</v>
      </c>
      <c r="E221" s="323" t="s">
        <v>850</v>
      </c>
      <c r="F221" s="323" t="s">
        <v>851</v>
      </c>
      <c r="G221" s="323" t="s">
        <v>852</v>
      </c>
      <c r="H221" s="323" t="s">
        <v>853</v>
      </c>
      <c r="I221" s="942"/>
    </row>
  </sheetData>
  <mergeCells count="445">
    <mergeCell ref="A1:B1"/>
    <mergeCell ref="B2:I2"/>
    <mergeCell ref="K2:O2"/>
    <mergeCell ref="E3:F3"/>
    <mergeCell ref="E4:F4"/>
    <mergeCell ref="E5:F5"/>
    <mergeCell ref="E6:F6"/>
    <mergeCell ref="E7:F7"/>
    <mergeCell ref="E8:F8"/>
    <mergeCell ref="L4:L5"/>
    <mergeCell ref="L6:L8"/>
    <mergeCell ref="N4:N5"/>
    <mergeCell ref="N6:N8"/>
    <mergeCell ref="E9:F9"/>
    <mergeCell ref="E10:F10"/>
    <mergeCell ref="E11:F11"/>
    <mergeCell ref="E12:F12"/>
    <mergeCell ref="E13:F13"/>
    <mergeCell ref="E14:F14"/>
    <mergeCell ref="E15:F15"/>
    <mergeCell ref="E16:F16"/>
    <mergeCell ref="E17:F17"/>
    <mergeCell ref="E18:F18"/>
    <mergeCell ref="E19:F19"/>
    <mergeCell ref="E20:F20"/>
    <mergeCell ref="E21:F21"/>
    <mergeCell ref="E22:F22"/>
    <mergeCell ref="E23:F23"/>
    <mergeCell ref="E24:F24"/>
    <mergeCell ref="E25:F25"/>
    <mergeCell ref="E26:F26"/>
    <mergeCell ref="E27:F27"/>
    <mergeCell ref="E28:F28"/>
    <mergeCell ref="E29:F29"/>
    <mergeCell ref="E30:F30"/>
    <mergeCell ref="E31:F31"/>
    <mergeCell ref="E32:F32"/>
    <mergeCell ref="E33:F33"/>
    <mergeCell ref="E34:F34"/>
    <mergeCell ref="E35:F35"/>
    <mergeCell ref="G35:H35"/>
    <mergeCell ref="K35:O35"/>
    <mergeCell ref="E36:F36"/>
    <mergeCell ref="G36:H36"/>
    <mergeCell ref="E37:F37"/>
    <mergeCell ref="G37:H37"/>
    <mergeCell ref="E38:F38"/>
    <mergeCell ref="G38:H38"/>
    <mergeCell ref="E39:F39"/>
    <mergeCell ref="G39:H39"/>
    <mergeCell ref="E40:F40"/>
    <mergeCell ref="G40:H40"/>
    <mergeCell ref="E41:F41"/>
    <mergeCell ref="G41:H41"/>
    <mergeCell ref="E42:F42"/>
    <mergeCell ref="G42:H42"/>
    <mergeCell ref="E43:F43"/>
    <mergeCell ref="G43:H43"/>
    <mergeCell ref="E44:F44"/>
    <mergeCell ref="G44:H44"/>
    <mergeCell ref="E45:F45"/>
    <mergeCell ref="G45:H45"/>
    <mergeCell ref="E46:F46"/>
    <mergeCell ref="G46:H46"/>
    <mergeCell ref="E47:F47"/>
    <mergeCell ref="G47:H47"/>
    <mergeCell ref="E48:F48"/>
    <mergeCell ref="E49:F49"/>
    <mergeCell ref="E50:F50"/>
    <mergeCell ref="E51:F51"/>
    <mergeCell ref="E52:F52"/>
    <mergeCell ref="E53:F53"/>
    <mergeCell ref="E54:F54"/>
    <mergeCell ref="E55:F55"/>
    <mergeCell ref="E56:F56"/>
    <mergeCell ref="E57:F57"/>
    <mergeCell ref="E58:F58"/>
    <mergeCell ref="E59:F59"/>
    <mergeCell ref="E60:F60"/>
    <mergeCell ref="E115:H115"/>
    <mergeCell ref="E116:H116"/>
    <mergeCell ref="E117:H117"/>
    <mergeCell ref="E118:H118"/>
    <mergeCell ref="E119:H119"/>
    <mergeCell ref="E120:H120"/>
    <mergeCell ref="E121:H121"/>
    <mergeCell ref="E122:H122"/>
    <mergeCell ref="G67:G68"/>
    <mergeCell ref="G69:G70"/>
    <mergeCell ref="G71:G72"/>
    <mergeCell ref="G73:G74"/>
    <mergeCell ref="G75:G76"/>
    <mergeCell ref="G77:G78"/>
    <mergeCell ref="G79:G80"/>
    <mergeCell ref="G81:G82"/>
    <mergeCell ref="G83:G84"/>
    <mergeCell ref="G85:G86"/>
    <mergeCell ref="G87:G88"/>
    <mergeCell ref="G89:G90"/>
    <mergeCell ref="G91:G92"/>
    <mergeCell ref="G93:G94"/>
    <mergeCell ref="G95:G96"/>
    <mergeCell ref="E123:H123"/>
    <mergeCell ref="E124:H124"/>
    <mergeCell ref="E125:H125"/>
    <mergeCell ref="E126:H126"/>
    <mergeCell ref="E127:H127"/>
    <mergeCell ref="E128:H128"/>
    <mergeCell ref="E129:H129"/>
    <mergeCell ref="E130:H130"/>
    <mergeCell ref="E131:H131"/>
    <mergeCell ref="G166:G167"/>
    <mergeCell ref="H150:H151"/>
    <mergeCell ref="H152:H153"/>
    <mergeCell ref="H154:H155"/>
    <mergeCell ref="H156:H157"/>
    <mergeCell ref="H158:H159"/>
    <mergeCell ref="H160:H161"/>
    <mergeCell ref="H162:H163"/>
    <mergeCell ref="E132:H132"/>
    <mergeCell ref="E133:F133"/>
    <mergeCell ref="E134:F134"/>
    <mergeCell ref="E135:F135"/>
    <mergeCell ref="E136:F136"/>
    <mergeCell ref="E137:F137"/>
    <mergeCell ref="E138:F138"/>
    <mergeCell ref="E139:F139"/>
    <mergeCell ref="E140:F140"/>
    <mergeCell ref="G146:G147"/>
    <mergeCell ref="G148:G149"/>
    <mergeCell ref="G150:G151"/>
    <mergeCell ref="E178:H178"/>
    <mergeCell ref="E179:H179"/>
    <mergeCell ref="E180:H180"/>
    <mergeCell ref="E181:H181"/>
    <mergeCell ref="E182:H182"/>
    <mergeCell ref="E183:H183"/>
    <mergeCell ref="E184:H184"/>
    <mergeCell ref="E185:H185"/>
    <mergeCell ref="E141:F141"/>
    <mergeCell ref="E142:F142"/>
    <mergeCell ref="E143:F143"/>
    <mergeCell ref="E144:F144"/>
    <mergeCell ref="E145:F145"/>
    <mergeCell ref="E173:H173"/>
    <mergeCell ref="E174:H174"/>
    <mergeCell ref="E175:H175"/>
    <mergeCell ref="E176:H176"/>
    <mergeCell ref="G152:G153"/>
    <mergeCell ref="G154:G155"/>
    <mergeCell ref="G156:G157"/>
    <mergeCell ref="G158:G159"/>
    <mergeCell ref="G160:G161"/>
    <mergeCell ref="G162:G163"/>
    <mergeCell ref="G164:G165"/>
    <mergeCell ref="E203:H203"/>
    <mergeCell ref="E204:H204"/>
    <mergeCell ref="E205:H205"/>
    <mergeCell ref="E206:H206"/>
    <mergeCell ref="E207:F207"/>
    <mergeCell ref="G207:H207"/>
    <mergeCell ref="E208:H208"/>
    <mergeCell ref="E209:F209"/>
    <mergeCell ref="G209:H209"/>
    <mergeCell ref="E210:F210"/>
    <mergeCell ref="G210:H210"/>
    <mergeCell ref="E211:F211"/>
    <mergeCell ref="G211:H211"/>
    <mergeCell ref="E212:F212"/>
    <mergeCell ref="G212:H212"/>
    <mergeCell ref="E213:H213"/>
    <mergeCell ref="E214:F214"/>
    <mergeCell ref="G214:H214"/>
    <mergeCell ref="E215:F215"/>
    <mergeCell ref="G215:H215"/>
    <mergeCell ref="E216:F216"/>
    <mergeCell ref="G216:H216"/>
    <mergeCell ref="B4:B47"/>
    <mergeCell ref="B48:B59"/>
    <mergeCell ref="B60:B132"/>
    <mergeCell ref="B133:B192"/>
    <mergeCell ref="B193:B206"/>
    <mergeCell ref="B207:B221"/>
    <mergeCell ref="C4:C5"/>
    <mergeCell ref="C6:C7"/>
    <mergeCell ref="C8:C9"/>
    <mergeCell ref="C10:C11"/>
    <mergeCell ref="C12:C13"/>
    <mergeCell ref="C14:C15"/>
    <mergeCell ref="C16:C17"/>
    <mergeCell ref="C18:C19"/>
    <mergeCell ref="C20:C21"/>
    <mergeCell ref="C22:C23"/>
    <mergeCell ref="C24:C25"/>
    <mergeCell ref="C26:C27"/>
    <mergeCell ref="C50:C51"/>
    <mergeCell ref="C54:C55"/>
    <mergeCell ref="C61:C62"/>
    <mergeCell ref="C63:C64"/>
    <mergeCell ref="C65:C66"/>
    <mergeCell ref="C67:C68"/>
    <mergeCell ref="C69:C70"/>
    <mergeCell ref="C71:C72"/>
    <mergeCell ref="C73:C74"/>
    <mergeCell ref="C75:C76"/>
    <mergeCell ref="C77:C78"/>
    <mergeCell ref="C79:C80"/>
    <mergeCell ref="C81:C82"/>
    <mergeCell ref="C83:C84"/>
    <mergeCell ref="C85:C86"/>
    <mergeCell ref="C87:C88"/>
    <mergeCell ref="C89:C90"/>
    <mergeCell ref="C91:C92"/>
    <mergeCell ref="C93:C94"/>
    <mergeCell ref="C95:C96"/>
    <mergeCell ref="C97:C98"/>
    <mergeCell ref="C99:C100"/>
    <mergeCell ref="C101:C102"/>
    <mergeCell ref="C103:C104"/>
    <mergeCell ref="C105:C106"/>
    <mergeCell ref="C107:C108"/>
    <mergeCell ref="C146:C147"/>
    <mergeCell ref="C148:C149"/>
    <mergeCell ref="C150:C151"/>
    <mergeCell ref="C152:C153"/>
    <mergeCell ref="C154:C155"/>
    <mergeCell ref="C156:C157"/>
    <mergeCell ref="C158:C159"/>
    <mergeCell ref="C160:C161"/>
    <mergeCell ref="C162:C163"/>
    <mergeCell ref="C164:C165"/>
    <mergeCell ref="C166:C167"/>
    <mergeCell ref="C194:C195"/>
    <mergeCell ref="C196:C197"/>
    <mergeCell ref="C198:C200"/>
    <mergeCell ref="C201:C202"/>
    <mergeCell ref="C207:C208"/>
    <mergeCell ref="D4:D5"/>
    <mergeCell ref="D6:D7"/>
    <mergeCell ref="D8:D9"/>
    <mergeCell ref="D10:D11"/>
    <mergeCell ref="D12:D13"/>
    <mergeCell ref="D14:D15"/>
    <mergeCell ref="D16:D17"/>
    <mergeCell ref="D18:D19"/>
    <mergeCell ref="D20:D21"/>
    <mergeCell ref="D22:D23"/>
    <mergeCell ref="D24:D25"/>
    <mergeCell ref="D26:D27"/>
    <mergeCell ref="D50:D51"/>
    <mergeCell ref="D54:D55"/>
    <mergeCell ref="D61:D62"/>
    <mergeCell ref="D63:D64"/>
    <mergeCell ref="D65:D66"/>
    <mergeCell ref="D67:D68"/>
    <mergeCell ref="D69:D70"/>
    <mergeCell ref="D71:D72"/>
    <mergeCell ref="D73:D74"/>
    <mergeCell ref="D75:D76"/>
    <mergeCell ref="D77:D78"/>
    <mergeCell ref="D79:D80"/>
    <mergeCell ref="D81:D82"/>
    <mergeCell ref="D83:D84"/>
    <mergeCell ref="D85:D86"/>
    <mergeCell ref="D87:D88"/>
    <mergeCell ref="D89:D90"/>
    <mergeCell ref="D91:D92"/>
    <mergeCell ref="D93:D94"/>
    <mergeCell ref="D95:D96"/>
    <mergeCell ref="D97:D98"/>
    <mergeCell ref="D99:D100"/>
    <mergeCell ref="D101:D102"/>
    <mergeCell ref="D103:D104"/>
    <mergeCell ref="D105:D106"/>
    <mergeCell ref="D107:D108"/>
    <mergeCell ref="D207:D208"/>
    <mergeCell ref="G4:G5"/>
    <mergeCell ref="G6:G7"/>
    <mergeCell ref="G8:G9"/>
    <mergeCell ref="G10:G11"/>
    <mergeCell ref="G12:G13"/>
    <mergeCell ref="G14:G15"/>
    <mergeCell ref="G16:G17"/>
    <mergeCell ref="G18:G19"/>
    <mergeCell ref="G20:G21"/>
    <mergeCell ref="G22:G23"/>
    <mergeCell ref="G24:G25"/>
    <mergeCell ref="G26:G27"/>
    <mergeCell ref="G50:G51"/>
    <mergeCell ref="G54:G55"/>
    <mergeCell ref="G61:G62"/>
    <mergeCell ref="G63:G64"/>
    <mergeCell ref="G65:G66"/>
    <mergeCell ref="D146:D147"/>
    <mergeCell ref="D148:D149"/>
    <mergeCell ref="D150:D151"/>
    <mergeCell ref="D152:D153"/>
    <mergeCell ref="D154:D155"/>
    <mergeCell ref="D156:D157"/>
    <mergeCell ref="D164:D165"/>
    <mergeCell ref="D166:D167"/>
    <mergeCell ref="D194:D195"/>
    <mergeCell ref="D196:D197"/>
    <mergeCell ref="D198:D200"/>
    <mergeCell ref="D201:D202"/>
    <mergeCell ref="D158:D159"/>
    <mergeCell ref="D160:D161"/>
    <mergeCell ref="D162:D163"/>
    <mergeCell ref="E186:H186"/>
    <mergeCell ref="E187:H187"/>
    <mergeCell ref="E188:H188"/>
    <mergeCell ref="E189:H189"/>
    <mergeCell ref="E190:H190"/>
    <mergeCell ref="E191:H191"/>
    <mergeCell ref="E192:H192"/>
    <mergeCell ref="E193:F193"/>
    <mergeCell ref="E198:F198"/>
    <mergeCell ref="G194:G195"/>
    <mergeCell ref="G196:G197"/>
    <mergeCell ref="H196:H197"/>
    <mergeCell ref="G97:G98"/>
    <mergeCell ref="G99:G100"/>
    <mergeCell ref="G101:G102"/>
    <mergeCell ref="G103:G104"/>
    <mergeCell ref="G105:G106"/>
    <mergeCell ref="G107:G108"/>
    <mergeCell ref="H89:H90"/>
    <mergeCell ref="H91:H92"/>
    <mergeCell ref="H93:H94"/>
    <mergeCell ref="G199:G200"/>
    <mergeCell ref="G201:G202"/>
    <mergeCell ref="H4:H5"/>
    <mergeCell ref="H6:H7"/>
    <mergeCell ref="H8:H9"/>
    <mergeCell ref="H10:H11"/>
    <mergeCell ref="H12:H13"/>
    <mergeCell ref="H14:H15"/>
    <mergeCell ref="H16:H17"/>
    <mergeCell ref="H18:H19"/>
    <mergeCell ref="H20:H21"/>
    <mergeCell ref="H22:H23"/>
    <mergeCell ref="H24:H25"/>
    <mergeCell ref="H26:H27"/>
    <mergeCell ref="H50:H51"/>
    <mergeCell ref="H54:H55"/>
    <mergeCell ref="H61:H62"/>
    <mergeCell ref="H63:H64"/>
    <mergeCell ref="H65:H66"/>
    <mergeCell ref="H67:H68"/>
    <mergeCell ref="H69:H70"/>
    <mergeCell ref="H164:H165"/>
    <mergeCell ref="H166:H167"/>
    <mergeCell ref="H194:H195"/>
    <mergeCell ref="H199:H200"/>
    <mergeCell ref="H201:H202"/>
    <mergeCell ref="I4:I11"/>
    <mergeCell ref="I12:I17"/>
    <mergeCell ref="I18:I19"/>
    <mergeCell ref="I20:I21"/>
    <mergeCell ref="I22:I23"/>
    <mergeCell ref="I24:I29"/>
    <mergeCell ref="I36:I47"/>
    <mergeCell ref="I49:I51"/>
    <mergeCell ref="I54:I55"/>
    <mergeCell ref="I61:I108"/>
    <mergeCell ref="I110:I114"/>
    <mergeCell ref="I116:I132"/>
    <mergeCell ref="I134:I144"/>
    <mergeCell ref="I146:I167"/>
    <mergeCell ref="I169:I172"/>
    <mergeCell ref="I174:I192"/>
    <mergeCell ref="I194:I197"/>
    <mergeCell ref="I199:I202"/>
    <mergeCell ref="E177:H177"/>
    <mergeCell ref="H71:H72"/>
    <mergeCell ref="H73:H74"/>
    <mergeCell ref="H75:H76"/>
    <mergeCell ref="I204:I206"/>
    <mergeCell ref="I207:I208"/>
    <mergeCell ref="I209:I212"/>
    <mergeCell ref="I214:I216"/>
    <mergeCell ref="I218:I221"/>
    <mergeCell ref="K4:K5"/>
    <mergeCell ref="K6:K8"/>
    <mergeCell ref="K9:K12"/>
    <mergeCell ref="K13:K17"/>
    <mergeCell ref="K21:K22"/>
    <mergeCell ref="K23:K24"/>
    <mergeCell ref="K25:K27"/>
    <mergeCell ref="K28:K30"/>
    <mergeCell ref="K31:K33"/>
    <mergeCell ref="K36:K37"/>
    <mergeCell ref="K38:K39"/>
    <mergeCell ref="K40:K41"/>
    <mergeCell ref="K42:K43"/>
    <mergeCell ref="L9:L12"/>
    <mergeCell ref="L13:L17"/>
    <mergeCell ref="L21:L22"/>
    <mergeCell ref="L23:L24"/>
    <mergeCell ref="L25:L27"/>
    <mergeCell ref="L28:L30"/>
    <mergeCell ref="L31:L33"/>
    <mergeCell ref="M4:M5"/>
    <mergeCell ref="M6:M8"/>
    <mergeCell ref="M9:M12"/>
    <mergeCell ref="M13:M17"/>
    <mergeCell ref="M21:M22"/>
    <mergeCell ref="M23:M24"/>
    <mergeCell ref="M25:M27"/>
    <mergeCell ref="M28:M30"/>
    <mergeCell ref="M31:M33"/>
    <mergeCell ref="N9:N12"/>
    <mergeCell ref="N13:N17"/>
    <mergeCell ref="N21:N22"/>
    <mergeCell ref="N23:N24"/>
    <mergeCell ref="N25:N27"/>
    <mergeCell ref="N28:N30"/>
    <mergeCell ref="N31:N33"/>
    <mergeCell ref="O4:O17"/>
    <mergeCell ref="O21:O22"/>
    <mergeCell ref="O23:O33"/>
    <mergeCell ref="L42:M43"/>
    <mergeCell ref="N38:O43"/>
    <mergeCell ref="L36:M37"/>
    <mergeCell ref="N36:O37"/>
    <mergeCell ref="L38:M39"/>
    <mergeCell ref="L40:M41"/>
    <mergeCell ref="E146:F147"/>
    <mergeCell ref="E148:F149"/>
    <mergeCell ref="K19:O20"/>
    <mergeCell ref="H95:H96"/>
    <mergeCell ref="H97:H98"/>
    <mergeCell ref="H99:H100"/>
    <mergeCell ref="H101:H102"/>
    <mergeCell ref="H103:H104"/>
    <mergeCell ref="H105:H106"/>
    <mergeCell ref="H107:H108"/>
    <mergeCell ref="H146:H147"/>
    <mergeCell ref="H148:H149"/>
    <mergeCell ref="H77:H78"/>
    <mergeCell ref="H79:H80"/>
    <mergeCell ref="H81:H82"/>
    <mergeCell ref="H83:H84"/>
    <mergeCell ref="H85:H86"/>
    <mergeCell ref="H87:H88"/>
  </mergeCells>
  <phoneticPr fontId="106" type="noConversion"/>
  <hyperlinks>
    <hyperlink ref="A1" location="'目录'!A1" display="点此返回目录"/>
  </hyperlinks>
  <pageMargins left="0.75" right="0.75" top="1" bottom="1" header="0.5" footer="0.5"/>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IW47"/>
  <sheetViews>
    <sheetView zoomScale="85" zoomScaleNormal="85" workbookViewId="0">
      <selection activeCell="E30" sqref="E30:H30"/>
    </sheetView>
  </sheetViews>
  <sheetFormatPr defaultColWidth="9" defaultRowHeight="16.5"/>
  <cols>
    <col min="1" max="1" width="3.5" style="28" customWidth="1"/>
    <col min="2" max="2" width="10.875" style="28" customWidth="1"/>
    <col min="3" max="4" width="23.125" style="28" customWidth="1"/>
    <col min="5" max="5" width="28.875" style="28" customWidth="1"/>
    <col min="6" max="6" width="24.75" style="28" customWidth="1"/>
    <col min="7" max="7" width="11.75" style="28" customWidth="1"/>
    <col min="8" max="8" width="25.625" style="28" customWidth="1"/>
    <col min="9" max="9" width="34.125" style="28" customWidth="1"/>
    <col min="10" max="10" width="21.375" style="28" customWidth="1"/>
    <col min="11" max="27" width="9" style="28"/>
  </cols>
  <sheetData>
    <row r="1" spans="1:10" ht="25.5" customHeight="1">
      <c r="A1" s="623" t="s">
        <v>33</v>
      </c>
      <c r="B1" s="623"/>
      <c r="C1" s="623"/>
      <c r="D1" s="14"/>
    </row>
    <row r="2" spans="1:10" ht="30" customHeight="1">
      <c r="B2" s="1029" t="s">
        <v>854</v>
      </c>
      <c r="C2" s="1030"/>
      <c r="D2" s="1030"/>
      <c r="E2" s="1030"/>
      <c r="F2" s="1030"/>
      <c r="G2" s="1030"/>
      <c r="H2" s="1030"/>
      <c r="I2" s="1030"/>
      <c r="J2" s="1031"/>
    </row>
    <row r="3" spans="1:10" ht="42">
      <c r="B3" s="273" t="s">
        <v>35</v>
      </c>
      <c r="C3" s="274" t="s">
        <v>36</v>
      </c>
      <c r="D3" s="274" t="s">
        <v>37</v>
      </c>
      <c r="E3" s="275" t="s">
        <v>855</v>
      </c>
      <c r="F3" s="275" t="s">
        <v>856</v>
      </c>
      <c r="G3" s="275" t="s">
        <v>857</v>
      </c>
      <c r="H3" s="275" t="s">
        <v>858</v>
      </c>
      <c r="I3" s="292" t="s">
        <v>859</v>
      </c>
      <c r="J3" s="293" t="s">
        <v>860</v>
      </c>
    </row>
    <row r="4" spans="1:10" ht="27.95" customHeight="1">
      <c r="B4" s="1032" t="s">
        <v>210</v>
      </c>
      <c r="C4" s="276" t="s">
        <v>861</v>
      </c>
      <c r="D4" s="102" t="s">
        <v>862</v>
      </c>
      <c r="E4" s="6" t="s">
        <v>863</v>
      </c>
      <c r="F4" s="6">
        <v>500</v>
      </c>
      <c r="G4" s="6" t="s">
        <v>864</v>
      </c>
      <c r="H4" s="277">
        <v>44760</v>
      </c>
      <c r="I4" s="1036" t="s">
        <v>865</v>
      </c>
      <c r="J4" s="1010"/>
    </row>
    <row r="5" spans="1:10" ht="39" customHeight="1">
      <c r="B5" s="1032"/>
      <c r="C5" s="278" t="s">
        <v>866</v>
      </c>
      <c r="D5" s="102" t="s">
        <v>867</v>
      </c>
      <c r="E5" s="79" t="s">
        <v>868</v>
      </c>
      <c r="F5" s="79" t="s">
        <v>869</v>
      </c>
      <c r="G5" s="79">
        <v>200</v>
      </c>
      <c r="H5" s="279">
        <v>44909</v>
      </c>
      <c r="I5" s="1036"/>
      <c r="J5" s="1011"/>
    </row>
    <row r="6" spans="1:10" ht="27.95" customHeight="1">
      <c r="B6" s="1033" t="s">
        <v>102</v>
      </c>
      <c r="C6" s="278" t="s">
        <v>108</v>
      </c>
      <c r="D6" s="102" t="s">
        <v>109</v>
      </c>
      <c r="E6" s="79" t="s">
        <v>863</v>
      </c>
      <c r="F6" s="79">
        <v>20000</v>
      </c>
      <c r="G6" s="79" t="s">
        <v>864</v>
      </c>
      <c r="H6" s="279">
        <v>45252</v>
      </c>
      <c r="I6" s="1037" t="s">
        <v>52</v>
      </c>
      <c r="J6" s="1010"/>
    </row>
    <row r="7" spans="1:10" ht="27.95" customHeight="1">
      <c r="B7" s="1034"/>
      <c r="C7" s="278" t="s">
        <v>118</v>
      </c>
      <c r="D7" s="102" t="s">
        <v>119</v>
      </c>
      <c r="E7" s="79" t="s">
        <v>863</v>
      </c>
      <c r="F7" s="79">
        <v>18000</v>
      </c>
      <c r="G7" s="79" t="s">
        <v>864</v>
      </c>
      <c r="H7" s="279">
        <v>45252</v>
      </c>
      <c r="I7" s="1038"/>
      <c r="J7" s="1012"/>
    </row>
    <row r="8" spans="1:10" ht="27.95" customHeight="1">
      <c r="B8" s="1034"/>
      <c r="C8" s="278" t="s">
        <v>110</v>
      </c>
      <c r="D8" s="102" t="s">
        <v>111</v>
      </c>
      <c r="E8" s="79" t="s">
        <v>863</v>
      </c>
      <c r="F8" s="79">
        <v>15000</v>
      </c>
      <c r="G8" s="79" t="s">
        <v>864</v>
      </c>
      <c r="H8" s="279">
        <v>45252</v>
      </c>
      <c r="I8" s="1038"/>
      <c r="J8" s="1012"/>
    </row>
    <row r="9" spans="1:10" ht="27.95" customHeight="1">
      <c r="B9" s="1034"/>
      <c r="C9" s="278" t="s">
        <v>120</v>
      </c>
      <c r="D9" s="102" t="s">
        <v>121</v>
      </c>
      <c r="E9" s="79" t="s">
        <v>863</v>
      </c>
      <c r="F9" s="79">
        <v>10000</v>
      </c>
      <c r="G9" s="79" t="s">
        <v>864</v>
      </c>
      <c r="H9" s="279">
        <v>45252</v>
      </c>
      <c r="I9" s="1038"/>
      <c r="J9" s="1012"/>
    </row>
    <row r="10" spans="1:10" ht="27.95" customHeight="1">
      <c r="B10" s="1034"/>
      <c r="C10" s="278" t="s">
        <v>112</v>
      </c>
      <c r="D10" s="102" t="s">
        <v>113</v>
      </c>
      <c r="E10" s="79" t="s">
        <v>863</v>
      </c>
      <c r="F10" s="79">
        <v>10000</v>
      </c>
      <c r="G10" s="79" t="s">
        <v>864</v>
      </c>
      <c r="H10" s="279">
        <v>45064</v>
      </c>
      <c r="I10" s="1038"/>
      <c r="J10" s="1012"/>
    </row>
    <row r="11" spans="1:10" ht="27.95" customHeight="1">
      <c r="B11" s="1034"/>
      <c r="C11" s="278" t="s">
        <v>124</v>
      </c>
      <c r="D11" s="102" t="s">
        <v>125</v>
      </c>
      <c r="E11" s="79" t="s">
        <v>863</v>
      </c>
      <c r="F11" s="79">
        <v>10000</v>
      </c>
      <c r="G11" s="79" t="s">
        <v>864</v>
      </c>
      <c r="H11" s="279">
        <v>45064</v>
      </c>
      <c r="I11" s="1038"/>
      <c r="J11" s="1012"/>
    </row>
    <row r="12" spans="1:10" ht="27.95" customHeight="1">
      <c r="B12" s="1034"/>
      <c r="C12" s="278" t="s">
        <v>114</v>
      </c>
      <c r="D12" s="102" t="s">
        <v>115</v>
      </c>
      <c r="E12" s="79" t="s">
        <v>863</v>
      </c>
      <c r="F12" s="79">
        <v>8000</v>
      </c>
      <c r="G12" s="79" t="s">
        <v>864</v>
      </c>
      <c r="H12" s="279">
        <v>45252</v>
      </c>
      <c r="I12" s="1038"/>
      <c r="J12" s="1012"/>
    </row>
    <row r="13" spans="1:10" ht="27.95" customHeight="1">
      <c r="B13" s="1034"/>
      <c r="C13" s="278" t="s">
        <v>122</v>
      </c>
      <c r="D13" s="102" t="s">
        <v>123</v>
      </c>
      <c r="E13" s="79" t="s">
        <v>863</v>
      </c>
      <c r="F13" s="79">
        <v>8000</v>
      </c>
      <c r="G13" s="79" t="s">
        <v>864</v>
      </c>
      <c r="H13" s="279">
        <v>45252</v>
      </c>
      <c r="I13" s="1038"/>
      <c r="J13" s="1012"/>
    </row>
    <row r="14" spans="1:10" ht="27.95" customHeight="1">
      <c r="B14" s="1034"/>
      <c r="C14" s="278" t="s">
        <v>140</v>
      </c>
      <c r="D14" s="102" t="s">
        <v>141</v>
      </c>
      <c r="E14" s="79" t="s">
        <v>863</v>
      </c>
      <c r="F14" s="79">
        <v>1000</v>
      </c>
      <c r="G14" s="79" t="s">
        <v>864</v>
      </c>
      <c r="H14" s="279">
        <v>45188</v>
      </c>
      <c r="I14" s="1038"/>
      <c r="J14" s="1012"/>
    </row>
    <row r="15" spans="1:10" s="272" customFormat="1" ht="27.95" customHeight="1">
      <c r="B15" s="1034"/>
      <c r="C15" s="278" t="s">
        <v>870</v>
      </c>
      <c r="D15" s="102" t="s">
        <v>137</v>
      </c>
      <c r="E15" s="79" t="s">
        <v>863</v>
      </c>
      <c r="F15" s="79">
        <v>2000</v>
      </c>
      <c r="G15" s="79" t="s">
        <v>864</v>
      </c>
      <c r="H15" s="279">
        <v>44978</v>
      </c>
      <c r="I15" s="1038"/>
      <c r="J15" s="1012"/>
    </row>
    <row r="16" spans="1:10" ht="33" customHeight="1">
      <c r="B16" s="1034"/>
      <c r="C16" s="278" t="s">
        <v>130</v>
      </c>
      <c r="D16" s="102" t="s">
        <v>131</v>
      </c>
      <c r="E16" s="79" t="s">
        <v>863</v>
      </c>
      <c r="F16" s="79">
        <v>2000</v>
      </c>
      <c r="G16" s="79" t="s">
        <v>864</v>
      </c>
      <c r="H16" s="279">
        <v>45617</v>
      </c>
      <c r="I16" s="1038"/>
      <c r="J16" s="1012"/>
    </row>
    <row r="17" spans="2:257" ht="27.95" customHeight="1">
      <c r="B17" s="1034"/>
      <c r="C17" s="278" t="s">
        <v>128</v>
      </c>
      <c r="D17" s="102" t="s">
        <v>129</v>
      </c>
      <c r="E17" s="6" t="s">
        <v>863</v>
      </c>
      <c r="F17" s="6">
        <v>50</v>
      </c>
      <c r="G17" s="6" t="s">
        <v>864</v>
      </c>
      <c r="H17" s="277">
        <v>44497</v>
      </c>
      <c r="I17" s="1038"/>
      <c r="J17" s="1012"/>
    </row>
    <row r="18" spans="2:257" ht="27.95" customHeight="1">
      <c r="B18" s="1034"/>
      <c r="C18" s="280" t="s">
        <v>142</v>
      </c>
      <c r="D18" s="281" t="s">
        <v>143</v>
      </c>
      <c r="E18" s="79" t="s">
        <v>871</v>
      </c>
      <c r="F18" s="79">
        <v>1</v>
      </c>
      <c r="G18" s="79" t="s">
        <v>864</v>
      </c>
      <c r="H18" s="279">
        <v>45426</v>
      </c>
      <c r="I18" s="1038"/>
      <c r="J18" s="294"/>
    </row>
    <row r="19" spans="2:257" ht="42.95" customHeight="1">
      <c r="B19" s="1035" t="s">
        <v>202</v>
      </c>
      <c r="C19" s="278" t="s">
        <v>203</v>
      </c>
      <c r="D19" s="102" t="s">
        <v>204</v>
      </c>
      <c r="E19" s="79" t="s">
        <v>863</v>
      </c>
      <c r="F19" s="282">
        <v>10000</v>
      </c>
      <c r="G19" s="79" t="s">
        <v>864</v>
      </c>
      <c r="H19" s="283" t="s">
        <v>872</v>
      </c>
      <c r="I19" s="1007" t="s">
        <v>52</v>
      </c>
      <c r="J19" s="1010"/>
    </row>
    <row r="20" spans="2:257" s="28" customFormat="1" ht="27.95" customHeight="1">
      <c r="B20" s="1035"/>
      <c r="C20" s="73" t="s">
        <v>206</v>
      </c>
      <c r="D20" s="284" t="s">
        <v>207</v>
      </c>
      <c r="E20" s="79" t="s">
        <v>863</v>
      </c>
      <c r="F20" s="79">
        <v>10000</v>
      </c>
      <c r="G20" s="79" t="s">
        <v>864</v>
      </c>
      <c r="H20" s="279">
        <v>45258</v>
      </c>
      <c r="I20" s="1007"/>
      <c r="J20" s="1012"/>
    </row>
    <row r="21" spans="2:257" s="28" customFormat="1" ht="27.95" customHeight="1">
      <c r="B21" s="1019" t="s">
        <v>148</v>
      </c>
      <c r="C21" s="278" t="s">
        <v>162</v>
      </c>
      <c r="D21" s="102" t="s">
        <v>163</v>
      </c>
      <c r="E21" s="79" t="s">
        <v>863</v>
      </c>
      <c r="F21" s="79">
        <v>30000</v>
      </c>
      <c r="G21" s="79" t="s">
        <v>864</v>
      </c>
      <c r="H21" s="1025">
        <v>45257</v>
      </c>
      <c r="I21" s="1005" t="s">
        <v>865</v>
      </c>
      <c r="J21" s="1013"/>
    </row>
    <row r="22" spans="2:257" s="28" customFormat="1" ht="27.95" customHeight="1">
      <c r="B22" s="1020"/>
      <c r="C22" s="278" t="s">
        <v>160</v>
      </c>
      <c r="D22" s="102" t="s">
        <v>161</v>
      </c>
      <c r="E22" s="79" t="s">
        <v>863</v>
      </c>
      <c r="F22" s="79">
        <v>25000</v>
      </c>
      <c r="G22" s="79" t="s">
        <v>864</v>
      </c>
      <c r="H22" s="1026"/>
      <c r="I22" s="1005"/>
      <c r="J22" s="1014"/>
    </row>
    <row r="23" spans="2:257" s="28" customFormat="1" ht="27.95" customHeight="1">
      <c r="B23" s="1020"/>
      <c r="C23" s="280" t="s">
        <v>156</v>
      </c>
      <c r="D23" s="281" t="s">
        <v>157</v>
      </c>
      <c r="E23" s="79" t="s">
        <v>863</v>
      </c>
      <c r="F23" s="79">
        <v>25000</v>
      </c>
      <c r="G23" s="79" t="s">
        <v>864</v>
      </c>
      <c r="H23" s="1026"/>
      <c r="I23" s="1005"/>
      <c r="J23" s="1014"/>
    </row>
    <row r="24" spans="2:257" s="28" customFormat="1" ht="27.95" customHeight="1">
      <c r="B24" s="1020"/>
      <c r="C24" s="278" t="s">
        <v>166</v>
      </c>
      <c r="D24" s="102" t="s">
        <v>167</v>
      </c>
      <c r="E24" s="79" t="s">
        <v>863</v>
      </c>
      <c r="F24" s="79">
        <v>10000</v>
      </c>
      <c r="G24" s="79" t="s">
        <v>864</v>
      </c>
      <c r="H24" s="1026"/>
      <c r="I24" s="1005"/>
      <c r="J24" s="1014"/>
    </row>
    <row r="25" spans="2:257" s="28" customFormat="1" ht="27.95" customHeight="1">
      <c r="B25" s="1020"/>
      <c r="C25" s="278" t="s">
        <v>154</v>
      </c>
      <c r="D25" s="102" t="s">
        <v>155</v>
      </c>
      <c r="E25" s="79" t="s">
        <v>863</v>
      </c>
      <c r="F25" s="79">
        <v>10000</v>
      </c>
      <c r="G25" s="79" t="s">
        <v>864</v>
      </c>
      <c r="H25" s="1026"/>
      <c r="I25" s="1005"/>
      <c r="J25" s="1014"/>
    </row>
    <row r="26" spans="2:257" s="28" customFormat="1" ht="27.95" customHeight="1">
      <c r="B26" s="1020"/>
      <c r="C26" s="278" t="s">
        <v>149</v>
      </c>
      <c r="D26" s="102" t="s">
        <v>150</v>
      </c>
      <c r="E26" s="79" t="s">
        <v>863</v>
      </c>
      <c r="F26" s="79">
        <v>10000</v>
      </c>
      <c r="G26" s="79" t="s">
        <v>864</v>
      </c>
      <c r="H26" s="1026"/>
      <c r="I26" s="1005"/>
      <c r="J26" s="1014"/>
    </row>
    <row r="27" spans="2:257" s="28" customFormat="1" ht="27.95" customHeight="1">
      <c r="B27" s="1020"/>
      <c r="C27" s="278" t="s">
        <v>158</v>
      </c>
      <c r="D27" s="102" t="s">
        <v>159</v>
      </c>
      <c r="E27" s="79" t="s">
        <v>863</v>
      </c>
      <c r="F27" s="79">
        <v>10000</v>
      </c>
      <c r="G27" s="79" t="s">
        <v>864</v>
      </c>
      <c r="H27" s="1027"/>
      <c r="I27" s="1005"/>
      <c r="J27" s="1014"/>
    </row>
    <row r="28" spans="2:257" s="28" customFormat="1" ht="27.95" customHeight="1">
      <c r="B28" s="1020"/>
      <c r="C28" s="278" t="s">
        <v>178</v>
      </c>
      <c r="D28" s="102" t="s">
        <v>179</v>
      </c>
      <c r="E28" s="79" t="s">
        <v>863</v>
      </c>
      <c r="F28" s="79">
        <v>10000</v>
      </c>
      <c r="G28" s="79" t="s">
        <v>864</v>
      </c>
      <c r="H28" s="279">
        <v>45422</v>
      </c>
      <c r="I28" s="1005"/>
      <c r="J28" s="1014"/>
    </row>
    <row r="29" spans="2:257" s="28" customFormat="1" ht="27.95" customHeight="1">
      <c r="B29" s="1020"/>
      <c r="C29" s="278" t="s">
        <v>873</v>
      </c>
      <c r="D29" s="102" t="s">
        <v>169</v>
      </c>
      <c r="E29" s="79" t="s">
        <v>863</v>
      </c>
      <c r="F29" s="79">
        <v>15000</v>
      </c>
      <c r="G29" s="79" t="s">
        <v>864</v>
      </c>
      <c r="H29" s="285">
        <v>45257</v>
      </c>
      <c r="I29" s="1005"/>
      <c r="J29" s="295" t="s">
        <v>874</v>
      </c>
    </row>
    <row r="30" spans="2:257" s="28" customFormat="1" ht="207">
      <c r="B30" s="1020"/>
      <c r="C30" s="278" t="s">
        <v>176</v>
      </c>
      <c r="D30" s="102" t="s">
        <v>177</v>
      </c>
      <c r="E30" s="79" t="s">
        <v>875</v>
      </c>
      <c r="F30" s="79">
        <v>20</v>
      </c>
      <c r="G30" s="79" t="s">
        <v>864</v>
      </c>
      <c r="H30" s="279" t="s">
        <v>876</v>
      </c>
      <c r="I30" s="1005"/>
      <c r="J30" s="295">
        <v>4</v>
      </c>
      <c r="AB30"/>
      <c r="AC30"/>
      <c r="AD30"/>
      <c r="AE30"/>
      <c r="AF30"/>
      <c r="AG30"/>
      <c r="AH30"/>
      <c r="AI30"/>
      <c r="AJ30"/>
      <c r="AK30"/>
      <c r="AL30"/>
      <c r="AM30"/>
      <c r="AN30"/>
      <c r="AO30"/>
      <c r="AP30"/>
      <c r="AQ30"/>
      <c r="AR30"/>
      <c r="AS30"/>
      <c r="AT30"/>
      <c r="AU30"/>
      <c r="AV30"/>
      <c r="AW30"/>
      <c r="AX30"/>
      <c r="AY30"/>
      <c r="AZ30"/>
      <c r="BA30"/>
      <c r="BB30"/>
      <c r="BC30"/>
      <c r="BD30"/>
      <c r="BE30"/>
      <c r="BF30"/>
      <c r="BG30"/>
      <c r="BH30"/>
      <c r="BI30"/>
      <c r="BJ30"/>
      <c r="BK30"/>
      <c r="BL30"/>
      <c r="BM30"/>
      <c r="BN30"/>
      <c r="BO30"/>
      <c r="BP30"/>
      <c r="BQ30"/>
      <c r="BR30"/>
      <c r="BS30"/>
      <c r="BT30"/>
      <c r="BU30"/>
      <c r="BV30"/>
      <c r="BW30"/>
      <c r="BX30"/>
      <c r="BY30"/>
      <c r="BZ30"/>
      <c r="CA30"/>
      <c r="CB30"/>
      <c r="CC30"/>
      <c r="CD30"/>
      <c r="CE30"/>
      <c r="CF30"/>
      <c r="CG30"/>
      <c r="CH30"/>
      <c r="CI30"/>
      <c r="CJ30"/>
      <c r="CK30"/>
      <c r="CL30"/>
      <c r="CM30"/>
      <c r="CN30"/>
      <c r="CO30"/>
      <c r="CP30"/>
      <c r="CQ30"/>
      <c r="CR30"/>
      <c r="CS30"/>
      <c r="CT30"/>
      <c r="CU30"/>
      <c r="CV30"/>
      <c r="CW30"/>
      <c r="CX30"/>
      <c r="CY30"/>
      <c r="CZ30"/>
      <c r="DA30"/>
      <c r="DB30"/>
      <c r="DC30"/>
      <c r="DD30"/>
      <c r="DE30"/>
      <c r="DF30"/>
      <c r="DG30"/>
      <c r="DH30"/>
      <c r="DI30"/>
      <c r="DJ30"/>
      <c r="DK30"/>
      <c r="DL30"/>
      <c r="DM30"/>
      <c r="DN30"/>
      <c r="DO30"/>
      <c r="DP30"/>
      <c r="DQ30"/>
      <c r="DR30"/>
      <c r="DS30"/>
      <c r="DT30"/>
      <c r="DU30"/>
      <c r="DV30"/>
      <c r="DW30"/>
      <c r="DX30"/>
      <c r="DY30"/>
      <c r="DZ30"/>
      <c r="EA30"/>
      <c r="EB30"/>
      <c r="EC30"/>
      <c r="ED30"/>
      <c r="EE30"/>
      <c r="EF30"/>
      <c r="EG30"/>
      <c r="EH30"/>
      <c r="EI30"/>
      <c r="EJ30"/>
      <c r="EK30"/>
      <c r="EL30"/>
      <c r="EM30"/>
      <c r="EN30"/>
      <c r="EO30"/>
      <c r="EP30"/>
      <c r="EQ30"/>
      <c r="ER30"/>
      <c r="ES30"/>
      <c r="ET30"/>
      <c r="EU30"/>
      <c r="EV30"/>
      <c r="EW30"/>
      <c r="EX30"/>
      <c r="EY30"/>
      <c r="EZ30"/>
      <c r="FA30"/>
      <c r="FB30"/>
      <c r="FC30"/>
      <c r="FD30"/>
      <c r="FE30"/>
      <c r="FF30"/>
      <c r="FG30"/>
      <c r="FH30"/>
      <c r="FI30"/>
      <c r="FJ30"/>
      <c r="FK30"/>
      <c r="FL30"/>
      <c r="FM30"/>
      <c r="FN30"/>
      <c r="FO30"/>
      <c r="FP30"/>
      <c r="FQ30"/>
      <c r="FR30"/>
      <c r="FS30"/>
      <c r="FT30"/>
      <c r="FU30"/>
      <c r="FV30"/>
      <c r="FW30"/>
      <c r="FX30"/>
      <c r="FY30"/>
      <c r="FZ30"/>
      <c r="GA30"/>
      <c r="GB30"/>
      <c r="GC30"/>
      <c r="GD30"/>
      <c r="GE30"/>
      <c r="GF30"/>
      <c r="GG30"/>
      <c r="GH30"/>
      <c r="GI30"/>
      <c r="GJ30"/>
      <c r="GK30"/>
      <c r="GL30"/>
      <c r="GM30"/>
      <c r="GN30"/>
      <c r="GO30"/>
      <c r="GP30"/>
      <c r="GQ30"/>
      <c r="GR30"/>
      <c r="GS30"/>
      <c r="GT30"/>
      <c r="GU30"/>
      <c r="GV30"/>
      <c r="GW30"/>
      <c r="GX30"/>
      <c r="GY30"/>
      <c r="GZ30"/>
      <c r="HA30"/>
      <c r="HB30"/>
      <c r="HC30"/>
      <c r="HD30"/>
      <c r="HE30"/>
      <c r="HF30"/>
      <c r="HG30"/>
      <c r="HH30"/>
      <c r="HI30"/>
      <c r="HJ30"/>
      <c r="HK30"/>
      <c r="HL30"/>
      <c r="HM30"/>
      <c r="HN30"/>
      <c r="HO30"/>
      <c r="HP30"/>
      <c r="HQ30"/>
      <c r="HR30"/>
      <c r="HS30"/>
      <c r="HT30"/>
      <c r="HU30"/>
      <c r="HV30"/>
      <c r="HW30"/>
      <c r="HX30"/>
      <c r="HY30"/>
      <c r="HZ30"/>
      <c r="IA30"/>
      <c r="IB30"/>
      <c r="IC30"/>
      <c r="ID30"/>
      <c r="IE30"/>
      <c r="IF30"/>
      <c r="IG30"/>
      <c r="IH30"/>
      <c r="II30"/>
      <c r="IJ30"/>
      <c r="IK30"/>
      <c r="IL30"/>
      <c r="IM30"/>
      <c r="IN30"/>
      <c r="IO30"/>
      <c r="IP30"/>
      <c r="IQ30"/>
      <c r="IR30"/>
      <c r="IS30"/>
      <c r="IT30"/>
      <c r="IU30"/>
      <c r="IV30"/>
      <c r="IW30"/>
    </row>
    <row r="31" spans="2:257" s="28" customFormat="1" ht="27.95" customHeight="1">
      <c r="B31" s="1020"/>
      <c r="C31" s="278" t="s">
        <v>192</v>
      </c>
      <c r="D31" s="102" t="s">
        <v>193</v>
      </c>
      <c r="E31" s="79" t="s">
        <v>864</v>
      </c>
      <c r="F31" s="79" t="s">
        <v>864</v>
      </c>
      <c r="G31" s="79" t="s">
        <v>864</v>
      </c>
      <c r="H31" s="79" t="s">
        <v>864</v>
      </c>
      <c r="I31" s="1005" t="s">
        <v>864</v>
      </c>
      <c r="J31" s="1015">
        <v>10</v>
      </c>
    </row>
    <row r="32" spans="2:257" s="28" customFormat="1" ht="27.95" customHeight="1">
      <c r="B32" s="1020"/>
      <c r="C32" s="278" t="s">
        <v>180</v>
      </c>
      <c r="D32" s="102" t="s">
        <v>181</v>
      </c>
      <c r="E32" s="79" t="s">
        <v>864</v>
      </c>
      <c r="F32" s="79" t="s">
        <v>864</v>
      </c>
      <c r="G32" s="79" t="s">
        <v>864</v>
      </c>
      <c r="H32" s="79" t="s">
        <v>864</v>
      </c>
      <c r="I32" s="1006"/>
      <c r="J32" s="1012"/>
    </row>
    <row r="33" spans="2:257" s="28" customFormat="1" ht="27.95" customHeight="1">
      <c r="B33" s="1020"/>
      <c r="C33" s="278" t="s">
        <v>200</v>
      </c>
      <c r="D33" s="102" t="s">
        <v>201</v>
      </c>
      <c r="E33" s="79" t="s">
        <v>864</v>
      </c>
      <c r="F33" s="79" t="s">
        <v>864</v>
      </c>
      <c r="G33" s="79" t="s">
        <v>864</v>
      </c>
      <c r="H33" s="79" t="s">
        <v>864</v>
      </c>
      <c r="I33" s="1006"/>
      <c r="J33" s="1012"/>
    </row>
    <row r="34" spans="2:257" s="28" customFormat="1" ht="27.95" customHeight="1">
      <c r="B34" s="1020"/>
      <c r="C34" s="278" t="s">
        <v>198</v>
      </c>
      <c r="D34" s="102" t="s">
        <v>199</v>
      </c>
      <c r="E34" s="79" t="s">
        <v>864</v>
      </c>
      <c r="F34" s="79" t="s">
        <v>864</v>
      </c>
      <c r="G34" s="79" t="s">
        <v>864</v>
      </c>
      <c r="H34" s="79" t="s">
        <v>864</v>
      </c>
      <c r="I34" s="1006"/>
      <c r="J34" s="1012"/>
    </row>
    <row r="35" spans="2:257" s="28" customFormat="1" ht="27.95" customHeight="1">
      <c r="B35" s="1020"/>
      <c r="C35" s="278" t="s">
        <v>182</v>
      </c>
      <c r="D35" s="102" t="s">
        <v>183</v>
      </c>
      <c r="E35" s="79" t="s">
        <v>864</v>
      </c>
      <c r="F35" s="79" t="s">
        <v>864</v>
      </c>
      <c r="G35" s="79" t="s">
        <v>864</v>
      </c>
      <c r="H35" s="79" t="s">
        <v>864</v>
      </c>
      <c r="I35" s="1006"/>
      <c r="J35" s="1011"/>
    </row>
    <row r="36" spans="2:257" s="28" customFormat="1" ht="27.95" customHeight="1">
      <c r="B36" s="1021" t="s">
        <v>90</v>
      </c>
      <c r="C36" s="278" t="s">
        <v>91</v>
      </c>
      <c r="D36" s="102" t="s">
        <v>92</v>
      </c>
      <c r="E36" s="79" t="s">
        <v>863</v>
      </c>
      <c r="F36" s="79">
        <v>3200</v>
      </c>
      <c r="G36" s="79" t="s">
        <v>864</v>
      </c>
      <c r="H36" s="286">
        <v>45394</v>
      </c>
      <c r="I36" s="1005" t="s">
        <v>865</v>
      </c>
      <c r="J36" s="1016"/>
    </row>
    <row r="37" spans="2:257" s="28" customFormat="1" ht="27.95" customHeight="1">
      <c r="B37" s="1021"/>
      <c r="C37" s="280" t="s">
        <v>100</v>
      </c>
      <c r="D37" s="281" t="s">
        <v>101</v>
      </c>
      <c r="E37" s="79" t="s">
        <v>863</v>
      </c>
      <c r="F37" s="287">
        <v>100</v>
      </c>
      <c r="G37" s="287" t="s">
        <v>864</v>
      </c>
      <c r="H37" s="288">
        <v>45531</v>
      </c>
      <c r="I37" s="1005"/>
      <c r="J37" s="1017"/>
    </row>
    <row r="38" spans="2:257" s="28" customFormat="1" ht="27.95" customHeight="1">
      <c r="B38" s="1022" t="s">
        <v>44</v>
      </c>
      <c r="C38" s="278" t="s">
        <v>50</v>
      </c>
      <c r="D38" s="102" t="s">
        <v>51</v>
      </c>
      <c r="E38" s="79" t="s">
        <v>863</v>
      </c>
      <c r="F38" s="79">
        <v>32000</v>
      </c>
      <c r="G38" s="79" t="s">
        <v>864</v>
      </c>
      <c r="H38" s="1025">
        <v>45261</v>
      </c>
      <c r="I38" s="1007" t="s">
        <v>865</v>
      </c>
      <c r="J38" s="1010"/>
      <c r="AB38"/>
      <c r="AC38"/>
      <c r="AD38"/>
      <c r="AE38"/>
      <c r="AF38"/>
      <c r="AG38"/>
      <c r="AH38"/>
      <c r="AI38"/>
      <c r="AJ38"/>
      <c r="AK38"/>
      <c r="AL38"/>
      <c r="AM38"/>
      <c r="AN38"/>
      <c r="AO38"/>
      <c r="AP38"/>
      <c r="AQ38"/>
      <c r="AR38"/>
      <c r="AS38"/>
      <c r="AT38"/>
      <c r="AU38"/>
      <c r="AV38"/>
      <c r="AW38"/>
      <c r="AX38"/>
      <c r="AY38"/>
      <c r="AZ38"/>
      <c r="BA38"/>
      <c r="BB38"/>
      <c r="BC38"/>
      <c r="BD38"/>
      <c r="BE38"/>
      <c r="BF38"/>
      <c r="BG38"/>
      <c r="BH38"/>
      <c r="BI38"/>
      <c r="BJ38"/>
      <c r="BK38"/>
      <c r="BL38"/>
      <c r="BM38"/>
      <c r="BN38"/>
      <c r="BO38"/>
      <c r="BP38"/>
      <c r="BQ38"/>
      <c r="BR38"/>
      <c r="BS38"/>
      <c r="BT38"/>
      <c r="BU38"/>
      <c r="BV38"/>
      <c r="BW38"/>
      <c r="BX38"/>
      <c r="BY38"/>
      <c r="BZ38"/>
      <c r="CA38"/>
      <c r="CB38"/>
      <c r="CC38"/>
      <c r="CD38"/>
      <c r="CE38"/>
      <c r="CF38"/>
      <c r="CG38"/>
      <c r="CH38"/>
      <c r="CI38"/>
      <c r="CJ38"/>
      <c r="CK38"/>
      <c r="CL38"/>
      <c r="CM38"/>
      <c r="CN38"/>
      <c r="CO38"/>
      <c r="CP38"/>
      <c r="CQ38"/>
      <c r="CR38"/>
      <c r="CS38"/>
      <c r="CT38"/>
      <c r="CU38"/>
      <c r="CV38"/>
      <c r="CW38"/>
      <c r="CX38"/>
      <c r="CY38"/>
      <c r="CZ38"/>
      <c r="DA38"/>
      <c r="DB38"/>
      <c r="DC38"/>
      <c r="DD38"/>
      <c r="DE38"/>
      <c r="DF38"/>
      <c r="DG38"/>
      <c r="DH38"/>
      <c r="DI38"/>
      <c r="DJ38"/>
      <c r="DK38"/>
      <c r="DL38"/>
      <c r="DM38"/>
      <c r="DN38"/>
      <c r="DO38"/>
      <c r="DP38"/>
      <c r="DQ38"/>
      <c r="DR38"/>
      <c r="DS38"/>
      <c r="DT38"/>
      <c r="DU38"/>
      <c r="DV38"/>
      <c r="DW38"/>
      <c r="DX38"/>
      <c r="DY38"/>
      <c r="DZ38"/>
      <c r="EA38"/>
      <c r="EB38"/>
      <c r="EC38"/>
      <c r="ED38"/>
      <c r="EE38"/>
      <c r="EF38"/>
      <c r="EG38"/>
      <c r="EH38"/>
      <c r="EI38"/>
      <c r="EJ38"/>
      <c r="EK38"/>
      <c r="EL38"/>
      <c r="EM38"/>
      <c r="EN38"/>
      <c r="EO38"/>
      <c r="EP38"/>
      <c r="EQ38"/>
      <c r="ER38"/>
      <c r="ES38"/>
      <c r="ET38"/>
      <c r="EU38"/>
      <c r="EV38"/>
      <c r="EW38"/>
      <c r="EX38"/>
      <c r="EY38"/>
      <c r="EZ38"/>
      <c r="FA38"/>
      <c r="FB38"/>
      <c r="FC38"/>
      <c r="FD38"/>
      <c r="FE38"/>
      <c r="FF38"/>
      <c r="FG38"/>
      <c r="FH38"/>
      <c r="FI38"/>
      <c r="FJ38"/>
      <c r="FK38"/>
      <c r="FL38"/>
      <c r="FM38"/>
      <c r="FN38"/>
      <c r="FO38"/>
      <c r="FP38"/>
      <c r="FQ38"/>
      <c r="FR38"/>
      <c r="FS38"/>
      <c r="FT38"/>
      <c r="FU38"/>
      <c r="FV38"/>
      <c r="FW38"/>
      <c r="FX38"/>
      <c r="FY38"/>
      <c r="FZ38"/>
      <c r="GA38"/>
      <c r="GB38"/>
      <c r="GC38"/>
      <c r="GD38"/>
      <c r="GE38"/>
      <c r="GF38"/>
      <c r="GG38"/>
      <c r="GH38"/>
      <c r="GI38"/>
      <c r="GJ38"/>
      <c r="GK38"/>
      <c r="GL38"/>
      <c r="GM38"/>
      <c r="GN38"/>
      <c r="GO38"/>
      <c r="GP38"/>
      <c r="GQ38"/>
      <c r="GR38"/>
      <c r="GS38"/>
      <c r="GT38"/>
      <c r="GU38"/>
      <c r="GV38"/>
      <c r="GW38"/>
      <c r="GX38"/>
      <c r="GY38"/>
      <c r="GZ38"/>
      <c r="HA38"/>
      <c r="HB38"/>
      <c r="HC38"/>
      <c r="HD38"/>
      <c r="HE38"/>
      <c r="HF38"/>
      <c r="HG38"/>
      <c r="HH38"/>
      <c r="HI38"/>
      <c r="HJ38"/>
      <c r="HK38"/>
      <c r="HL38"/>
      <c r="HM38"/>
      <c r="HN38"/>
      <c r="HO38"/>
      <c r="HP38"/>
      <c r="HQ38"/>
      <c r="HR38"/>
      <c r="HS38"/>
      <c r="HT38"/>
      <c r="HU38"/>
      <c r="HV38"/>
      <c r="HW38"/>
      <c r="HX38"/>
      <c r="HY38"/>
      <c r="HZ38"/>
      <c r="IA38"/>
      <c r="IB38"/>
      <c r="IC38"/>
      <c r="ID38"/>
      <c r="IE38"/>
      <c r="IF38"/>
      <c r="IG38"/>
      <c r="IH38"/>
      <c r="II38"/>
      <c r="IJ38"/>
      <c r="IK38"/>
      <c r="IL38"/>
      <c r="IM38"/>
      <c r="IN38"/>
      <c r="IO38"/>
      <c r="IP38"/>
      <c r="IQ38"/>
      <c r="IR38"/>
      <c r="IS38"/>
      <c r="IT38"/>
      <c r="IU38"/>
      <c r="IV38"/>
      <c r="IW38"/>
    </row>
    <row r="39" spans="2:257" s="28" customFormat="1" ht="27.95" customHeight="1">
      <c r="B39" s="1023"/>
      <c r="C39" s="278" t="s">
        <v>58</v>
      </c>
      <c r="D39" s="102" t="s">
        <v>59</v>
      </c>
      <c r="E39" s="79" t="s">
        <v>863</v>
      </c>
      <c r="F39" s="79">
        <v>16000</v>
      </c>
      <c r="G39" s="79" t="s">
        <v>864</v>
      </c>
      <c r="H39" s="1026"/>
      <c r="I39" s="1007"/>
      <c r="J39" s="1012"/>
      <c r="AB39"/>
      <c r="AC39"/>
      <c r="AD39"/>
      <c r="AE39"/>
      <c r="AF39"/>
      <c r="AG39"/>
      <c r="AH39"/>
      <c r="AI39"/>
      <c r="AJ39"/>
      <c r="AK39"/>
      <c r="AL39"/>
      <c r="AM39"/>
      <c r="AN39"/>
      <c r="AO39"/>
      <c r="AP39"/>
      <c r="AQ39"/>
      <c r="AR39"/>
      <c r="AS39"/>
      <c r="AT39"/>
      <c r="AU39"/>
      <c r="AV39"/>
      <c r="AW39"/>
      <c r="AX39"/>
      <c r="AY39"/>
      <c r="AZ39"/>
      <c r="BA39"/>
      <c r="BB39"/>
      <c r="BC39"/>
      <c r="BD39"/>
      <c r="BE39"/>
      <c r="BF39"/>
      <c r="BG39"/>
      <c r="BH39"/>
      <c r="BI39"/>
      <c r="BJ39"/>
      <c r="BK39"/>
      <c r="BL39"/>
      <c r="BM39"/>
      <c r="BN39"/>
      <c r="BO39"/>
      <c r="BP39"/>
      <c r="BQ39"/>
      <c r="BR39"/>
      <c r="BS39"/>
      <c r="BT39"/>
      <c r="BU39"/>
      <c r="BV39"/>
      <c r="BW39"/>
      <c r="BX39"/>
      <c r="BY39"/>
      <c r="BZ39"/>
      <c r="CA39"/>
      <c r="CB39"/>
      <c r="CC39"/>
      <c r="CD39"/>
      <c r="CE39"/>
      <c r="CF39"/>
      <c r="CG39"/>
      <c r="CH39"/>
      <c r="CI39"/>
      <c r="CJ39"/>
      <c r="CK39"/>
      <c r="CL39"/>
      <c r="CM39"/>
      <c r="CN39"/>
      <c r="CO39"/>
      <c r="CP39"/>
      <c r="CQ39"/>
      <c r="CR39"/>
      <c r="CS39"/>
      <c r="CT39"/>
      <c r="CU39"/>
      <c r="CV39"/>
      <c r="CW39"/>
      <c r="CX39"/>
      <c r="CY39"/>
      <c r="CZ39"/>
      <c r="DA39"/>
      <c r="DB39"/>
      <c r="DC39"/>
      <c r="DD39"/>
      <c r="DE39"/>
      <c r="DF39"/>
      <c r="DG39"/>
      <c r="DH39"/>
      <c r="DI39"/>
      <c r="DJ39"/>
      <c r="DK39"/>
      <c r="DL39"/>
      <c r="DM39"/>
      <c r="DN39"/>
      <c r="DO39"/>
      <c r="DP39"/>
      <c r="DQ39"/>
      <c r="DR39"/>
      <c r="DS39"/>
      <c r="DT39"/>
      <c r="DU39"/>
      <c r="DV39"/>
      <c r="DW39"/>
      <c r="DX39"/>
      <c r="DY39"/>
      <c r="DZ39"/>
      <c r="EA39"/>
      <c r="EB39"/>
      <c r="EC39"/>
      <c r="ED39"/>
      <c r="EE39"/>
      <c r="EF39"/>
      <c r="EG39"/>
      <c r="EH39"/>
      <c r="EI39"/>
      <c r="EJ39"/>
      <c r="EK39"/>
      <c r="EL39"/>
      <c r="EM39"/>
      <c r="EN39"/>
      <c r="EO39"/>
      <c r="EP39"/>
      <c r="EQ39"/>
      <c r="ER39"/>
      <c r="ES39"/>
      <c r="ET39"/>
      <c r="EU39"/>
      <c r="EV39"/>
      <c r="EW39"/>
      <c r="EX39"/>
      <c r="EY39"/>
      <c r="EZ39"/>
      <c r="FA39"/>
      <c r="FB39"/>
      <c r="FC39"/>
      <c r="FD39"/>
      <c r="FE39"/>
      <c r="FF39"/>
      <c r="FG39"/>
      <c r="FH39"/>
      <c r="FI39"/>
      <c r="FJ39"/>
      <c r="FK39"/>
      <c r="FL39"/>
      <c r="FM39"/>
      <c r="FN39"/>
      <c r="FO39"/>
      <c r="FP39"/>
      <c r="FQ39"/>
      <c r="FR39"/>
      <c r="FS39"/>
      <c r="FT39"/>
      <c r="FU39"/>
      <c r="FV39"/>
      <c r="FW39"/>
      <c r="FX39"/>
      <c r="FY39"/>
      <c r="FZ39"/>
      <c r="GA39"/>
      <c r="GB39"/>
      <c r="GC39"/>
      <c r="GD39"/>
      <c r="GE39"/>
      <c r="GF39"/>
      <c r="GG39"/>
      <c r="GH39"/>
      <c r="GI39"/>
      <c r="GJ39"/>
      <c r="GK39"/>
      <c r="GL39"/>
      <c r="GM39"/>
      <c r="GN39"/>
      <c r="GO39"/>
      <c r="GP39"/>
      <c r="GQ39"/>
      <c r="GR39"/>
      <c r="GS39"/>
      <c r="GT39"/>
      <c r="GU39"/>
      <c r="GV39"/>
      <c r="GW39"/>
      <c r="GX39"/>
      <c r="GY39"/>
      <c r="GZ39"/>
      <c r="HA39"/>
      <c r="HB39"/>
      <c r="HC39"/>
      <c r="HD39"/>
      <c r="HE39"/>
      <c r="HF39"/>
      <c r="HG39"/>
      <c r="HH39"/>
      <c r="HI39"/>
      <c r="HJ39"/>
      <c r="HK39"/>
      <c r="HL39"/>
      <c r="HM39"/>
      <c r="HN39"/>
      <c r="HO39"/>
      <c r="HP39"/>
      <c r="HQ39"/>
      <c r="HR39"/>
      <c r="HS39"/>
      <c r="HT39"/>
      <c r="HU39"/>
      <c r="HV39"/>
      <c r="HW39"/>
      <c r="HX39"/>
      <c r="HY39"/>
      <c r="HZ39"/>
      <c r="IA39"/>
      <c r="IB39"/>
      <c r="IC39"/>
      <c r="ID39"/>
      <c r="IE39"/>
      <c r="IF39"/>
      <c r="IG39"/>
      <c r="IH39"/>
      <c r="II39"/>
      <c r="IJ39"/>
      <c r="IK39"/>
      <c r="IL39"/>
      <c r="IM39"/>
      <c r="IN39"/>
      <c r="IO39"/>
      <c r="IP39"/>
      <c r="IQ39"/>
      <c r="IR39"/>
      <c r="IS39"/>
      <c r="IT39"/>
      <c r="IU39"/>
      <c r="IV39"/>
      <c r="IW39"/>
    </row>
    <row r="40" spans="2:257" s="28" customFormat="1" ht="27.95" customHeight="1">
      <c r="B40" s="1023"/>
      <c r="C40" s="278" t="s">
        <v>88</v>
      </c>
      <c r="D40" s="102" t="s">
        <v>89</v>
      </c>
      <c r="E40" s="79" t="s">
        <v>863</v>
      </c>
      <c r="F40" s="79">
        <v>13000</v>
      </c>
      <c r="G40" s="79" t="s">
        <v>864</v>
      </c>
      <c r="H40" s="1026"/>
      <c r="I40" s="1007"/>
      <c r="J40" s="1012"/>
      <c r="AB40"/>
      <c r="AC40"/>
      <c r="AD40"/>
      <c r="AE40"/>
      <c r="AF40"/>
      <c r="AG40"/>
      <c r="AH40"/>
      <c r="AI40"/>
      <c r="AJ40"/>
      <c r="AK40"/>
      <c r="AL40"/>
      <c r="AM40"/>
      <c r="AN40"/>
      <c r="AO40"/>
      <c r="AP40"/>
      <c r="AQ40"/>
      <c r="AR40"/>
      <c r="AS40"/>
      <c r="AT40"/>
      <c r="AU40"/>
      <c r="AV40"/>
      <c r="AW40"/>
      <c r="AX40"/>
      <c r="AY40"/>
      <c r="AZ40"/>
      <c r="BA40"/>
      <c r="BB40"/>
      <c r="BC40"/>
      <c r="BD40"/>
      <c r="BE40"/>
      <c r="BF40"/>
      <c r="BG40"/>
      <c r="BH40"/>
      <c r="BI40"/>
      <c r="BJ40"/>
      <c r="BK40"/>
      <c r="BL40"/>
      <c r="BM40"/>
      <c r="BN40"/>
      <c r="BO40"/>
      <c r="BP40"/>
      <c r="BQ40"/>
      <c r="BR40"/>
      <c r="BS40"/>
      <c r="BT40"/>
      <c r="BU40"/>
      <c r="BV40"/>
      <c r="BW40"/>
      <c r="BX40"/>
      <c r="BY40"/>
      <c r="BZ40"/>
      <c r="CA40"/>
      <c r="CB40"/>
      <c r="CC40"/>
      <c r="CD40"/>
      <c r="CE40"/>
      <c r="CF40"/>
      <c r="CG40"/>
      <c r="CH40"/>
      <c r="CI40"/>
      <c r="CJ40"/>
      <c r="CK40"/>
      <c r="CL40"/>
      <c r="CM40"/>
      <c r="CN40"/>
      <c r="CO40"/>
      <c r="CP40"/>
      <c r="CQ40"/>
      <c r="CR40"/>
      <c r="CS40"/>
      <c r="CT40"/>
      <c r="CU40"/>
      <c r="CV40"/>
      <c r="CW40"/>
      <c r="CX40"/>
      <c r="CY40"/>
      <c r="CZ40"/>
      <c r="DA40"/>
      <c r="DB40"/>
      <c r="DC40"/>
      <c r="DD40"/>
      <c r="DE40"/>
      <c r="DF40"/>
      <c r="DG40"/>
      <c r="DH40"/>
      <c r="DI40"/>
      <c r="DJ40"/>
      <c r="DK40"/>
      <c r="DL40"/>
      <c r="DM40"/>
      <c r="DN40"/>
      <c r="DO40"/>
      <c r="DP40"/>
      <c r="DQ40"/>
      <c r="DR40"/>
      <c r="DS40"/>
      <c r="DT40"/>
      <c r="DU40"/>
      <c r="DV40"/>
      <c r="DW40"/>
      <c r="DX40"/>
      <c r="DY40"/>
      <c r="DZ40"/>
      <c r="EA40"/>
      <c r="EB40"/>
      <c r="EC40"/>
      <c r="ED40"/>
      <c r="EE40"/>
      <c r="EF40"/>
      <c r="EG40"/>
      <c r="EH40"/>
      <c r="EI40"/>
      <c r="EJ40"/>
      <c r="EK40"/>
      <c r="EL40"/>
      <c r="EM40"/>
      <c r="EN40"/>
      <c r="EO40"/>
      <c r="EP40"/>
      <c r="EQ40"/>
      <c r="ER40"/>
      <c r="ES40"/>
      <c r="ET40"/>
      <c r="EU40"/>
      <c r="EV40"/>
      <c r="EW40"/>
      <c r="EX40"/>
      <c r="EY40"/>
      <c r="EZ40"/>
      <c r="FA40"/>
      <c r="FB40"/>
      <c r="FC40"/>
      <c r="FD40"/>
      <c r="FE40"/>
      <c r="FF40"/>
      <c r="FG40"/>
      <c r="FH40"/>
      <c r="FI40"/>
      <c r="FJ40"/>
      <c r="FK40"/>
      <c r="FL40"/>
      <c r="FM40"/>
      <c r="FN40"/>
      <c r="FO40"/>
      <c r="FP40"/>
      <c r="FQ40"/>
      <c r="FR40"/>
      <c r="FS40"/>
      <c r="FT40"/>
      <c r="FU40"/>
      <c r="FV40"/>
      <c r="FW40"/>
      <c r="FX40"/>
      <c r="FY40"/>
      <c r="FZ40"/>
      <c r="GA40"/>
      <c r="GB40"/>
      <c r="GC40"/>
      <c r="GD40"/>
      <c r="GE40"/>
      <c r="GF40"/>
      <c r="GG40"/>
      <c r="GH40"/>
      <c r="GI40"/>
      <c r="GJ40"/>
      <c r="GK40"/>
      <c r="GL40"/>
      <c r="GM40"/>
      <c r="GN40"/>
      <c r="GO40"/>
      <c r="GP40"/>
      <c r="GQ40"/>
      <c r="GR40"/>
      <c r="GS40"/>
      <c r="GT40"/>
      <c r="GU40"/>
      <c r="GV40"/>
      <c r="GW40"/>
      <c r="GX40"/>
      <c r="GY40"/>
      <c r="GZ40"/>
      <c r="HA40"/>
      <c r="HB40"/>
      <c r="HC40"/>
      <c r="HD40"/>
      <c r="HE40"/>
      <c r="HF40"/>
      <c r="HG40"/>
      <c r="HH40"/>
      <c r="HI40"/>
      <c r="HJ40"/>
      <c r="HK40"/>
      <c r="HL40"/>
      <c r="HM40"/>
      <c r="HN40"/>
      <c r="HO40"/>
      <c r="HP40"/>
      <c r="HQ40"/>
      <c r="HR40"/>
      <c r="HS40"/>
      <c r="HT40"/>
      <c r="HU40"/>
      <c r="HV40"/>
      <c r="HW40"/>
      <c r="HX40"/>
      <c r="HY40"/>
      <c r="HZ40"/>
      <c r="IA40"/>
      <c r="IB40"/>
      <c r="IC40"/>
      <c r="ID40"/>
      <c r="IE40"/>
      <c r="IF40"/>
      <c r="IG40"/>
      <c r="IH40"/>
      <c r="II40"/>
      <c r="IJ40"/>
      <c r="IK40"/>
      <c r="IL40"/>
      <c r="IM40"/>
      <c r="IN40"/>
      <c r="IO40"/>
      <c r="IP40"/>
      <c r="IQ40"/>
      <c r="IR40"/>
      <c r="IS40"/>
      <c r="IT40"/>
      <c r="IU40"/>
      <c r="IV40"/>
      <c r="IW40"/>
    </row>
    <row r="41" spans="2:257" ht="27.95" customHeight="1">
      <c r="B41" s="1023"/>
      <c r="C41" s="278" t="s">
        <v>56</v>
      </c>
      <c r="D41" s="102" t="s">
        <v>57</v>
      </c>
      <c r="E41" s="79" t="s">
        <v>863</v>
      </c>
      <c r="F41" s="79">
        <v>10000</v>
      </c>
      <c r="G41" s="79" t="s">
        <v>864</v>
      </c>
      <c r="H41" s="1026"/>
      <c r="I41" s="1007"/>
      <c r="J41" s="1012"/>
    </row>
    <row r="42" spans="2:257" ht="27.95" customHeight="1">
      <c r="B42" s="1023"/>
      <c r="C42" s="278" t="s">
        <v>318</v>
      </c>
      <c r="D42" s="102" t="s">
        <v>67</v>
      </c>
      <c r="E42" s="79" t="s">
        <v>863</v>
      </c>
      <c r="F42" s="79">
        <v>8000</v>
      </c>
      <c r="G42" s="79" t="s">
        <v>864</v>
      </c>
      <c r="H42" s="1026"/>
      <c r="I42" s="1007"/>
      <c r="J42" s="1012"/>
    </row>
    <row r="43" spans="2:257" ht="27.95" customHeight="1">
      <c r="B43" s="1023"/>
      <c r="C43" s="278" t="s">
        <v>62</v>
      </c>
      <c r="D43" s="102" t="s">
        <v>63</v>
      </c>
      <c r="E43" s="79" t="s">
        <v>863</v>
      </c>
      <c r="F43" s="79">
        <v>6000</v>
      </c>
      <c r="G43" s="79" t="s">
        <v>864</v>
      </c>
      <c r="H43" s="1026"/>
      <c r="I43" s="1007"/>
      <c r="J43" s="1012"/>
    </row>
    <row r="44" spans="2:257" ht="27.95" customHeight="1">
      <c r="B44" s="1023"/>
      <c r="C44" s="278" t="s">
        <v>302</v>
      </c>
      <c r="D44" s="102" t="s">
        <v>69</v>
      </c>
      <c r="E44" s="79" t="s">
        <v>863</v>
      </c>
      <c r="F44" s="79">
        <v>4000</v>
      </c>
      <c r="G44" s="79" t="s">
        <v>864</v>
      </c>
      <c r="H44" s="1026"/>
      <c r="I44" s="1007"/>
      <c r="J44" s="1012"/>
    </row>
    <row r="45" spans="2:257" ht="27.95" customHeight="1">
      <c r="B45" s="1023"/>
      <c r="C45" s="278" t="s">
        <v>75</v>
      </c>
      <c r="D45" s="102" t="s">
        <v>76</v>
      </c>
      <c r="E45" s="79" t="s">
        <v>863</v>
      </c>
      <c r="F45" s="79">
        <v>3000</v>
      </c>
      <c r="G45" s="79" t="s">
        <v>864</v>
      </c>
      <c r="H45" s="1027"/>
      <c r="I45" s="1008"/>
      <c r="J45" s="1012"/>
    </row>
    <row r="46" spans="2:257" ht="27.95" customHeight="1">
      <c r="B46" s="1023"/>
      <c r="C46" s="280" t="s">
        <v>85</v>
      </c>
      <c r="D46" s="281" t="s">
        <v>86</v>
      </c>
      <c r="E46" s="40" t="s">
        <v>863</v>
      </c>
      <c r="F46" s="40">
        <v>2800</v>
      </c>
      <c r="G46" s="40" t="s">
        <v>864</v>
      </c>
      <c r="H46" s="1025">
        <v>45394</v>
      </c>
      <c r="I46" s="1008"/>
      <c r="J46" s="1012"/>
    </row>
    <row r="47" spans="2:257" ht="27.95" customHeight="1">
      <c r="B47" s="1024"/>
      <c r="C47" s="289" t="s">
        <v>71</v>
      </c>
      <c r="D47" s="290" t="s">
        <v>72</v>
      </c>
      <c r="E47" s="291" t="s">
        <v>863</v>
      </c>
      <c r="F47" s="291">
        <v>2000</v>
      </c>
      <c r="G47" s="291" t="s">
        <v>864</v>
      </c>
      <c r="H47" s="1028"/>
      <c r="I47" s="1009"/>
      <c r="J47" s="1018"/>
    </row>
  </sheetData>
  <mergeCells count="25">
    <mergeCell ref="A1:C1"/>
    <mergeCell ref="B2:J2"/>
    <mergeCell ref="B4:B5"/>
    <mergeCell ref="B6:B18"/>
    <mergeCell ref="B19:B20"/>
    <mergeCell ref="I4:I5"/>
    <mergeCell ref="I6:I18"/>
    <mergeCell ref="I19:I20"/>
    <mergeCell ref="B21:B35"/>
    <mergeCell ref="B36:B37"/>
    <mergeCell ref="B38:B47"/>
    <mergeCell ref="H21:H27"/>
    <mergeCell ref="H38:H45"/>
    <mergeCell ref="H46:H47"/>
    <mergeCell ref="I21:I30"/>
    <mergeCell ref="I31:I35"/>
    <mergeCell ref="I36:I37"/>
    <mergeCell ref="I38:I47"/>
    <mergeCell ref="J4:J5"/>
    <mergeCell ref="J6:J17"/>
    <mergeCell ref="J19:J20"/>
    <mergeCell ref="J21:J28"/>
    <mergeCell ref="J31:J35"/>
    <mergeCell ref="J36:J37"/>
    <mergeCell ref="J38:J47"/>
  </mergeCells>
  <phoneticPr fontId="106" type="noConversion"/>
  <hyperlinks>
    <hyperlink ref="A1" location="'目录'!A1" display="点此返回目录"/>
  </hyperlinks>
  <pageMargins left="0.75" right="0.75" top="1" bottom="1" header="0.5" footer="0.5"/>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A1:Z21"/>
  <sheetViews>
    <sheetView topLeftCell="C5" zoomScale="55" zoomScaleNormal="55" workbookViewId="0">
      <selection activeCell="I15" sqref="I15"/>
    </sheetView>
  </sheetViews>
  <sheetFormatPr defaultColWidth="9" defaultRowHeight="14.25"/>
  <cols>
    <col min="1" max="1" width="10.875" style="92" customWidth="1"/>
    <col min="2" max="2" width="50.875" style="228" customWidth="1"/>
    <col min="3" max="3" width="69.75" style="229" customWidth="1"/>
    <col min="4" max="4" width="77.375" style="229" customWidth="1"/>
    <col min="5" max="5" width="52.5" style="229" customWidth="1"/>
    <col min="6" max="6" width="63.375" style="229" customWidth="1"/>
    <col min="7" max="7" width="95.5" style="229" customWidth="1"/>
    <col min="8" max="26" width="9" style="92"/>
  </cols>
  <sheetData>
    <row r="1" spans="2:7" ht="33" customHeight="1">
      <c r="B1" s="230" t="s">
        <v>33</v>
      </c>
      <c r="C1" s="231"/>
    </row>
    <row r="2" spans="2:7" s="92" customFormat="1" ht="75.75" customHeight="1">
      <c r="B2" s="232" t="s">
        <v>877</v>
      </c>
      <c r="C2" s="233"/>
      <c r="D2" s="234"/>
      <c r="E2" s="234"/>
      <c r="F2" s="234"/>
      <c r="G2" s="234"/>
    </row>
    <row r="3" spans="2:7" s="92" customFormat="1" ht="15" customHeight="1">
      <c r="B3" s="235"/>
      <c r="C3" s="234"/>
      <c r="D3" s="234"/>
      <c r="E3" s="234"/>
      <c r="F3" s="234"/>
      <c r="G3" s="234"/>
    </row>
    <row r="4" spans="2:7" s="92" customFormat="1" ht="66" customHeight="1">
      <c r="B4" s="236" t="s">
        <v>878</v>
      </c>
      <c r="C4" s="130" t="s">
        <v>210</v>
      </c>
      <c r="D4" s="130" t="s">
        <v>879</v>
      </c>
      <c r="E4" s="1068" t="s">
        <v>880</v>
      </c>
      <c r="F4" s="1069"/>
      <c r="G4" s="237" t="s">
        <v>148</v>
      </c>
    </row>
    <row r="5" spans="2:7" s="92" customFormat="1" ht="49.5" customHeight="1">
      <c r="B5" s="238" t="s">
        <v>881</v>
      </c>
      <c r="C5" s="239" t="s">
        <v>882</v>
      </c>
      <c r="D5" s="239" t="s">
        <v>882</v>
      </c>
      <c r="E5" s="1070" t="s">
        <v>882</v>
      </c>
      <c r="F5" s="1071"/>
      <c r="G5" s="240" t="s">
        <v>882</v>
      </c>
    </row>
    <row r="6" spans="2:7" s="92" customFormat="1" ht="49.5" customHeight="1">
      <c r="B6" s="241" t="s">
        <v>883</v>
      </c>
      <c r="C6" s="242" t="s">
        <v>884</v>
      </c>
      <c r="D6" s="242" t="s">
        <v>885</v>
      </c>
      <c r="E6" s="243" t="s">
        <v>886</v>
      </c>
      <c r="F6" s="244" t="s">
        <v>887</v>
      </c>
      <c r="G6" s="245" t="s">
        <v>885</v>
      </c>
    </row>
    <row r="7" spans="2:7" s="92" customFormat="1" ht="67.5" customHeight="1">
      <c r="B7" s="246" t="s">
        <v>888</v>
      </c>
      <c r="C7" s="247" t="s">
        <v>889</v>
      </c>
      <c r="D7" s="248" t="s">
        <v>890</v>
      </c>
      <c r="E7" s="1039" t="s">
        <v>890</v>
      </c>
      <c r="F7" s="1072"/>
      <c r="G7" s="249" t="s">
        <v>890</v>
      </c>
    </row>
    <row r="8" spans="2:7" s="92" customFormat="1" ht="68.099999999999994" customHeight="1">
      <c r="B8" s="246" t="s">
        <v>891</v>
      </c>
      <c r="C8" s="250" t="s">
        <v>892</v>
      </c>
      <c r="D8" s="250" t="s">
        <v>893</v>
      </c>
      <c r="E8" s="1073" t="s">
        <v>894</v>
      </c>
      <c r="F8" s="1074"/>
      <c r="G8" s="251" t="s">
        <v>895</v>
      </c>
    </row>
    <row r="9" spans="2:7" s="92" customFormat="1" ht="208.5" customHeight="1">
      <c r="B9" s="252" t="s">
        <v>896</v>
      </c>
      <c r="C9" s="1075" t="s">
        <v>897</v>
      </c>
      <c r="D9" s="1076"/>
      <c r="E9" s="1076"/>
      <c r="F9" s="1076"/>
      <c r="G9" s="1077"/>
    </row>
    <row r="10" spans="2:7" s="92" customFormat="1" ht="240.95" customHeight="1">
      <c r="B10" s="1041" t="s">
        <v>898</v>
      </c>
      <c r="C10" s="1044" t="s">
        <v>899</v>
      </c>
      <c r="D10" s="253" t="s">
        <v>900</v>
      </c>
      <c r="E10" s="1057" t="s">
        <v>901</v>
      </c>
      <c r="F10" s="1058"/>
      <c r="G10" s="254" t="s">
        <v>902</v>
      </c>
    </row>
    <row r="11" spans="2:7" s="92" customFormat="1" ht="50.1" customHeight="1">
      <c r="B11" s="1042"/>
      <c r="C11" s="1045"/>
      <c r="D11" s="1059" t="s">
        <v>903</v>
      </c>
      <c r="E11" s="1060"/>
      <c r="F11" s="1060"/>
      <c r="G11" s="1061"/>
    </row>
    <row r="12" spans="2:7" s="92" customFormat="1" ht="48.95" customHeight="1">
      <c r="B12" s="1043"/>
      <c r="C12" s="1062" t="s">
        <v>904</v>
      </c>
      <c r="D12" s="1062"/>
      <c r="E12" s="1062"/>
      <c r="F12" s="1063"/>
      <c r="G12" s="1064"/>
    </row>
    <row r="13" spans="2:7" s="92" customFormat="1" ht="57.95" customHeight="1">
      <c r="B13" s="246" t="s">
        <v>905</v>
      </c>
      <c r="C13" s="1065" t="s">
        <v>906</v>
      </c>
      <c r="D13" s="1066"/>
      <c r="E13" s="1066"/>
      <c r="F13" s="1066"/>
      <c r="G13" s="240" t="s">
        <v>907</v>
      </c>
    </row>
    <row r="14" spans="2:7" s="92" customFormat="1" ht="171.95" customHeight="1">
      <c r="B14" s="255" t="s">
        <v>908</v>
      </c>
      <c r="C14" s="1048" t="s">
        <v>906</v>
      </c>
      <c r="D14" s="1067"/>
      <c r="E14" s="1067"/>
      <c r="F14" s="1067"/>
      <c r="G14" s="256" t="s">
        <v>909</v>
      </c>
    </row>
    <row r="15" spans="2:7" s="92" customFormat="1" ht="408.95" customHeight="1">
      <c r="B15" s="257" t="s">
        <v>910</v>
      </c>
      <c r="C15" s="258" t="s">
        <v>911</v>
      </c>
      <c r="D15" s="258" t="s">
        <v>912</v>
      </c>
      <c r="E15" s="1046" t="s">
        <v>913</v>
      </c>
      <c r="F15" s="1047"/>
      <c r="G15" s="259" t="s">
        <v>914</v>
      </c>
    </row>
    <row r="16" spans="2:7" s="92" customFormat="1" ht="237.95" customHeight="1">
      <c r="B16" s="255" t="s">
        <v>915</v>
      </c>
      <c r="C16" s="260" t="s">
        <v>916</v>
      </c>
      <c r="D16" s="260" t="s">
        <v>917</v>
      </c>
      <c r="E16" s="1048" t="s">
        <v>918</v>
      </c>
      <c r="F16" s="1049"/>
      <c r="G16" s="261" t="s">
        <v>919</v>
      </c>
    </row>
    <row r="17" spans="2:7" s="92" customFormat="1" ht="80.099999999999994" customHeight="1">
      <c r="B17" s="257" t="s">
        <v>920</v>
      </c>
      <c r="C17" s="262" t="s">
        <v>921</v>
      </c>
      <c r="D17" s="1050" t="s">
        <v>922</v>
      </c>
      <c r="E17" s="1051"/>
      <c r="F17" s="1051"/>
      <c r="G17" s="1052"/>
    </row>
    <row r="18" spans="2:7" s="92" customFormat="1" ht="219.95" customHeight="1">
      <c r="B18" s="263" t="s">
        <v>923</v>
      </c>
      <c r="C18" s="264" t="s">
        <v>924</v>
      </c>
      <c r="D18" s="265" t="s">
        <v>918</v>
      </c>
      <c r="E18" s="1053" t="s">
        <v>918</v>
      </c>
      <c r="F18" s="1054"/>
      <c r="G18" s="266" t="s">
        <v>918</v>
      </c>
    </row>
    <row r="19" spans="2:7" s="92" customFormat="1" ht="90.95" customHeight="1">
      <c r="B19" s="267" t="s">
        <v>925</v>
      </c>
      <c r="C19" s="268" t="s">
        <v>926</v>
      </c>
      <c r="D19" s="268" t="s">
        <v>927</v>
      </c>
      <c r="E19" s="1055" t="s">
        <v>928</v>
      </c>
      <c r="F19" s="1056"/>
      <c r="G19" s="269" t="s">
        <v>929</v>
      </c>
    </row>
    <row r="20" spans="2:7" s="92" customFormat="1" ht="33.75" customHeight="1">
      <c r="B20" s="270"/>
      <c r="C20" s="233"/>
      <c r="D20" s="233"/>
      <c r="E20" s="233"/>
      <c r="F20" s="233"/>
      <c r="G20" s="233"/>
    </row>
    <row r="21" spans="2:7" s="227" customFormat="1" ht="129" customHeight="1">
      <c r="B21" s="248" t="s">
        <v>930</v>
      </c>
      <c r="C21" s="271" t="s">
        <v>931</v>
      </c>
      <c r="D21" s="248" t="s">
        <v>932</v>
      </c>
      <c r="E21" s="1039" t="s">
        <v>933</v>
      </c>
      <c r="F21" s="1040"/>
      <c r="G21" s="248" t="s">
        <v>934</v>
      </c>
    </row>
  </sheetData>
  <mergeCells count="18">
    <mergeCell ref="E4:F4"/>
    <mergeCell ref="E5:F5"/>
    <mergeCell ref="E7:F7"/>
    <mergeCell ref="E8:F8"/>
    <mergeCell ref="C9:G9"/>
    <mergeCell ref="E21:F21"/>
    <mergeCell ref="B10:B12"/>
    <mergeCell ref="C10:C11"/>
    <mergeCell ref="E15:F15"/>
    <mergeCell ref="E16:F16"/>
    <mergeCell ref="D17:G17"/>
    <mergeCell ref="E18:F18"/>
    <mergeCell ref="E19:F19"/>
    <mergeCell ref="E10:F10"/>
    <mergeCell ref="D11:G11"/>
    <mergeCell ref="C12:G12"/>
    <mergeCell ref="C13:F13"/>
    <mergeCell ref="C14:F14"/>
  </mergeCells>
  <phoneticPr fontId="106" type="noConversion"/>
  <hyperlinks>
    <hyperlink ref="B1" location="'目录'!A1" display="点此返回目录"/>
  </hyperlinks>
  <pageMargins left="0.75" right="0.75" top="1" bottom="1" header="0.5" footer="0.5"/>
  <pageSetup paperSize="9" orientation="portrait" horizontalDpi="300" verticalDpi="30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dimension ref="A1:AA138"/>
  <sheetViews>
    <sheetView tabSelected="1" topLeftCell="A7" zoomScale="70" zoomScaleNormal="70" workbookViewId="0">
      <selection activeCell="L23" sqref="L23"/>
    </sheetView>
  </sheetViews>
  <sheetFormatPr defaultColWidth="9" defaultRowHeight="14.25"/>
  <cols>
    <col min="1" max="1" width="5.625" style="46" customWidth="1"/>
    <col min="2" max="3" width="17.5" style="46" customWidth="1"/>
    <col min="4" max="4" width="19.5" style="46" customWidth="1"/>
    <col min="5" max="5" width="16.125" style="46" customWidth="1"/>
    <col min="6" max="6" width="28.875" style="46" customWidth="1"/>
    <col min="7" max="7" width="17.625" style="46" customWidth="1"/>
    <col min="8" max="8" width="26.25" style="46" bestFit="1" customWidth="1"/>
    <col min="9" max="9" width="34.625" style="46" bestFit="1" customWidth="1"/>
    <col min="10" max="10" width="20.375" style="46" customWidth="1"/>
    <col min="11" max="11" width="25.75" style="46" customWidth="1"/>
    <col min="12" max="12" width="58.75" style="46" customWidth="1"/>
    <col min="13" max="13" width="21.5" style="46" customWidth="1"/>
    <col min="14" max="14" width="19.625" style="46" customWidth="1"/>
    <col min="15" max="15" width="28.875" style="46" customWidth="1"/>
    <col min="16" max="16" width="33.75" style="46" customWidth="1"/>
    <col min="17" max="17" width="23.25" style="46" customWidth="1"/>
    <col min="18" max="18" width="23.875" style="46" customWidth="1"/>
    <col min="19" max="19" width="75.75" style="46" customWidth="1"/>
    <col min="20" max="20" width="23.75" style="46" customWidth="1"/>
    <col min="21" max="27" width="9" style="46"/>
  </cols>
  <sheetData>
    <row r="1" spans="1:19" ht="29.25" customHeight="1">
      <c r="A1" s="638" t="s">
        <v>33</v>
      </c>
      <c r="B1" s="638"/>
      <c r="C1" s="638"/>
      <c r="D1" s="67"/>
      <c r="E1" s="95"/>
      <c r="F1" s="95"/>
      <c r="G1" s="95"/>
      <c r="H1" s="95"/>
      <c r="I1" s="95"/>
      <c r="J1" s="95"/>
      <c r="K1" s="95"/>
      <c r="L1" s="95"/>
      <c r="M1" s="95"/>
      <c r="N1" s="95"/>
      <c r="O1" s="95"/>
      <c r="P1" s="95"/>
      <c r="Q1" s="95"/>
      <c r="R1" s="95"/>
      <c r="S1" s="95"/>
    </row>
    <row r="2" spans="1:19" s="46" customFormat="1" ht="39.950000000000003" customHeight="1">
      <c r="A2" s="95"/>
      <c r="B2" s="999" t="s">
        <v>935</v>
      </c>
      <c r="C2" s="1103"/>
      <c r="D2" s="1000"/>
      <c r="E2" s="1000"/>
      <c r="F2" s="1000"/>
      <c r="G2" s="1000"/>
      <c r="H2" s="1000"/>
      <c r="I2" s="1000"/>
      <c r="J2" s="1000"/>
      <c r="K2" s="1000"/>
      <c r="L2" s="1000"/>
      <c r="M2" s="1000"/>
      <c r="N2" s="1000"/>
      <c r="O2" s="1000"/>
      <c r="P2" s="1000"/>
      <c r="Q2" s="1000"/>
      <c r="R2" s="1000"/>
      <c r="S2" s="576"/>
    </row>
    <row r="3" spans="1:19" s="46" customFormat="1" ht="27" customHeight="1">
      <c r="A3" s="95"/>
      <c r="B3" s="1087" t="s">
        <v>36</v>
      </c>
      <c r="C3" s="994" t="s">
        <v>37</v>
      </c>
      <c r="D3" s="994" t="s">
        <v>373</v>
      </c>
      <c r="E3" s="994" t="s">
        <v>936</v>
      </c>
      <c r="F3" s="994" t="s">
        <v>937</v>
      </c>
      <c r="G3" s="994" t="s">
        <v>242</v>
      </c>
      <c r="H3" s="994" t="s">
        <v>938</v>
      </c>
      <c r="I3" s="994" t="s">
        <v>245</v>
      </c>
      <c r="J3" s="724" t="s">
        <v>939</v>
      </c>
      <c r="K3" s="724" t="s">
        <v>940</v>
      </c>
      <c r="L3" s="994" t="s">
        <v>941</v>
      </c>
      <c r="M3" s="724" t="s">
        <v>380</v>
      </c>
      <c r="N3" s="994" t="s">
        <v>248</v>
      </c>
      <c r="O3" s="724" t="s">
        <v>942</v>
      </c>
      <c r="P3" s="994" t="s">
        <v>943</v>
      </c>
      <c r="Q3" s="994" t="s">
        <v>944</v>
      </c>
      <c r="R3" s="994"/>
      <c r="S3" s="937" t="s">
        <v>945</v>
      </c>
    </row>
    <row r="4" spans="1:19" s="88" customFormat="1" ht="26.1" customHeight="1">
      <c r="A4" s="96"/>
      <c r="B4" s="1087"/>
      <c r="C4" s="994"/>
      <c r="D4" s="994"/>
      <c r="E4" s="994"/>
      <c r="F4" s="994"/>
      <c r="G4" s="994"/>
      <c r="H4" s="994"/>
      <c r="I4" s="994"/>
      <c r="J4" s="724"/>
      <c r="K4" s="724"/>
      <c r="L4" s="994"/>
      <c r="M4" s="724"/>
      <c r="N4" s="994"/>
      <c r="O4" s="724"/>
      <c r="P4" s="994"/>
      <c r="Q4" s="15" t="s">
        <v>946</v>
      </c>
      <c r="R4" s="15" t="s">
        <v>947</v>
      </c>
      <c r="S4" s="937"/>
    </row>
    <row r="5" spans="1:19" s="46" customFormat="1" ht="36" customHeight="1">
      <c r="A5" s="95"/>
      <c r="B5" s="97" t="s">
        <v>71</v>
      </c>
      <c r="C5" s="98" t="s">
        <v>72</v>
      </c>
      <c r="D5" s="99" t="s">
        <v>408</v>
      </c>
      <c r="E5" s="99" t="s">
        <v>948</v>
      </c>
      <c r="F5" s="99" t="s">
        <v>949</v>
      </c>
      <c r="G5" s="99" t="s">
        <v>293</v>
      </c>
      <c r="H5" s="100" t="s">
        <v>950</v>
      </c>
      <c r="I5" s="99" t="s">
        <v>951</v>
      </c>
      <c r="J5" s="136">
        <v>1000</v>
      </c>
      <c r="K5" s="99" t="s">
        <v>952</v>
      </c>
      <c r="L5" s="99" t="s">
        <v>260</v>
      </c>
      <c r="M5" s="115" t="s">
        <v>953</v>
      </c>
      <c r="N5" s="115" t="s">
        <v>954</v>
      </c>
      <c r="O5" s="115" t="s">
        <v>955</v>
      </c>
      <c r="P5" s="115" t="s">
        <v>956</v>
      </c>
      <c r="Q5" s="115" t="s">
        <v>957</v>
      </c>
      <c r="R5" s="115" t="s">
        <v>958</v>
      </c>
      <c r="S5" s="154"/>
    </row>
    <row r="6" spans="1:19" s="46" customFormat="1" ht="36" customHeight="1">
      <c r="A6" s="95"/>
      <c r="B6" s="101" t="s">
        <v>302</v>
      </c>
      <c r="C6" s="102" t="s">
        <v>69</v>
      </c>
      <c r="D6" s="6" t="s">
        <v>408</v>
      </c>
      <c r="E6" s="6" t="s">
        <v>948</v>
      </c>
      <c r="F6" s="6" t="s">
        <v>949</v>
      </c>
      <c r="G6" s="6" t="s">
        <v>286</v>
      </c>
      <c r="H6" s="103" t="s">
        <v>950</v>
      </c>
      <c r="I6" s="6" t="s">
        <v>951</v>
      </c>
      <c r="J6" s="85">
        <v>1000</v>
      </c>
      <c r="K6" s="6" t="s">
        <v>952</v>
      </c>
      <c r="L6" s="6" t="s">
        <v>260</v>
      </c>
      <c r="M6" s="6" t="s">
        <v>953</v>
      </c>
      <c r="N6" s="6" t="s">
        <v>954</v>
      </c>
      <c r="O6" s="6" t="s">
        <v>955</v>
      </c>
      <c r="P6" s="6" t="s">
        <v>956</v>
      </c>
      <c r="Q6" s="6" t="s">
        <v>959</v>
      </c>
      <c r="R6" s="6" t="s">
        <v>960</v>
      </c>
      <c r="S6" s="155"/>
    </row>
    <row r="7" spans="1:19" s="46" customFormat="1" ht="36" customHeight="1">
      <c r="A7" s="95"/>
      <c r="B7" s="97" t="s">
        <v>75</v>
      </c>
      <c r="C7" s="98" t="s">
        <v>76</v>
      </c>
      <c r="D7" s="99" t="s">
        <v>408</v>
      </c>
      <c r="E7" s="99" t="s">
        <v>948</v>
      </c>
      <c r="F7" s="99" t="s">
        <v>949</v>
      </c>
      <c r="G7" s="99" t="s">
        <v>286</v>
      </c>
      <c r="H7" s="100">
        <v>0.13</v>
      </c>
      <c r="I7" s="99" t="s">
        <v>951</v>
      </c>
      <c r="J7" s="136">
        <v>800</v>
      </c>
      <c r="K7" s="99" t="s">
        <v>952</v>
      </c>
      <c r="L7" s="99" t="s">
        <v>260</v>
      </c>
      <c r="M7" s="115" t="s">
        <v>953</v>
      </c>
      <c r="N7" s="115" t="s">
        <v>954</v>
      </c>
      <c r="O7" s="115" t="s">
        <v>955</v>
      </c>
      <c r="P7" s="115" t="s">
        <v>956</v>
      </c>
      <c r="Q7" s="115" t="s">
        <v>957</v>
      </c>
      <c r="R7" s="115"/>
      <c r="S7" s="156"/>
    </row>
    <row r="8" spans="1:19" s="46" customFormat="1" ht="36" customHeight="1">
      <c r="A8" s="95"/>
      <c r="B8" s="101" t="s">
        <v>77</v>
      </c>
      <c r="C8" s="102" t="s">
        <v>78</v>
      </c>
      <c r="D8" s="6" t="s">
        <v>408</v>
      </c>
      <c r="E8" s="6" t="s">
        <v>948</v>
      </c>
      <c r="F8" s="6" t="s">
        <v>949</v>
      </c>
      <c r="G8" s="6" t="s">
        <v>286</v>
      </c>
      <c r="H8" s="103">
        <v>0.13</v>
      </c>
      <c r="I8" s="6" t="s">
        <v>951</v>
      </c>
      <c r="J8" s="85">
        <v>600</v>
      </c>
      <c r="K8" s="6" t="s">
        <v>952</v>
      </c>
      <c r="L8" s="6" t="s">
        <v>260</v>
      </c>
      <c r="M8" s="6" t="s">
        <v>953</v>
      </c>
      <c r="N8" s="6" t="s">
        <v>954</v>
      </c>
      <c r="O8" s="6" t="s">
        <v>955</v>
      </c>
      <c r="P8" s="6" t="s">
        <v>956</v>
      </c>
      <c r="Q8" s="6" t="s">
        <v>961</v>
      </c>
      <c r="R8" s="6"/>
      <c r="S8" s="155" t="s">
        <v>962</v>
      </c>
    </row>
    <row r="9" spans="1:19" s="46" customFormat="1" ht="36" customHeight="1">
      <c r="A9" s="95"/>
      <c r="B9" s="97" t="s">
        <v>79</v>
      </c>
      <c r="C9" s="98" t="s">
        <v>80</v>
      </c>
      <c r="D9" s="99" t="s">
        <v>408</v>
      </c>
      <c r="E9" s="99" t="s">
        <v>963</v>
      </c>
      <c r="F9" s="99" t="s">
        <v>964</v>
      </c>
      <c r="G9" s="99" t="s">
        <v>293</v>
      </c>
      <c r="H9" s="100">
        <v>0.13</v>
      </c>
      <c r="I9" s="99" t="s">
        <v>951</v>
      </c>
      <c r="J9" s="136">
        <v>600</v>
      </c>
      <c r="K9" s="99" t="s">
        <v>952</v>
      </c>
      <c r="L9" s="99" t="s">
        <v>260</v>
      </c>
      <c r="M9" s="115" t="s">
        <v>953</v>
      </c>
      <c r="N9" s="115" t="s">
        <v>954</v>
      </c>
      <c r="O9" s="115" t="s">
        <v>955</v>
      </c>
      <c r="P9" s="115" t="s">
        <v>956</v>
      </c>
      <c r="Q9" s="115" t="s">
        <v>965</v>
      </c>
      <c r="R9" s="115"/>
      <c r="S9" s="156"/>
    </row>
    <row r="10" spans="1:19" s="46" customFormat="1" ht="36" customHeight="1">
      <c r="A10" s="95"/>
      <c r="B10" s="101" t="s">
        <v>81</v>
      </c>
      <c r="C10" s="102" t="s">
        <v>82</v>
      </c>
      <c r="D10" s="6" t="s">
        <v>408</v>
      </c>
      <c r="E10" s="6" t="s">
        <v>963</v>
      </c>
      <c r="F10" s="6" t="s">
        <v>966</v>
      </c>
      <c r="G10" s="6" t="s">
        <v>293</v>
      </c>
      <c r="H10" s="103">
        <v>0.13</v>
      </c>
      <c r="I10" s="6" t="s">
        <v>951</v>
      </c>
      <c r="J10" s="85">
        <v>200</v>
      </c>
      <c r="K10" s="6" t="s">
        <v>952</v>
      </c>
      <c r="L10" s="6" t="s">
        <v>260</v>
      </c>
      <c r="M10" s="6" t="s">
        <v>953</v>
      </c>
      <c r="N10" s="6" t="s">
        <v>954</v>
      </c>
      <c r="O10" s="6" t="s">
        <v>955</v>
      </c>
      <c r="P10" s="6" t="s">
        <v>956</v>
      </c>
      <c r="Q10" s="6" t="s">
        <v>967</v>
      </c>
      <c r="R10" s="6"/>
      <c r="S10" s="155"/>
    </row>
    <row r="11" spans="1:19" s="46" customFormat="1" ht="36" customHeight="1">
      <c r="A11" s="95"/>
      <c r="B11" s="97" t="s">
        <v>85</v>
      </c>
      <c r="C11" s="98" t="s">
        <v>86</v>
      </c>
      <c r="D11" s="99" t="s">
        <v>396</v>
      </c>
      <c r="E11" s="99" t="s">
        <v>968</v>
      </c>
      <c r="F11" s="99" t="s">
        <v>969</v>
      </c>
      <c r="G11" s="99" t="s">
        <v>310</v>
      </c>
      <c r="H11" s="100" t="s">
        <v>970</v>
      </c>
      <c r="I11" s="99" t="s">
        <v>971</v>
      </c>
      <c r="J11" s="136">
        <v>900</v>
      </c>
      <c r="K11" s="99" t="s">
        <v>952</v>
      </c>
      <c r="L11" s="99" t="s">
        <v>260</v>
      </c>
      <c r="M11" s="115" t="s">
        <v>953</v>
      </c>
      <c r="N11" s="115" t="s">
        <v>954</v>
      </c>
      <c r="O11" s="115" t="s">
        <v>972</v>
      </c>
      <c r="P11" s="115" t="s">
        <v>973</v>
      </c>
      <c r="Q11" s="115" t="s">
        <v>974</v>
      </c>
      <c r="R11" s="115"/>
      <c r="S11" s="154" t="s">
        <v>975</v>
      </c>
    </row>
    <row r="12" spans="1:19" s="46" customFormat="1" ht="36" customHeight="1">
      <c r="A12" s="95"/>
      <c r="B12" s="101" t="s">
        <v>88</v>
      </c>
      <c r="C12" s="102" t="s">
        <v>89</v>
      </c>
      <c r="D12" s="6" t="s">
        <v>396</v>
      </c>
      <c r="E12" s="6" t="s">
        <v>976</v>
      </c>
      <c r="F12" s="6" t="s">
        <v>977</v>
      </c>
      <c r="G12" s="6" t="s">
        <v>314</v>
      </c>
      <c r="H12" s="103">
        <v>0.13</v>
      </c>
      <c r="I12" s="6" t="s">
        <v>951</v>
      </c>
      <c r="J12" s="85">
        <v>900</v>
      </c>
      <c r="K12" s="6" t="s">
        <v>952</v>
      </c>
      <c r="L12" s="6" t="s">
        <v>260</v>
      </c>
      <c r="M12" s="6" t="s">
        <v>953</v>
      </c>
      <c r="N12" s="6" t="s">
        <v>954</v>
      </c>
      <c r="O12" s="6" t="s">
        <v>955</v>
      </c>
      <c r="P12" s="6" t="s">
        <v>956</v>
      </c>
      <c r="Q12" s="6" t="s">
        <v>978</v>
      </c>
      <c r="R12" s="6"/>
      <c r="S12" s="155"/>
    </row>
    <row r="13" spans="1:19" s="46" customFormat="1" ht="103.5" customHeight="1">
      <c r="A13" s="95"/>
      <c r="B13" s="97" t="s">
        <v>50</v>
      </c>
      <c r="C13" s="98" t="s">
        <v>51</v>
      </c>
      <c r="D13" s="99" t="s">
        <v>414</v>
      </c>
      <c r="E13" s="99" t="s">
        <v>979</v>
      </c>
      <c r="F13" s="99" t="s">
        <v>980</v>
      </c>
      <c r="G13" s="99" t="s">
        <v>291</v>
      </c>
      <c r="H13" s="100">
        <v>0.13</v>
      </c>
      <c r="I13" s="99" t="s">
        <v>951</v>
      </c>
      <c r="J13" s="136">
        <v>900</v>
      </c>
      <c r="K13" s="99" t="s">
        <v>981</v>
      </c>
      <c r="L13" s="137" t="s">
        <v>982</v>
      </c>
      <c r="M13" s="115" t="s">
        <v>953</v>
      </c>
      <c r="N13" s="115" t="s">
        <v>954</v>
      </c>
      <c r="O13" s="115" t="s">
        <v>955</v>
      </c>
      <c r="P13" s="115" t="s">
        <v>956</v>
      </c>
      <c r="Q13" s="115" t="s">
        <v>983</v>
      </c>
      <c r="R13" s="115"/>
      <c r="S13" s="154" t="s">
        <v>984</v>
      </c>
    </row>
    <row r="14" spans="1:19" s="46" customFormat="1" ht="42.95" customHeight="1">
      <c r="A14" s="95"/>
      <c r="B14" s="101" t="s">
        <v>45</v>
      </c>
      <c r="C14" s="102" t="s">
        <v>46</v>
      </c>
      <c r="D14" s="6" t="s">
        <v>260</v>
      </c>
      <c r="E14" s="6" t="s">
        <v>979</v>
      </c>
      <c r="F14" s="6" t="s">
        <v>980</v>
      </c>
      <c r="G14" s="6" t="s">
        <v>291</v>
      </c>
      <c r="H14" s="103">
        <v>0.13</v>
      </c>
      <c r="I14" s="6" t="s">
        <v>951</v>
      </c>
      <c r="J14" s="85">
        <v>360</v>
      </c>
      <c r="K14" s="6" t="s">
        <v>952</v>
      </c>
      <c r="L14" s="138" t="s">
        <v>985</v>
      </c>
      <c r="M14" s="6" t="s">
        <v>953</v>
      </c>
      <c r="N14" s="6" t="s">
        <v>954</v>
      </c>
      <c r="O14" s="6" t="s">
        <v>955</v>
      </c>
      <c r="P14" s="6" t="s">
        <v>956</v>
      </c>
      <c r="Q14" s="6" t="s">
        <v>983</v>
      </c>
      <c r="R14" s="6"/>
      <c r="S14" s="155"/>
    </row>
    <row r="15" spans="1:19" s="46" customFormat="1" ht="42.95" customHeight="1">
      <c r="A15" s="95"/>
      <c r="B15" s="97" t="s">
        <v>56</v>
      </c>
      <c r="C15" s="98" t="s">
        <v>57</v>
      </c>
      <c r="D15" s="99" t="s">
        <v>414</v>
      </c>
      <c r="E15" s="99" t="s">
        <v>979</v>
      </c>
      <c r="F15" s="99" t="s">
        <v>980</v>
      </c>
      <c r="G15" s="99" t="s">
        <v>291</v>
      </c>
      <c r="H15" s="100">
        <v>0.13</v>
      </c>
      <c r="I15" s="99" t="s">
        <v>951</v>
      </c>
      <c r="J15" s="136">
        <v>1800</v>
      </c>
      <c r="K15" s="99" t="s">
        <v>952</v>
      </c>
      <c r="L15" s="139" t="s">
        <v>986</v>
      </c>
      <c r="M15" s="115" t="s">
        <v>953</v>
      </c>
      <c r="N15" s="115" t="s">
        <v>954</v>
      </c>
      <c r="O15" s="115" t="s">
        <v>955</v>
      </c>
      <c r="P15" s="115" t="s">
        <v>956</v>
      </c>
      <c r="Q15" s="115" t="s">
        <v>983</v>
      </c>
      <c r="R15" s="115"/>
      <c r="S15" s="154" t="s">
        <v>987</v>
      </c>
    </row>
    <row r="16" spans="1:19" s="46" customFormat="1" ht="42.95" customHeight="1">
      <c r="A16" s="95"/>
      <c r="B16" s="101" t="s">
        <v>73</v>
      </c>
      <c r="C16" s="102" t="s">
        <v>74</v>
      </c>
      <c r="D16" s="6" t="s">
        <v>408</v>
      </c>
      <c r="E16" s="6" t="s">
        <v>948</v>
      </c>
      <c r="F16" s="6" t="s">
        <v>988</v>
      </c>
      <c r="G16" s="6" t="s">
        <v>286</v>
      </c>
      <c r="H16" s="103">
        <v>0.13</v>
      </c>
      <c r="I16" s="6" t="s">
        <v>951</v>
      </c>
      <c r="J16" s="85">
        <v>360</v>
      </c>
      <c r="K16" s="6" t="s">
        <v>981</v>
      </c>
      <c r="L16" s="138" t="s">
        <v>989</v>
      </c>
      <c r="M16" s="6" t="s">
        <v>953</v>
      </c>
      <c r="N16" s="6" t="s">
        <v>954</v>
      </c>
      <c r="O16" s="6" t="s">
        <v>955</v>
      </c>
      <c r="P16" s="6" t="s">
        <v>990</v>
      </c>
      <c r="Q16" s="6" t="s">
        <v>991</v>
      </c>
      <c r="R16" s="6"/>
      <c r="S16" s="157" t="s">
        <v>992</v>
      </c>
    </row>
    <row r="17" spans="1:19" s="46" customFormat="1" ht="156.94999999999999" customHeight="1">
      <c r="A17" s="95"/>
      <c r="B17" s="97" t="s">
        <v>62</v>
      </c>
      <c r="C17" s="98" t="s">
        <v>63</v>
      </c>
      <c r="D17" s="99" t="s">
        <v>414</v>
      </c>
      <c r="E17" s="99" t="s">
        <v>979</v>
      </c>
      <c r="F17" s="99" t="s">
        <v>993</v>
      </c>
      <c r="G17" s="99" t="s">
        <v>286</v>
      </c>
      <c r="H17" s="100" t="s">
        <v>994</v>
      </c>
      <c r="I17" s="99" t="s">
        <v>995</v>
      </c>
      <c r="J17" s="136">
        <v>50</v>
      </c>
      <c r="K17" s="99" t="s">
        <v>952</v>
      </c>
      <c r="L17" s="139" t="s">
        <v>996</v>
      </c>
      <c r="M17" s="115" t="s">
        <v>953</v>
      </c>
      <c r="N17" s="115" t="s">
        <v>954</v>
      </c>
      <c r="O17" s="115" t="s">
        <v>955</v>
      </c>
      <c r="P17" s="115" t="s">
        <v>997</v>
      </c>
      <c r="Q17" s="115" t="s">
        <v>998</v>
      </c>
      <c r="R17" s="115"/>
      <c r="S17" s="156"/>
    </row>
    <row r="18" spans="1:19" s="46" customFormat="1" ht="105" customHeight="1">
      <c r="A18" s="95"/>
      <c r="B18" s="101" t="s">
        <v>60</v>
      </c>
      <c r="C18" s="102" t="s">
        <v>61</v>
      </c>
      <c r="D18" s="6" t="s">
        <v>414</v>
      </c>
      <c r="E18" s="6" t="s">
        <v>979</v>
      </c>
      <c r="F18" s="6" t="s">
        <v>993</v>
      </c>
      <c r="G18" s="6" t="s">
        <v>319</v>
      </c>
      <c r="H18" s="103">
        <v>0.13</v>
      </c>
      <c r="I18" s="6" t="s">
        <v>999</v>
      </c>
      <c r="J18" s="85">
        <v>500</v>
      </c>
      <c r="K18" s="6" t="s">
        <v>981</v>
      </c>
      <c r="L18" s="138" t="s">
        <v>1000</v>
      </c>
      <c r="M18" s="6" t="s">
        <v>953</v>
      </c>
      <c r="N18" s="6" t="s">
        <v>954</v>
      </c>
      <c r="O18" s="6" t="s">
        <v>955</v>
      </c>
      <c r="P18" s="6" t="s">
        <v>1001</v>
      </c>
      <c r="Q18" s="6" t="s">
        <v>1002</v>
      </c>
      <c r="R18" s="6"/>
      <c r="S18" s="157" t="s">
        <v>1003</v>
      </c>
    </row>
    <row r="19" spans="1:19" s="46" customFormat="1" ht="108.95" customHeight="1">
      <c r="A19" s="95"/>
      <c r="B19" s="97" t="s">
        <v>318</v>
      </c>
      <c r="C19" s="98" t="s">
        <v>67</v>
      </c>
      <c r="D19" s="99" t="s">
        <v>414</v>
      </c>
      <c r="E19" s="99" t="s">
        <v>979</v>
      </c>
      <c r="F19" s="99" t="s">
        <v>1004</v>
      </c>
      <c r="G19" s="99" t="s">
        <v>319</v>
      </c>
      <c r="H19" s="100">
        <v>0.13</v>
      </c>
      <c r="I19" s="99" t="s">
        <v>951</v>
      </c>
      <c r="J19" s="136">
        <v>300</v>
      </c>
      <c r="K19" s="99" t="s">
        <v>981</v>
      </c>
      <c r="L19" s="139" t="s">
        <v>1005</v>
      </c>
      <c r="M19" s="115" t="s">
        <v>953</v>
      </c>
      <c r="N19" s="115" t="s">
        <v>954</v>
      </c>
      <c r="O19" s="115" t="s">
        <v>955</v>
      </c>
      <c r="P19" s="115" t="s">
        <v>997</v>
      </c>
      <c r="Q19" s="115" t="s">
        <v>1006</v>
      </c>
      <c r="R19" s="115"/>
      <c r="S19" s="156"/>
    </row>
    <row r="20" spans="1:19" s="46" customFormat="1" ht="103.5" customHeight="1">
      <c r="A20" s="95"/>
      <c r="B20" s="104" t="s">
        <v>83</v>
      </c>
      <c r="C20" s="102" t="s">
        <v>84</v>
      </c>
      <c r="D20" s="79" t="s">
        <v>408</v>
      </c>
      <c r="E20" s="79" t="s">
        <v>1007</v>
      </c>
      <c r="F20" s="79" t="s">
        <v>1008</v>
      </c>
      <c r="G20" s="79" t="s">
        <v>291</v>
      </c>
      <c r="H20" s="75">
        <v>0.13</v>
      </c>
      <c r="I20" s="79" t="s">
        <v>951</v>
      </c>
      <c r="J20" s="85">
        <v>600</v>
      </c>
      <c r="K20" s="79" t="s">
        <v>981</v>
      </c>
      <c r="L20" s="80" t="s">
        <v>1009</v>
      </c>
      <c r="M20" s="6" t="s">
        <v>953</v>
      </c>
      <c r="N20" s="6" t="s">
        <v>954</v>
      </c>
      <c r="O20" s="6" t="s">
        <v>955</v>
      </c>
      <c r="P20" s="6" t="s">
        <v>1010</v>
      </c>
      <c r="Q20" s="6" t="s">
        <v>1011</v>
      </c>
      <c r="R20" s="6"/>
      <c r="S20" s="157" t="s">
        <v>1012</v>
      </c>
    </row>
    <row r="21" spans="1:19" s="46" customFormat="1" ht="102" customHeight="1">
      <c r="A21" s="95"/>
      <c r="B21" s="105" t="s">
        <v>64</v>
      </c>
      <c r="C21" s="106" t="s">
        <v>65</v>
      </c>
      <c r="D21" s="107" t="s">
        <v>414</v>
      </c>
      <c r="E21" s="107" t="s">
        <v>948</v>
      </c>
      <c r="F21" s="107" t="s">
        <v>1013</v>
      </c>
      <c r="G21" s="107" t="s">
        <v>286</v>
      </c>
      <c r="H21" s="108">
        <v>0.13</v>
      </c>
      <c r="I21" s="107" t="s">
        <v>951</v>
      </c>
      <c r="J21" s="140">
        <v>60</v>
      </c>
      <c r="K21" s="107" t="s">
        <v>981</v>
      </c>
      <c r="L21" s="141" t="s">
        <v>1014</v>
      </c>
      <c r="M21" s="115" t="s">
        <v>953</v>
      </c>
      <c r="N21" s="115" t="s">
        <v>954</v>
      </c>
      <c r="O21" s="115" t="s">
        <v>955</v>
      </c>
      <c r="P21" s="115" t="s">
        <v>1010</v>
      </c>
      <c r="Q21" s="115" t="s">
        <v>1015</v>
      </c>
      <c r="R21" s="115"/>
      <c r="S21" s="154" t="s">
        <v>1016</v>
      </c>
    </row>
    <row r="22" spans="1:19" s="46" customFormat="1" ht="39" customHeight="1">
      <c r="A22" s="95"/>
      <c r="B22" s="109" t="s">
        <v>36</v>
      </c>
      <c r="C22" s="110" t="s">
        <v>37</v>
      </c>
      <c r="D22" s="110" t="s">
        <v>373</v>
      </c>
      <c r="E22" s="110" t="s">
        <v>936</v>
      </c>
      <c r="F22" s="110" t="s">
        <v>937</v>
      </c>
      <c r="G22" s="111" t="s">
        <v>242</v>
      </c>
      <c r="H22" s="110" t="s">
        <v>938</v>
      </c>
      <c r="I22" s="110" t="s">
        <v>245</v>
      </c>
      <c r="J22" s="111" t="s">
        <v>1017</v>
      </c>
      <c r="K22" s="111" t="s">
        <v>940</v>
      </c>
      <c r="L22" s="110" t="s">
        <v>1018</v>
      </c>
      <c r="M22" s="111" t="s">
        <v>380</v>
      </c>
      <c r="N22" s="111" t="s">
        <v>248</v>
      </c>
      <c r="O22" s="111" t="s">
        <v>942</v>
      </c>
      <c r="P22" s="110" t="s">
        <v>943</v>
      </c>
      <c r="Q22" s="1115" t="s">
        <v>944</v>
      </c>
      <c r="R22" s="1115"/>
      <c r="S22" s="158" t="s">
        <v>945</v>
      </c>
    </row>
    <row r="23" spans="1:19" s="46" customFormat="1" ht="62.1" customHeight="1">
      <c r="A23" s="95"/>
      <c r="B23" s="101" t="s">
        <v>58</v>
      </c>
      <c r="C23" s="102" t="s">
        <v>59</v>
      </c>
      <c r="D23" s="6" t="s">
        <v>414</v>
      </c>
      <c r="E23" s="6" t="s">
        <v>979</v>
      </c>
      <c r="F23" s="6" t="s">
        <v>993</v>
      </c>
      <c r="G23" s="6" t="s">
        <v>291</v>
      </c>
      <c r="H23" s="6" t="s">
        <v>1019</v>
      </c>
      <c r="I23" s="6" t="s">
        <v>951</v>
      </c>
      <c r="J23" s="37">
        <v>500</v>
      </c>
      <c r="K23" s="6" t="s">
        <v>952</v>
      </c>
      <c r="L23" s="142" t="s">
        <v>1020</v>
      </c>
      <c r="M23" s="6" t="s">
        <v>953</v>
      </c>
      <c r="N23" s="6" t="s">
        <v>1021</v>
      </c>
      <c r="O23" s="6" t="s">
        <v>955</v>
      </c>
      <c r="P23" s="6" t="s">
        <v>1010</v>
      </c>
      <c r="Q23" s="159"/>
      <c r="R23" s="6" t="s">
        <v>1022</v>
      </c>
      <c r="S23" s="157" t="s">
        <v>1023</v>
      </c>
    </row>
    <row r="24" spans="1:19" s="89" customFormat="1" ht="29.1" customHeight="1">
      <c r="A24" s="112"/>
      <c r="B24" s="1125" t="s">
        <v>1024</v>
      </c>
      <c r="C24" s="1118"/>
      <c r="D24" s="1126"/>
      <c r="E24" s="1126"/>
      <c r="F24" s="1126"/>
      <c r="G24" s="1126"/>
      <c r="H24" s="1126"/>
      <c r="I24" s="1126"/>
      <c r="J24" s="1127"/>
      <c r="K24" s="1126"/>
      <c r="L24" s="1126"/>
      <c r="M24" s="1126"/>
      <c r="N24" s="1126"/>
      <c r="O24" s="1126"/>
      <c r="P24" s="1126"/>
      <c r="Q24" s="1126"/>
      <c r="R24" s="1126"/>
      <c r="S24" s="1128"/>
    </row>
    <row r="25" spans="1:19" ht="15" customHeight="1"/>
    <row r="26" spans="1:19" s="46" customFormat="1" ht="51.95" customHeight="1">
      <c r="B26" s="999" t="s">
        <v>1025</v>
      </c>
      <c r="C26" s="1103"/>
      <c r="D26" s="1000"/>
      <c r="E26" s="1000"/>
      <c r="F26" s="1000"/>
      <c r="G26" s="1000"/>
      <c r="H26" s="1000"/>
      <c r="I26" s="1000"/>
      <c r="J26" s="1000"/>
      <c r="K26" s="1000"/>
      <c r="L26" s="1000"/>
      <c r="M26" s="1000"/>
      <c r="N26" s="1000"/>
      <c r="O26" s="1000"/>
      <c r="P26" s="1000"/>
      <c r="Q26" s="1000"/>
      <c r="R26" s="1000"/>
      <c r="S26" s="576"/>
    </row>
    <row r="27" spans="1:19" s="46" customFormat="1" ht="39.950000000000003" customHeight="1">
      <c r="B27" s="109" t="s">
        <v>36</v>
      </c>
      <c r="C27" s="110" t="s">
        <v>37</v>
      </c>
      <c r="D27" s="110" t="s">
        <v>373</v>
      </c>
      <c r="E27" s="110" t="s">
        <v>936</v>
      </c>
      <c r="F27" s="110" t="s">
        <v>937</v>
      </c>
      <c r="G27" s="111" t="s">
        <v>242</v>
      </c>
      <c r="H27" s="110" t="s">
        <v>938</v>
      </c>
      <c r="I27" s="110" t="s">
        <v>245</v>
      </c>
      <c r="J27" s="111" t="s">
        <v>1017</v>
      </c>
      <c r="K27" s="111" t="s">
        <v>940</v>
      </c>
      <c r="L27" s="110" t="s">
        <v>1018</v>
      </c>
      <c r="M27" s="111" t="s">
        <v>380</v>
      </c>
      <c r="N27" s="111" t="s">
        <v>248</v>
      </c>
      <c r="O27" s="111" t="s">
        <v>942</v>
      </c>
      <c r="P27" s="110" t="s">
        <v>943</v>
      </c>
      <c r="Q27" s="1115" t="s">
        <v>944</v>
      </c>
      <c r="R27" s="1115"/>
      <c r="S27" s="158" t="s">
        <v>945</v>
      </c>
    </row>
    <row r="28" spans="1:19" s="46" customFormat="1" ht="71.099999999999994" customHeight="1">
      <c r="B28" s="113" t="s">
        <v>91</v>
      </c>
      <c r="C28" s="114" t="s">
        <v>92</v>
      </c>
      <c r="D28" s="115" t="s">
        <v>396</v>
      </c>
      <c r="E28" s="115" t="s">
        <v>279</v>
      </c>
      <c r="F28" s="115" t="s">
        <v>1026</v>
      </c>
      <c r="G28" s="115" t="s">
        <v>280</v>
      </c>
      <c r="H28" s="115" t="s">
        <v>1019</v>
      </c>
      <c r="I28" s="115" t="s">
        <v>1027</v>
      </c>
      <c r="J28" s="115">
        <v>500</v>
      </c>
      <c r="K28" s="115" t="s">
        <v>952</v>
      </c>
      <c r="L28" s="115" t="s">
        <v>260</v>
      </c>
      <c r="M28" s="115" t="s">
        <v>953</v>
      </c>
      <c r="N28" s="115" t="s">
        <v>283</v>
      </c>
      <c r="O28" s="115" t="s">
        <v>1028</v>
      </c>
      <c r="P28" s="115" t="s">
        <v>1010</v>
      </c>
      <c r="Q28" s="1083" t="s">
        <v>1029</v>
      </c>
      <c r="R28" s="1083"/>
      <c r="S28" s="154" t="s">
        <v>1030</v>
      </c>
    </row>
    <row r="29" spans="1:19" s="46" customFormat="1" ht="69" customHeight="1">
      <c r="B29" s="101" t="s">
        <v>93</v>
      </c>
      <c r="C29" s="102" t="s">
        <v>94</v>
      </c>
      <c r="D29" s="6" t="s">
        <v>414</v>
      </c>
      <c r="E29" s="6" t="s">
        <v>979</v>
      </c>
      <c r="F29" s="6" t="s">
        <v>993</v>
      </c>
      <c r="G29" s="6" t="s">
        <v>291</v>
      </c>
      <c r="H29" s="6" t="s">
        <v>1019</v>
      </c>
      <c r="I29" s="6" t="s">
        <v>287</v>
      </c>
      <c r="J29" s="6">
        <v>500</v>
      </c>
      <c r="K29" s="6" t="s">
        <v>981</v>
      </c>
      <c r="L29" s="1282" t="s">
        <v>1674</v>
      </c>
      <c r="M29" s="6" t="s">
        <v>953</v>
      </c>
      <c r="N29" s="6" t="s">
        <v>283</v>
      </c>
      <c r="O29" s="6" t="s">
        <v>1028</v>
      </c>
      <c r="P29" s="6" t="s">
        <v>1010</v>
      </c>
      <c r="Q29" s="1090" t="s">
        <v>1022</v>
      </c>
      <c r="R29" s="1090"/>
      <c r="S29" s="157" t="s">
        <v>1031</v>
      </c>
    </row>
    <row r="30" spans="1:19" s="90" customFormat="1" ht="39.950000000000003" customHeight="1">
      <c r="B30" s="116" t="s">
        <v>36</v>
      </c>
      <c r="C30" s="110" t="s">
        <v>37</v>
      </c>
      <c r="D30" s="111" t="s">
        <v>373</v>
      </c>
      <c r="E30" s="111" t="s">
        <v>936</v>
      </c>
      <c r="F30" s="111" t="s">
        <v>937</v>
      </c>
      <c r="G30" s="111" t="s">
        <v>242</v>
      </c>
      <c r="H30" s="111" t="s">
        <v>938</v>
      </c>
      <c r="I30" s="111" t="s">
        <v>245</v>
      </c>
      <c r="J30" s="111" t="s">
        <v>939</v>
      </c>
      <c r="K30" s="111" t="s">
        <v>940</v>
      </c>
      <c r="L30" s="111" t="s">
        <v>941</v>
      </c>
      <c r="M30" s="111" t="s">
        <v>380</v>
      </c>
      <c r="N30" s="111" t="s">
        <v>248</v>
      </c>
      <c r="O30" s="111" t="s">
        <v>942</v>
      </c>
      <c r="P30" s="111" t="s">
        <v>943</v>
      </c>
      <c r="Q30" s="1115" t="s">
        <v>944</v>
      </c>
      <c r="R30" s="1115"/>
      <c r="S30" s="160" t="s">
        <v>945</v>
      </c>
    </row>
    <row r="31" spans="1:19" s="46" customFormat="1" ht="241.5" customHeight="1">
      <c r="B31" s="113" t="s">
        <v>95</v>
      </c>
      <c r="C31" s="114" t="s">
        <v>96</v>
      </c>
      <c r="D31" s="115" t="s">
        <v>414</v>
      </c>
      <c r="E31" s="115" t="s">
        <v>979</v>
      </c>
      <c r="F31" s="115" t="s">
        <v>1032</v>
      </c>
      <c r="G31" s="115" t="s">
        <v>286</v>
      </c>
      <c r="H31" s="115" t="s">
        <v>1019</v>
      </c>
      <c r="I31" s="115" t="s">
        <v>287</v>
      </c>
      <c r="J31" s="115">
        <v>200</v>
      </c>
      <c r="K31" s="115" t="s">
        <v>952</v>
      </c>
      <c r="L31" s="143" t="s">
        <v>1672</v>
      </c>
      <c r="M31" s="115" t="s">
        <v>953</v>
      </c>
      <c r="N31" s="115" t="s">
        <v>1033</v>
      </c>
      <c r="O31" s="115" t="s">
        <v>1028</v>
      </c>
      <c r="P31" s="115" t="s">
        <v>997</v>
      </c>
      <c r="Q31" s="1083" t="s">
        <v>1034</v>
      </c>
      <c r="R31" s="1083"/>
      <c r="S31" s="154" t="s">
        <v>1035</v>
      </c>
    </row>
    <row r="32" spans="1:19" s="46" customFormat="1" ht="53.1" customHeight="1">
      <c r="B32" s="101" t="s">
        <v>1036</v>
      </c>
      <c r="C32" s="102" t="s">
        <v>98</v>
      </c>
      <c r="D32" s="6" t="s">
        <v>408</v>
      </c>
      <c r="E32" s="6" t="s">
        <v>948</v>
      </c>
      <c r="F32" s="6" t="s">
        <v>949</v>
      </c>
      <c r="G32" s="6" t="s">
        <v>293</v>
      </c>
      <c r="H32" s="6" t="s">
        <v>1019</v>
      </c>
      <c r="I32" s="6" t="s">
        <v>287</v>
      </c>
      <c r="J32" s="6">
        <v>700</v>
      </c>
      <c r="K32" s="6" t="s">
        <v>952</v>
      </c>
      <c r="L32" s="6" t="s">
        <v>260</v>
      </c>
      <c r="M32" s="6" t="s">
        <v>953</v>
      </c>
      <c r="N32" s="6" t="s">
        <v>954</v>
      </c>
      <c r="O32" s="6" t="s">
        <v>1028</v>
      </c>
      <c r="P32" s="6" t="s">
        <v>956</v>
      </c>
      <c r="Q32" s="1090" t="s">
        <v>1037</v>
      </c>
      <c r="R32" s="1090"/>
      <c r="S32" s="157" t="s">
        <v>1038</v>
      </c>
    </row>
    <row r="33" spans="2:19" s="46" customFormat="1" ht="155.25" customHeight="1">
      <c r="B33" s="113" t="s">
        <v>1039</v>
      </c>
      <c r="C33" s="114" t="s">
        <v>101</v>
      </c>
      <c r="D33" s="115" t="s">
        <v>260</v>
      </c>
      <c r="E33" s="117" t="s">
        <v>295</v>
      </c>
      <c r="F33" s="115" t="s">
        <v>1040</v>
      </c>
      <c r="G33" s="115" t="s">
        <v>296</v>
      </c>
      <c r="H33" s="115"/>
      <c r="I33" s="115" t="s">
        <v>1041</v>
      </c>
      <c r="J33" s="115" t="s">
        <v>1042</v>
      </c>
      <c r="K33" s="115"/>
      <c r="L33" s="143"/>
      <c r="M33" s="115" t="s">
        <v>1043</v>
      </c>
      <c r="N33" s="115" t="s">
        <v>1044</v>
      </c>
      <c r="O33" s="115" t="s">
        <v>388</v>
      </c>
      <c r="P33" s="115" t="s">
        <v>1045</v>
      </c>
      <c r="Q33" s="1083"/>
      <c r="R33" s="1083"/>
      <c r="S33" s="154"/>
    </row>
    <row r="34" spans="2:19" s="91" customFormat="1" ht="27" customHeight="1">
      <c r="B34" s="1116" t="s">
        <v>1046</v>
      </c>
      <c r="C34" s="1117"/>
      <c r="D34" s="1118"/>
      <c r="E34" s="1118"/>
      <c r="F34" s="1118"/>
      <c r="G34" s="1118"/>
      <c r="H34" s="1118"/>
      <c r="I34" s="1118"/>
      <c r="J34" s="1118"/>
      <c r="K34" s="1118"/>
      <c r="L34" s="1118"/>
      <c r="M34" s="1118"/>
      <c r="N34" s="1118"/>
      <c r="O34" s="1118"/>
      <c r="P34" s="1118"/>
      <c r="Q34" s="1118"/>
      <c r="R34" s="1118"/>
      <c r="S34" s="1119"/>
    </row>
    <row r="35" spans="2:19" s="46" customFormat="1" ht="14.25" customHeight="1">
      <c r="O35" s="144"/>
    </row>
    <row r="36" spans="2:19" s="46" customFormat="1" ht="51" customHeight="1">
      <c r="B36" s="999" t="s">
        <v>1047</v>
      </c>
      <c r="C36" s="1103"/>
      <c r="D36" s="1000"/>
      <c r="E36" s="1000"/>
      <c r="F36" s="1000"/>
      <c r="G36" s="1000"/>
      <c r="H36" s="1000"/>
      <c r="I36" s="1000"/>
      <c r="J36" s="1000"/>
      <c r="K36" s="1000"/>
      <c r="L36" s="1000"/>
      <c r="M36" s="1000"/>
      <c r="N36" s="1000"/>
      <c r="O36" s="1000"/>
      <c r="P36" s="1000"/>
      <c r="Q36" s="1000"/>
      <c r="R36" s="1108"/>
    </row>
    <row r="37" spans="2:19" s="46" customFormat="1" ht="69.95" customHeight="1">
      <c r="B37" s="109" t="s">
        <v>36</v>
      </c>
      <c r="C37" s="110" t="s">
        <v>37</v>
      </c>
      <c r="D37" s="110" t="s">
        <v>373</v>
      </c>
      <c r="E37" s="110" t="s">
        <v>936</v>
      </c>
      <c r="F37" s="110" t="s">
        <v>937</v>
      </c>
      <c r="G37" s="111" t="s">
        <v>242</v>
      </c>
      <c r="H37" s="111" t="s">
        <v>938</v>
      </c>
      <c r="I37" s="111" t="s">
        <v>245</v>
      </c>
      <c r="J37" s="111" t="s">
        <v>1048</v>
      </c>
      <c r="K37" s="111" t="s">
        <v>1049</v>
      </c>
      <c r="L37" s="110" t="s">
        <v>1018</v>
      </c>
      <c r="M37" s="111" t="s">
        <v>380</v>
      </c>
      <c r="N37" s="111" t="s">
        <v>248</v>
      </c>
      <c r="O37" s="111" t="s">
        <v>1050</v>
      </c>
      <c r="P37" s="111" t="s">
        <v>1051</v>
      </c>
      <c r="Q37" s="111" t="s">
        <v>944</v>
      </c>
      <c r="R37" s="160" t="s">
        <v>945</v>
      </c>
    </row>
    <row r="38" spans="2:19" s="46" customFormat="1" ht="57.95" customHeight="1">
      <c r="B38" s="97" t="s">
        <v>114</v>
      </c>
      <c r="C38" s="98" t="s">
        <v>115</v>
      </c>
      <c r="D38" s="99" t="s">
        <v>414</v>
      </c>
      <c r="E38" s="99" t="s">
        <v>979</v>
      </c>
      <c r="F38" s="99" t="s">
        <v>993</v>
      </c>
      <c r="G38" s="99" t="s">
        <v>291</v>
      </c>
      <c r="H38" s="100">
        <v>0.09</v>
      </c>
      <c r="I38" s="99" t="s">
        <v>1052</v>
      </c>
      <c r="J38" s="145">
        <v>5000</v>
      </c>
      <c r="K38" s="99" t="s">
        <v>981</v>
      </c>
      <c r="L38" s="139" t="s">
        <v>1053</v>
      </c>
      <c r="M38" s="115" t="s">
        <v>1054</v>
      </c>
      <c r="N38" s="143" t="s">
        <v>1055</v>
      </c>
      <c r="O38" s="115" t="s">
        <v>1056</v>
      </c>
      <c r="P38" s="115" t="s">
        <v>1057</v>
      </c>
      <c r="Q38" s="99" t="s">
        <v>1058</v>
      </c>
      <c r="R38" s="161"/>
    </row>
    <row r="39" spans="2:19" s="46" customFormat="1" ht="57.95" customHeight="1">
      <c r="B39" s="118" t="s">
        <v>116</v>
      </c>
      <c r="C39" s="119" t="s">
        <v>117</v>
      </c>
      <c r="D39" s="120" t="s">
        <v>414</v>
      </c>
      <c r="E39" s="120" t="s">
        <v>979</v>
      </c>
      <c r="F39" s="120" t="s">
        <v>993</v>
      </c>
      <c r="G39" s="120" t="s">
        <v>291</v>
      </c>
      <c r="H39" s="121">
        <v>0.13</v>
      </c>
      <c r="I39" s="120" t="s">
        <v>1052</v>
      </c>
      <c r="J39" s="146">
        <v>1500</v>
      </c>
      <c r="K39" s="120" t="s">
        <v>981</v>
      </c>
      <c r="L39" s="147" t="s">
        <v>1059</v>
      </c>
      <c r="M39" s="31" t="s">
        <v>1054</v>
      </c>
      <c r="N39" s="148" t="s">
        <v>1055</v>
      </c>
      <c r="O39" s="31" t="s">
        <v>1056</v>
      </c>
      <c r="P39" s="31" t="s">
        <v>1057</v>
      </c>
      <c r="Q39" s="120" t="s">
        <v>1060</v>
      </c>
      <c r="R39" s="162"/>
      <c r="S39" s="163"/>
    </row>
    <row r="40" spans="2:19" s="46" customFormat="1" ht="57.95" customHeight="1">
      <c r="B40" s="97" t="s">
        <v>103</v>
      </c>
      <c r="C40" s="98" t="s">
        <v>104</v>
      </c>
      <c r="D40" s="99" t="s">
        <v>414</v>
      </c>
      <c r="E40" s="99" t="s">
        <v>979</v>
      </c>
      <c r="F40" s="99" t="s">
        <v>993</v>
      </c>
      <c r="G40" s="99" t="s">
        <v>319</v>
      </c>
      <c r="H40" s="100">
        <v>0.09</v>
      </c>
      <c r="I40" s="99" t="s">
        <v>1052</v>
      </c>
      <c r="J40" s="145">
        <v>1000</v>
      </c>
      <c r="K40" s="99" t="s">
        <v>952</v>
      </c>
      <c r="L40" s="139" t="s">
        <v>1053</v>
      </c>
      <c r="M40" s="115" t="s">
        <v>1054</v>
      </c>
      <c r="N40" s="143" t="s">
        <v>1055</v>
      </c>
      <c r="O40" s="115" t="s">
        <v>1056</v>
      </c>
      <c r="P40" s="115" t="s">
        <v>1057</v>
      </c>
      <c r="Q40" s="99" t="s">
        <v>1061</v>
      </c>
      <c r="R40" s="161" t="s">
        <v>1062</v>
      </c>
    </row>
    <row r="41" spans="2:19" s="46" customFormat="1" ht="57.95" customHeight="1">
      <c r="B41" s="118" t="s">
        <v>106</v>
      </c>
      <c r="C41" s="119" t="s">
        <v>107</v>
      </c>
      <c r="D41" s="120" t="s">
        <v>414</v>
      </c>
      <c r="E41" s="120" t="s">
        <v>979</v>
      </c>
      <c r="F41" s="120" t="s">
        <v>1063</v>
      </c>
      <c r="G41" s="120" t="s">
        <v>291</v>
      </c>
      <c r="H41" s="121">
        <v>0.09</v>
      </c>
      <c r="I41" s="120" t="s">
        <v>951</v>
      </c>
      <c r="J41" s="146" t="s">
        <v>1064</v>
      </c>
      <c r="K41" s="120" t="s">
        <v>981</v>
      </c>
      <c r="L41" s="147" t="s">
        <v>1065</v>
      </c>
      <c r="M41" s="31" t="s">
        <v>1066</v>
      </c>
      <c r="N41" s="148" t="s">
        <v>1055</v>
      </c>
      <c r="O41" s="31" t="s">
        <v>1056</v>
      </c>
      <c r="P41" s="31" t="s">
        <v>1057</v>
      </c>
      <c r="Q41" s="120" t="s">
        <v>1067</v>
      </c>
      <c r="R41" s="162" t="s">
        <v>1062</v>
      </c>
    </row>
    <row r="42" spans="2:19" s="46" customFormat="1" ht="57.95" customHeight="1">
      <c r="B42" s="97" t="s">
        <v>108</v>
      </c>
      <c r="C42" s="98" t="s">
        <v>109</v>
      </c>
      <c r="D42" s="99" t="s">
        <v>414</v>
      </c>
      <c r="E42" s="99" t="s">
        <v>979</v>
      </c>
      <c r="F42" s="99" t="s">
        <v>993</v>
      </c>
      <c r="G42" s="99" t="s">
        <v>291</v>
      </c>
      <c r="H42" s="100">
        <v>0.09</v>
      </c>
      <c r="I42" s="99" t="s">
        <v>1068</v>
      </c>
      <c r="J42" s="145">
        <v>2500</v>
      </c>
      <c r="K42" s="99" t="s">
        <v>981</v>
      </c>
      <c r="L42" s="139" t="s">
        <v>1059</v>
      </c>
      <c r="M42" s="115" t="s">
        <v>1054</v>
      </c>
      <c r="N42" s="143" t="s">
        <v>1055</v>
      </c>
      <c r="O42" s="115" t="s">
        <v>1056</v>
      </c>
      <c r="P42" s="115" t="s">
        <v>1057</v>
      </c>
      <c r="Q42" s="99" t="s">
        <v>1069</v>
      </c>
      <c r="R42" s="161" t="s">
        <v>1062</v>
      </c>
    </row>
    <row r="43" spans="2:19" s="46" customFormat="1" ht="57.95" customHeight="1">
      <c r="B43" s="118" t="s">
        <v>110</v>
      </c>
      <c r="C43" s="119" t="s">
        <v>111</v>
      </c>
      <c r="D43" s="120" t="s">
        <v>414</v>
      </c>
      <c r="E43" s="120" t="s">
        <v>979</v>
      </c>
      <c r="F43" s="120" t="s">
        <v>993</v>
      </c>
      <c r="G43" s="120" t="s">
        <v>319</v>
      </c>
      <c r="H43" s="121">
        <v>0.09</v>
      </c>
      <c r="I43" s="120" t="s">
        <v>1068</v>
      </c>
      <c r="J43" s="146">
        <v>1000</v>
      </c>
      <c r="K43" s="120" t="s">
        <v>981</v>
      </c>
      <c r="L43" s="149" t="s">
        <v>1059</v>
      </c>
      <c r="M43" s="31" t="s">
        <v>1054</v>
      </c>
      <c r="N43" s="148" t="s">
        <v>1055</v>
      </c>
      <c r="O43" s="31" t="s">
        <v>1056</v>
      </c>
      <c r="P43" s="31" t="s">
        <v>1057</v>
      </c>
      <c r="Q43" s="120" t="s">
        <v>1070</v>
      </c>
      <c r="R43" s="162" t="s">
        <v>1062</v>
      </c>
    </row>
    <row r="44" spans="2:19" s="46" customFormat="1" ht="57.95" customHeight="1">
      <c r="B44" s="97" t="s">
        <v>112</v>
      </c>
      <c r="C44" s="98" t="s">
        <v>113</v>
      </c>
      <c r="D44" s="99" t="s">
        <v>414</v>
      </c>
      <c r="E44" s="99" t="s">
        <v>979</v>
      </c>
      <c r="F44" s="99" t="s">
        <v>993</v>
      </c>
      <c r="G44" s="99" t="s">
        <v>319</v>
      </c>
      <c r="H44" s="100">
        <v>0.09</v>
      </c>
      <c r="I44" s="99" t="s">
        <v>951</v>
      </c>
      <c r="J44" s="145">
        <v>500</v>
      </c>
      <c r="K44" s="99" t="s">
        <v>981</v>
      </c>
      <c r="L44" s="139" t="s">
        <v>1065</v>
      </c>
      <c r="M44" s="115" t="s">
        <v>1071</v>
      </c>
      <c r="N44" s="143" t="s">
        <v>1055</v>
      </c>
      <c r="O44" s="115" t="s">
        <v>1056</v>
      </c>
      <c r="P44" s="115" t="s">
        <v>1057</v>
      </c>
      <c r="Q44" s="99" t="s">
        <v>1070</v>
      </c>
      <c r="R44" s="161" t="s">
        <v>1062</v>
      </c>
    </row>
    <row r="45" spans="2:19" s="46" customFormat="1" ht="62.1" customHeight="1">
      <c r="B45" s="118" t="s">
        <v>132</v>
      </c>
      <c r="C45" s="119" t="s">
        <v>133</v>
      </c>
      <c r="D45" s="120" t="s">
        <v>414</v>
      </c>
      <c r="E45" s="120" t="s">
        <v>979</v>
      </c>
      <c r="F45" s="120" t="s">
        <v>993</v>
      </c>
      <c r="G45" s="122" t="s">
        <v>291</v>
      </c>
      <c r="H45" s="121">
        <v>0.09</v>
      </c>
      <c r="I45" s="120" t="s">
        <v>1072</v>
      </c>
      <c r="J45" s="146">
        <v>1000</v>
      </c>
      <c r="K45" s="120" t="s">
        <v>981</v>
      </c>
      <c r="L45" s="147" t="s">
        <v>1073</v>
      </c>
      <c r="M45" s="31" t="s">
        <v>1054</v>
      </c>
      <c r="N45" s="148" t="s">
        <v>1055</v>
      </c>
      <c r="O45" s="31" t="s">
        <v>1056</v>
      </c>
      <c r="P45" s="31" t="s">
        <v>1057</v>
      </c>
      <c r="Q45" s="120" t="s">
        <v>1067</v>
      </c>
      <c r="R45" s="162"/>
    </row>
    <row r="46" spans="2:19" s="46" customFormat="1" ht="62.1" customHeight="1">
      <c r="B46" s="97" t="s">
        <v>122</v>
      </c>
      <c r="C46" s="98" t="s">
        <v>123</v>
      </c>
      <c r="D46" s="99" t="s">
        <v>414</v>
      </c>
      <c r="E46" s="99" t="s">
        <v>948</v>
      </c>
      <c r="F46" s="99" t="s">
        <v>1074</v>
      </c>
      <c r="G46" s="123" t="s">
        <v>291</v>
      </c>
      <c r="H46" s="100">
        <v>0.13</v>
      </c>
      <c r="I46" s="99" t="s">
        <v>951</v>
      </c>
      <c r="J46" s="145" t="s">
        <v>1075</v>
      </c>
      <c r="K46" s="99" t="s">
        <v>981</v>
      </c>
      <c r="L46" s="139" t="s">
        <v>1053</v>
      </c>
      <c r="M46" s="115" t="s">
        <v>1071</v>
      </c>
      <c r="N46" s="143" t="s">
        <v>1055</v>
      </c>
      <c r="O46" s="115" t="s">
        <v>1056</v>
      </c>
      <c r="P46" s="115" t="s">
        <v>1057</v>
      </c>
      <c r="Q46" s="99" t="s">
        <v>1067</v>
      </c>
      <c r="R46" s="161"/>
    </row>
    <row r="47" spans="2:19" s="46" customFormat="1" ht="62.1" customHeight="1">
      <c r="B47" s="118" t="s">
        <v>118</v>
      </c>
      <c r="C47" s="119" t="s">
        <v>119</v>
      </c>
      <c r="D47" s="120" t="s">
        <v>414</v>
      </c>
      <c r="E47" s="6" t="s">
        <v>948</v>
      </c>
      <c r="F47" s="120" t="s">
        <v>1074</v>
      </c>
      <c r="G47" s="79" t="s">
        <v>291</v>
      </c>
      <c r="H47" s="121">
        <v>0.13</v>
      </c>
      <c r="I47" s="120" t="s">
        <v>951</v>
      </c>
      <c r="J47" s="146">
        <v>2500</v>
      </c>
      <c r="K47" s="120" t="s">
        <v>981</v>
      </c>
      <c r="L47" s="147" t="s">
        <v>1053</v>
      </c>
      <c r="M47" s="31" t="s">
        <v>1071</v>
      </c>
      <c r="N47" s="148" t="s">
        <v>1055</v>
      </c>
      <c r="O47" s="31" t="s">
        <v>1056</v>
      </c>
      <c r="P47" s="31" t="s">
        <v>1057</v>
      </c>
      <c r="Q47" s="120" t="s">
        <v>1067</v>
      </c>
      <c r="R47" s="162"/>
    </row>
    <row r="48" spans="2:19" s="46" customFormat="1" ht="62.1" customHeight="1">
      <c r="B48" s="97" t="s">
        <v>120</v>
      </c>
      <c r="C48" s="98" t="s">
        <v>121</v>
      </c>
      <c r="D48" s="99" t="s">
        <v>414</v>
      </c>
      <c r="E48" s="99" t="s">
        <v>948</v>
      </c>
      <c r="F48" s="99" t="s">
        <v>1074</v>
      </c>
      <c r="G48" s="99" t="s">
        <v>291</v>
      </c>
      <c r="H48" s="100">
        <v>0.13</v>
      </c>
      <c r="I48" s="99" t="s">
        <v>951</v>
      </c>
      <c r="J48" s="145">
        <v>2500</v>
      </c>
      <c r="K48" s="99" t="s">
        <v>981</v>
      </c>
      <c r="L48" s="139" t="s">
        <v>1053</v>
      </c>
      <c r="M48" s="115" t="s">
        <v>1071</v>
      </c>
      <c r="N48" s="143" t="s">
        <v>1055</v>
      </c>
      <c r="O48" s="115" t="s">
        <v>1056</v>
      </c>
      <c r="P48" s="115" t="s">
        <v>1057</v>
      </c>
      <c r="Q48" s="99" t="s">
        <v>1067</v>
      </c>
      <c r="R48" s="161"/>
    </row>
    <row r="49" spans="2:18" s="46" customFormat="1" ht="86.25" customHeight="1">
      <c r="B49" s="118" t="s">
        <v>126</v>
      </c>
      <c r="C49" s="119" t="s">
        <v>127</v>
      </c>
      <c r="D49" s="120" t="s">
        <v>414</v>
      </c>
      <c r="E49" s="120" t="s">
        <v>979</v>
      </c>
      <c r="F49" s="120" t="s">
        <v>993</v>
      </c>
      <c r="G49" s="120" t="s">
        <v>291</v>
      </c>
      <c r="H49" s="121">
        <v>0.13</v>
      </c>
      <c r="I49" s="120" t="s">
        <v>951</v>
      </c>
      <c r="J49" s="146">
        <v>1000</v>
      </c>
      <c r="K49" s="120" t="s">
        <v>981</v>
      </c>
      <c r="L49" s="147" t="s">
        <v>1076</v>
      </c>
      <c r="M49" s="31" t="s">
        <v>1054</v>
      </c>
      <c r="N49" s="148" t="s">
        <v>341</v>
      </c>
      <c r="O49" s="31" t="s">
        <v>1056</v>
      </c>
      <c r="P49" s="148" t="s">
        <v>1077</v>
      </c>
      <c r="Q49" s="120" t="s">
        <v>1078</v>
      </c>
      <c r="R49" s="162"/>
    </row>
    <row r="50" spans="2:18" s="46" customFormat="1" ht="86.25" customHeight="1">
      <c r="B50" s="97" t="s">
        <v>134</v>
      </c>
      <c r="C50" s="98" t="s">
        <v>135</v>
      </c>
      <c r="D50" s="99" t="s">
        <v>414</v>
      </c>
      <c r="E50" s="99" t="s">
        <v>948</v>
      </c>
      <c r="F50" s="99" t="s">
        <v>1074</v>
      </c>
      <c r="G50" s="99" t="s">
        <v>291</v>
      </c>
      <c r="H50" s="100">
        <v>0.13</v>
      </c>
      <c r="I50" s="99" t="s">
        <v>951</v>
      </c>
      <c r="J50" s="145">
        <v>1000</v>
      </c>
      <c r="K50" s="99" t="s">
        <v>981</v>
      </c>
      <c r="L50" s="139" t="s">
        <v>1073</v>
      </c>
      <c r="M50" s="115" t="s">
        <v>1054</v>
      </c>
      <c r="N50" s="143" t="s">
        <v>341</v>
      </c>
      <c r="O50" s="115" t="s">
        <v>1056</v>
      </c>
      <c r="P50" s="143" t="s">
        <v>1077</v>
      </c>
      <c r="Q50" s="99" t="s">
        <v>1079</v>
      </c>
      <c r="R50" s="161" t="s">
        <v>1080</v>
      </c>
    </row>
    <row r="51" spans="2:18" s="46" customFormat="1" ht="103.5" customHeight="1">
      <c r="B51" s="118" t="s">
        <v>124</v>
      </c>
      <c r="C51" s="119" t="s">
        <v>125</v>
      </c>
      <c r="D51" s="120" t="s">
        <v>414</v>
      </c>
      <c r="E51" s="120" t="s">
        <v>1007</v>
      </c>
      <c r="F51" s="120" t="s">
        <v>1081</v>
      </c>
      <c r="G51" s="120" t="s">
        <v>291</v>
      </c>
      <c r="H51" s="121">
        <v>0.09</v>
      </c>
      <c r="I51" s="120" t="s">
        <v>951</v>
      </c>
      <c r="J51" s="146">
        <v>500</v>
      </c>
      <c r="K51" s="120" t="s">
        <v>1082</v>
      </c>
      <c r="L51" s="149" t="s">
        <v>1083</v>
      </c>
      <c r="M51" s="31" t="s">
        <v>1054</v>
      </c>
      <c r="N51" s="148" t="s">
        <v>341</v>
      </c>
      <c r="O51" s="31" t="s">
        <v>1056</v>
      </c>
      <c r="P51" s="148" t="s">
        <v>1077</v>
      </c>
      <c r="Q51" s="120" t="s">
        <v>1067</v>
      </c>
      <c r="R51" s="162" t="s">
        <v>1084</v>
      </c>
    </row>
    <row r="52" spans="2:18" s="46" customFormat="1" ht="48" customHeight="1">
      <c r="B52" s="97" t="s">
        <v>128</v>
      </c>
      <c r="C52" s="98" t="s">
        <v>129</v>
      </c>
      <c r="D52" s="99" t="s">
        <v>414</v>
      </c>
      <c r="E52" s="99" t="s">
        <v>1085</v>
      </c>
      <c r="F52" s="124" t="s">
        <v>1086</v>
      </c>
      <c r="G52" s="99" t="s">
        <v>430</v>
      </c>
      <c r="H52" s="100">
        <v>0.13</v>
      </c>
      <c r="I52" s="99" t="s">
        <v>951</v>
      </c>
      <c r="J52" s="145">
        <v>100</v>
      </c>
      <c r="K52" s="99" t="s">
        <v>981</v>
      </c>
      <c r="L52" s="139" t="s">
        <v>1053</v>
      </c>
      <c r="M52" s="115" t="s">
        <v>1054</v>
      </c>
      <c r="N52" s="143" t="s">
        <v>1055</v>
      </c>
      <c r="O52" s="115" t="s">
        <v>1056</v>
      </c>
      <c r="P52" s="115" t="s">
        <v>1057</v>
      </c>
      <c r="Q52" s="99" t="s">
        <v>1067</v>
      </c>
      <c r="R52" s="161"/>
    </row>
    <row r="53" spans="2:18" s="46" customFormat="1" ht="48" customHeight="1">
      <c r="B53" s="118" t="s">
        <v>130</v>
      </c>
      <c r="C53" s="119" t="s">
        <v>131</v>
      </c>
      <c r="D53" s="120" t="s">
        <v>414</v>
      </c>
      <c r="E53" s="120" t="s">
        <v>1087</v>
      </c>
      <c r="F53" s="125" t="s">
        <v>1088</v>
      </c>
      <c r="G53" s="120" t="s">
        <v>430</v>
      </c>
      <c r="H53" s="121">
        <v>0.13</v>
      </c>
      <c r="I53" s="120" t="s">
        <v>951</v>
      </c>
      <c r="J53" s="146">
        <v>200</v>
      </c>
      <c r="K53" s="120" t="s">
        <v>981</v>
      </c>
      <c r="L53" s="147" t="s">
        <v>1065</v>
      </c>
      <c r="M53" s="31" t="s">
        <v>1054</v>
      </c>
      <c r="N53" s="148" t="s">
        <v>1055</v>
      </c>
      <c r="O53" s="31" t="s">
        <v>1056</v>
      </c>
      <c r="P53" s="31" t="s">
        <v>1057</v>
      </c>
      <c r="Q53" s="120" t="s">
        <v>1067</v>
      </c>
      <c r="R53" s="162"/>
    </row>
    <row r="54" spans="2:18" s="46" customFormat="1" ht="48" customHeight="1">
      <c r="B54" s="97" t="s">
        <v>136</v>
      </c>
      <c r="C54" s="98" t="s">
        <v>137</v>
      </c>
      <c r="D54" s="99" t="s">
        <v>414</v>
      </c>
      <c r="E54" s="99" t="s">
        <v>1085</v>
      </c>
      <c r="F54" s="124" t="s">
        <v>1089</v>
      </c>
      <c r="G54" s="99" t="s">
        <v>430</v>
      </c>
      <c r="H54" s="100">
        <v>0.13</v>
      </c>
      <c r="I54" s="99" t="s">
        <v>951</v>
      </c>
      <c r="J54" s="145">
        <v>2000</v>
      </c>
      <c r="K54" s="99" t="s">
        <v>981</v>
      </c>
      <c r="L54" s="137" t="s">
        <v>1090</v>
      </c>
      <c r="M54" s="115" t="s">
        <v>1091</v>
      </c>
      <c r="N54" s="143" t="s">
        <v>1055</v>
      </c>
      <c r="O54" s="115" t="s">
        <v>1056</v>
      </c>
      <c r="P54" s="115" t="s">
        <v>1057</v>
      </c>
      <c r="Q54" s="99" t="s">
        <v>1092</v>
      </c>
      <c r="R54" s="161"/>
    </row>
    <row r="55" spans="2:18" s="46" customFormat="1" ht="48" customHeight="1">
      <c r="B55" s="118" t="s">
        <v>144</v>
      </c>
      <c r="C55" s="119" t="s">
        <v>145</v>
      </c>
      <c r="D55" s="120" t="s">
        <v>260</v>
      </c>
      <c r="E55" s="120" t="s">
        <v>1093</v>
      </c>
      <c r="F55" s="120" t="s">
        <v>1094</v>
      </c>
      <c r="G55" s="120" t="s">
        <v>346</v>
      </c>
      <c r="H55" s="121">
        <v>0.13</v>
      </c>
      <c r="I55" s="120" t="s">
        <v>951</v>
      </c>
      <c r="J55" s="146">
        <v>200</v>
      </c>
      <c r="K55" s="120" t="s">
        <v>981</v>
      </c>
      <c r="L55" s="147" t="s">
        <v>1090</v>
      </c>
      <c r="M55" s="31" t="s">
        <v>1054</v>
      </c>
      <c r="N55" s="148" t="s">
        <v>1055</v>
      </c>
      <c r="O55" s="31" t="s">
        <v>1056</v>
      </c>
      <c r="P55" s="31" t="s">
        <v>1057</v>
      </c>
      <c r="Q55" s="120" t="s">
        <v>1095</v>
      </c>
      <c r="R55" s="162"/>
    </row>
    <row r="56" spans="2:18" s="46" customFormat="1" ht="48" customHeight="1">
      <c r="B56" s="97" t="s">
        <v>142</v>
      </c>
      <c r="C56" s="98" t="s">
        <v>143</v>
      </c>
      <c r="D56" s="99" t="s">
        <v>260</v>
      </c>
      <c r="E56" s="99" t="s">
        <v>1096</v>
      </c>
      <c r="F56" s="99" t="s">
        <v>1097</v>
      </c>
      <c r="G56" s="99" t="s">
        <v>343</v>
      </c>
      <c r="H56" s="100">
        <v>0.13</v>
      </c>
      <c r="I56" s="99" t="s">
        <v>951</v>
      </c>
      <c r="J56" s="145">
        <v>20</v>
      </c>
      <c r="K56" s="99" t="s">
        <v>981</v>
      </c>
      <c r="L56" s="139" t="s">
        <v>1059</v>
      </c>
      <c r="M56" s="115" t="s">
        <v>1071</v>
      </c>
      <c r="N56" s="143" t="s">
        <v>1055</v>
      </c>
      <c r="O56" s="115" t="s">
        <v>1056</v>
      </c>
      <c r="P56" s="115" t="s">
        <v>1057</v>
      </c>
      <c r="Q56" s="99" t="s">
        <v>1098</v>
      </c>
      <c r="R56" s="161"/>
    </row>
    <row r="57" spans="2:18" s="92" customFormat="1" ht="103.5" customHeight="1">
      <c r="B57" s="118" t="s">
        <v>138</v>
      </c>
      <c r="C57" s="119" t="s">
        <v>139</v>
      </c>
      <c r="D57" s="120" t="s">
        <v>260</v>
      </c>
      <c r="E57" s="120" t="s">
        <v>948</v>
      </c>
      <c r="F57" s="120" t="s">
        <v>1074</v>
      </c>
      <c r="G57" s="120" t="s">
        <v>348</v>
      </c>
      <c r="H57" s="121" t="s">
        <v>1099</v>
      </c>
      <c r="I57" s="120" t="s">
        <v>951</v>
      </c>
      <c r="J57" s="120">
        <v>20</v>
      </c>
      <c r="K57" s="120" t="s">
        <v>1100</v>
      </c>
      <c r="L57" s="147" t="s">
        <v>1101</v>
      </c>
      <c r="M57" s="31" t="s">
        <v>1102</v>
      </c>
      <c r="N57" s="148" t="s">
        <v>341</v>
      </c>
      <c r="O57" s="31" t="s">
        <v>1056</v>
      </c>
      <c r="P57" s="148" t="s">
        <v>1077</v>
      </c>
      <c r="Q57" s="120" t="s">
        <v>1103</v>
      </c>
      <c r="R57" s="162"/>
    </row>
    <row r="58" spans="2:18" s="46" customFormat="1" ht="95.1" customHeight="1">
      <c r="B58" s="97" t="s">
        <v>140</v>
      </c>
      <c r="C58" s="98" t="s">
        <v>141</v>
      </c>
      <c r="D58" s="99" t="s">
        <v>260</v>
      </c>
      <c r="E58" s="99" t="s">
        <v>1104</v>
      </c>
      <c r="F58" s="99" t="s">
        <v>1105</v>
      </c>
      <c r="G58" s="99" t="s">
        <v>286</v>
      </c>
      <c r="H58" s="100" t="s">
        <v>1106</v>
      </c>
      <c r="I58" s="99" t="s">
        <v>1052</v>
      </c>
      <c r="J58" s="145" t="s">
        <v>1107</v>
      </c>
      <c r="K58" s="99" t="s">
        <v>1108</v>
      </c>
      <c r="L58" s="139" t="s">
        <v>1109</v>
      </c>
      <c r="M58" s="115" t="s">
        <v>1102</v>
      </c>
      <c r="N58" s="143" t="s">
        <v>341</v>
      </c>
      <c r="O58" s="143" t="s">
        <v>1056</v>
      </c>
      <c r="P58" s="143" t="s">
        <v>1077</v>
      </c>
      <c r="Q58" s="99" t="s">
        <v>1110</v>
      </c>
      <c r="R58" s="164"/>
    </row>
    <row r="59" spans="2:18" s="46" customFormat="1" ht="95.1" customHeight="1">
      <c r="B59" s="126" t="s">
        <v>146</v>
      </c>
      <c r="C59" s="127" t="s">
        <v>147</v>
      </c>
      <c r="D59" s="128" t="s">
        <v>260</v>
      </c>
      <c r="E59" s="128" t="s">
        <v>1111</v>
      </c>
      <c r="F59" s="128" t="s">
        <v>1112</v>
      </c>
      <c r="G59" s="128" t="s">
        <v>346</v>
      </c>
      <c r="H59" s="129">
        <v>0.09</v>
      </c>
      <c r="I59" s="128" t="s">
        <v>1052</v>
      </c>
      <c r="J59" s="128">
        <v>60</v>
      </c>
      <c r="K59" s="128" t="s">
        <v>1108</v>
      </c>
      <c r="L59" s="150" t="s">
        <v>1113</v>
      </c>
      <c r="M59" s="151" t="s">
        <v>1114</v>
      </c>
      <c r="N59" s="152" t="s">
        <v>341</v>
      </c>
      <c r="O59" s="151" t="s">
        <v>1056</v>
      </c>
      <c r="P59" s="152" t="s">
        <v>1077</v>
      </c>
      <c r="Q59" s="128" t="s">
        <v>1115</v>
      </c>
      <c r="R59" s="165"/>
    </row>
    <row r="60" spans="2:18" ht="15" customHeight="1"/>
    <row r="61" spans="2:18" ht="51.95" customHeight="1">
      <c r="B61" s="999" t="s">
        <v>1116</v>
      </c>
      <c r="C61" s="1103"/>
      <c r="D61" s="1000"/>
      <c r="E61" s="625"/>
      <c r="F61" s="625"/>
      <c r="G61" s="625"/>
      <c r="H61" s="625"/>
      <c r="I61" s="625"/>
      <c r="J61" s="625"/>
      <c r="K61" s="625"/>
      <c r="L61" s="1120"/>
      <c r="M61" s="625"/>
      <c r="N61" s="625"/>
      <c r="O61" s="625"/>
      <c r="P61" s="1121"/>
      <c r="Q61" s="1121"/>
      <c r="R61" s="576"/>
    </row>
    <row r="62" spans="2:18" ht="44.1" customHeight="1">
      <c r="B62" s="109" t="s">
        <v>36</v>
      </c>
      <c r="C62" s="110" t="s">
        <v>37</v>
      </c>
      <c r="D62" s="110" t="s">
        <v>373</v>
      </c>
      <c r="E62" s="111" t="s">
        <v>936</v>
      </c>
      <c r="F62" s="111" t="s">
        <v>937</v>
      </c>
      <c r="G62" s="111" t="s">
        <v>242</v>
      </c>
      <c r="H62" s="111" t="s">
        <v>938</v>
      </c>
      <c r="I62" s="111" t="s">
        <v>245</v>
      </c>
      <c r="J62" s="111" t="s">
        <v>1048</v>
      </c>
      <c r="K62" s="111" t="s">
        <v>940</v>
      </c>
      <c r="L62" s="111" t="s">
        <v>1018</v>
      </c>
      <c r="M62" s="111" t="s">
        <v>380</v>
      </c>
      <c r="N62" s="111" t="s">
        <v>248</v>
      </c>
      <c r="O62" s="111" t="s">
        <v>1050</v>
      </c>
      <c r="P62" s="111" t="s">
        <v>943</v>
      </c>
      <c r="Q62" s="111" t="s">
        <v>944</v>
      </c>
      <c r="R62" s="158" t="s">
        <v>945</v>
      </c>
    </row>
    <row r="63" spans="2:18" ht="45.95" customHeight="1">
      <c r="B63" s="131" t="s">
        <v>160</v>
      </c>
      <c r="C63" s="132" t="s">
        <v>161</v>
      </c>
      <c r="D63" s="133" t="s">
        <v>414</v>
      </c>
      <c r="E63" s="115" t="s">
        <v>979</v>
      </c>
      <c r="F63" s="115" t="s">
        <v>993</v>
      </c>
      <c r="G63" s="115" t="s">
        <v>325</v>
      </c>
      <c r="H63" s="134">
        <v>0.13</v>
      </c>
      <c r="I63" s="115" t="s">
        <v>287</v>
      </c>
      <c r="J63" s="115">
        <v>1000</v>
      </c>
      <c r="K63" s="115" t="s">
        <v>981</v>
      </c>
      <c r="L63" s="153" t="s">
        <v>1117</v>
      </c>
      <c r="M63" s="115" t="s">
        <v>1118</v>
      </c>
      <c r="N63" s="115" t="s">
        <v>1119</v>
      </c>
      <c r="O63" s="153" t="s">
        <v>1120</v>
      </c>
      <c r="P63" s="153" t="s">
        <v>1121</v>
      </c>
      <c r="Q63" s="133" t="s">
        <v>1122</v>
      </c>
      <c r="R63" s="166" t="s">
        <v>1123</v>
      </c>
    </row>
    <row r="64" spans="2:18" ht="45.95" customHeight="1">
      <c r="B64" s="101" t="s">
        <v>1124</v>
      </c>
      <c r="C64" s="102" t="s">
        <v>163</v>
      </c>
      <c r="D64" s="6" t="s">
        <v>414</v>
      </c>
      <c r="E64" s="6" t="s">
        <v>948</v>
      </c>
      <c r="F64" s="6" t="s">
        <v>1074</v>
      </c>
      <c r="G64" s="6" t="s">
        <v>331</v>
      </c>
      <c r="H64" s="103">
        <v>0.13</v>
      </c>
      <c r="I64" s="6" t="s">
        <v>287</v>
      </c>
      <c r="J64" s="6">
        <v>5000</v>
      </c>
      <c r="K64" s="6" t="s">
        <v>981</v>
      </c>
      <c r="L64" s="142" t="s">
        <v>1125</v>
      </c>
      <c r="M64" s="6" t="s">
        <v>1118</v>
      </c>
      <c r="N64" s="6" t="s">
        <v>1119</v>
      </c>
      <c r="O64" s="142" t="s">
        <v>1120</v>
      </c>
      <c r="P64" s="142" t="s">
        <v>1121</v>
      </c>
      <c r="Q64" s="6" t="s">
        <v>1126</v>
      </c>
      <c r="R64" s="167"/>
    </row>
    <row r="65" spans="2:18" ht="51.75" customHeight="1">
      <c r="B65" s="131" t="s">
        <v>156</v>
      </c>
      <c r="C65" s="132" t="s">
        <v>157</v>
      </c>
      <c r="D65" s="133" t="s">
        <v>414</v>
      </c>
      <c r="E65" s="115" t="s">
        <v>1007</v>
      </c>
      <c r="F65" s="115" t="s">
        <v>1081</v>
      </c>
      <c r="G65" s="115" t="s">
        <v>325</v>
      </c>
      <c r="H65" s="134">
        <v>0.13</v>
      </c>
      <c r="I65" s="115" t="s">
        <v>287</v>
      </c>
      <c r="J65" s="115">
        <v>1000</v>
      </c>
      <c r="K65" s="115" t="s">
        <v>1082</v>
      </c>
      <c r="L65" s="153" t="s">
        <v>1127</v>
      </c>
      <c r="M65" s="115" t="s">
        <v>1118</v>
      </c>
      <c r="N65" s="115" t="s">
        <v>1119</v>
      </c>
      <c r="O65" s="153" t="s">
        <v>1120</v>
      </c>
      <c r="P65" s="153" t="s">
        <v>1121</v>
      </c>
      <c r="Q65" s="133" t="s">
        <v>1128</v>
      </c>
      <c r="R65" s="166"/>
    </row>
    <row r="66" spans="2:18" ht="69" customHeight="1">
      <c r="B66" s="101" t="s">
        <v>176</v>
      </c>
      <c r="C66" s="102" t="s">
        <v>177</v>
      </c>
      <c r="D66" s="6" t="s">
        <v>414</v>
      </c>
      <c r="E66" s="6" t="s">
        <v>1085</v>
      </c>
      <c r="F66" s="6" t="s">
        <v>1129</v>
      </c>
      <c r="G66" s="6" t="s">
        <v>356</v>
      </c>
      <c r="H66" s="103">
        <v>0.13</v>
      </c>
      <c r="I66" s="6" t="s">
        <v>287</v>
      </c>
      <c r="J66" s="6">
        <v>200</v>
      </c>
      <c r="K66" s="6" t="s">
        <v>1130</v>
      </c>
      <c r="L66" s="142" t="s">
        <v>1131</v>
      </c>
      <c r="M66" s="6" t="s">
        <v>1118</v>
      </c>
      <c r="N66" s="6" t="s">
        <v>1132</v>
      </c>
      <c r="O66" s="142" t="s">
        <v>1133</v>
      </c>
      <c r="P66" s="142" t="s">
        <v>1121</v>
      </c>
      <c r="Q66" s="6" t="s">
        <v>1134</v>
      </c>
      <c r="R66" s="167"/>
    </row>
    <row r="67" spans="2:18" ht="51" customHeight="1">
      <c r="B67" s="131" t="s">
        <v>184</v>
      </c>
      <c r="C67" s="132" t="s">
        <v>185</v>
      </c>
      <c r="D67" s="133" t="s">
        <v>260</v>
      </c>
      <c r="E67" s="115" t="s">
        <v>948</v>
      </c>
      <c r="F67" s="115" t="s">
        <v>1074</v>
      </c>
      <c r="G67" s="115" t="s">
        <v>319</v>
      </c>
      <c r="H67" s="134">
        <v>0.13</v>
      </c>
      <c r="I67" s="115" t="s">
        <v>287</v>
      </c>
      <c r="J67" s="115">
        <v>1000</v>
      </c>
      <c r="K67" s="115" t="s">
        <v>981</v>
      </c>
      <c r="L67" s="153" t="s">
        <v>1135</v>
      </c>
      <c r="M67" s="115" t="s">
        <v>1118</v>
      </c>
      <c r="N67" s="115" t="s">
        <v>1119</v>
      </c>
      <c r="O67" s="153" t="s">
        <v>1120</v>
      </c>
      <c r="P67" s="153" t="s">
        <v>1121</v>
      </c>
      <c r="Q67" s="133" t="s">
        <v>1136</v>
      </c>
      <c r="R67" s="166"/>
    </row>
    <row r="68" spans="2:18" ht="51" customHeight="1">
      <c r="B68" s="101" t="s">
        <v>178</v>
      </c>
      <c r="C68" s="102" t="s">
        <v>179</v>
      </c>
      <c r="D68" s="6" t="s">
        <v>260</v>
      </c>
      <c r="E68" s="6" t="s">
        <v>948</v>
      </c>
      <c r="F68" s="6" t="s">
        <v>1074</v>
      </c>
      <c r="G68" s="6" t="s">
        <v>319</v>
      </c>
      <c r="H68" s="103">
        <v>0.13</v>
      </c>
      <c r="I68" s="6" t="s">
        <v>287</v>
      </c>
      <c r="J68" s="6">
        <v>2000</v>
      </c>
      <c r="K68" s="6" t="s">
        <v>981</v>
      </c>
      <c r="L68" s="142" t="s">
        <v>1137</v>
      </c>
      <c r="M68" s="6" t="s">
        <v>1118</v>
      </c>
      <c r="N68" s="6" t="s">
        <v>1119</v>
      </c>
      <c r="O68" s="142" t="s">
        <v>1120</v>
      </c>
      <c r="P68" s="142" t="s">
        <v>1121</v>
      </c>
      <c r="Q68" s="6" t="s">
        <v>1136</v>
      </c>
      <c r="R68" s="167"/>
    </row>
    <row r="69" spans="2:18" ht="51" customHeight="1">
      <c r="B69" s="131" t="s">
        <v>154</v>
      </c>
      <c r="C69" s="132" t="s">
        <v>155</v>
      </c>
      <c r="D69" s="133" t="s">
        <v>414</v>
      </c>
      <c r="E69" s="115" t="s">
        <v>979</v>
      </c>
      <c r="F69" s="115" t="s">
        <v>993</v>
      </c>
      <c r="G69" s="115" t="s">
        <v>1138</v>
      </c>
      <c r="H69" s="134">
        <v>0.13</v>
      </c>
      <c r="I69" s="115" t="s">
        <v>1139</v>
      </c>
      <c r="J69" s="115">
        <v>1000</v>
      </c>
      <c r="K69" s="115" t="s">
        <v>981</v>
      </c>
      <c r="L69" s="153" t="s">
        <v>1140</v>
      </c>
      <c r="M69" s="115" t="s">
        <v>1118</v>
      </c>
      <c r="N69" s="115" t="s">
        <v>1119</v>
      </c>
      <c r="O69" s="153" t="s">
        <v>1120</v>
      </c>
      <c r="P69" s="153" t="s">
        <v>1121</v>
      </c>
      <c r="Q69" s="133" t="s">
        <v>1141</v>
      </c>
      <c r="R69" s="166"/>
    </row>
    <row r="70" spans="2:18" ht="51" customHeight="1">
      <c r="B70" s="101" t="s">
        <v>149</v>
      </c>
      <c r="C70" s="102" t="s">
        <v>150</v>
      </c>
      <c r="D70" s="6" t="s">
        <v>414</v>
      </c>
      <c r="E70" s="6" t="s">
        <v>948</v>
      </c>
      <c r="F70" s="6" t="s">
        <v>1142</v>
      </c>
      <c r="G70" s="6" t="s">
        <v>1143</v>
      </c>
      <c r="H70" s="103">
        <v>0.09</v>
      </c>
      <c r="I70" s="6" t="s">
        <v>1139</v>
      </c>
      <c r="J70" s="6">
        <v>800</v>
      </c>
      <c r="K70" s="6" t="s">
        <v>952</v>
      </c>
      <c r="L70" s="142" t="s">
        <v>1144</v>
      </c>
      <c r="M70" s="6" t="s">
        <v>1118</v>
      </c>
      <c r="N70" s="6" t="s">
        <v>1119</v>
      </c>
      <c r="O70" s="142" t="s">
        <v>1120</v>
      </c>
      <c r="P70" s="142" t="s">
        <v>1121</v>
      </c>
      <c r="Q70" s="6" t="s">
        <v>1145</v>
      </c>
      <c r="R70" s="167"/>
    </row>
    <row r="71" spans="2:18" ht="116.1" customHeight="1">
      <c r="B71" s="131" t="s">
        <v>152</v>
      </c>
      <c r="C71" s="132" t="s">
        <v>153</v>
      </c>
      <c r="D71" s="133" t="s">
        <v>414</v>
      </c>
      <c r="E71" s="115" t="s">
        <v>948</v>
      </c>
      <c r="F71" s="115" t="s">
        <v>1146</v>
      </c>
      <c r="G71" s="115" t="s">
        <v>1143</v>
      </c>
      <c r="H71" s="134">
        <v>0.13</v>
      </c>
      <c r="I71" s="115" t="s">
        <v>287</v>
      </c>
      <c r="J71" s="115">
        <v>100</v>
      </c>
      <c r="K71" s="115" t="s">
        <v>981</v>
      </c>
      <c r="L71" s="153" t="s">
        <v>1147</v>
      </c>
      <c r="M71" s="115" t="s">
        <v>1118</v>
      </c>
      <c r="N71" s="115" t="s">
        <v>1119</v>
      </c>
      <c r="O71" s="153" t="s">
        <v>1120</v>
      </c>
      <c r="P71" s="153" t="s">
        <v>1121</v>
      </c>
      <c r="Q71" s="133" t="s">
        <v>1148</v>
      </c>
      <c r="R71" s="166"/>
    </row>
    <row r="72" spans="2:18" ht="51" customHeight="1">
      <c r="B72" s="101" t="s">
        <v>166</v>
      </c>
      <c r="C72" s="102" t="s">
        <v>167</v>
      </c>
      <c r="D72" s="6" t="s">
        <v>414</v>
      </c>
      <c r="E72" s="6" t="s">
        <v>979</v>
      </c>
      <c r="F72" s="6" t="s">
        <v>993</v>
      </c>
      <c r="G72" s="6" t="s">
        <v>291</v>
      </c>
      <c r="H72" s="103">
        <v>0.09</v>
      </c>
      <c r="I72" s="6" t="s">
        <v>1139</v>
      </c>
      <c r="J72" s="6">
        <v>1000</v>
      </c>
      <c r="K72" s="6" t="s">
        <v>981</v>
      </c>
      <c r="L72" s="142" t="s">
        <v>1149</v>
      </c>
      <c r="M72" s="6" t="s">
        <v>1118</v>
      </c>
      <c r="N72" s="6" t="s">
        <v>1119</v>
      </c>
      <c r="O72" s="142" t="s">
        <v>1120</v>
      </c>
      <c r="P72" s="142" t="s">
        <v>1121</v>
      </c>
      <c r="Q72" s="6" t="s">
        <v>1150</v>
      </c>
      <c r="R72" s="167"/>
    </row>
    <row r="73" spans="2:18" ht="69" customHeight="1">
      <c r="B73" s="131" t="s">
        <v>1151</v>
      </c>
      <c r="C73" s="132" t="s">
        <v>189</v>
      </c>
      <c r="D73" s="133" t="s">
        <v>260</v>
      </c>
      <c r="E73" s="115" t="s">
        <v>979</v>
      </c>
      <c r="F73" s="115" t="s">
        <v>993</v>
      </c>
      <c r="G73" s="115" t="s">
        <v>325</v>
      </c>
      <c r="H73" s="134">
        <v>0.09</v>
      </c>
      <c r="I73" s="115" t="s">
        <v>1152</v>
      </c>
      <c r="J73" s="115">
        <v>500</v>
      </c>
      <c r="K73" s="115" t="s">
        <v>1153</v>
      </c>
      <c r="L73" s="153" t="s">
        <v>1154</v>
      </c>
      <c r="M73" s="115" t="s">
        <v>1118</v>
      </c>
      <c r="N73" s="115" t="s">
        <v>1119</v>
      </c>
      <c r="O73" s="153" t="s">
        <v>1155</v>
      </c>
      <c r="P73" s="153" t="s">
        <v>1121</v>
      </c>
      <c r="Q73" s="133" t="s">
        <v>1126</v>
      </c>
      <c r="R73" s="166"/>
    </row>
    <row r="74" spans="2:18" ht="50.1" customHeight="1">
      <c r="B74" s="101" t="s">
        <v>873</v>
      </c>
      <c r="C74" s="102" t="s">
        <v>169</v>
      </c>
      <c r="D74" s="6" t="s">
        <v>414</v>
      </c>
      <c r="E74" s="6" t="s">
        <v>979</v>
      </c>
      <c r="F74" s="6" t="s">
        <v>993</v>
      </c>
      <c r="G74" s="6" t="s">
        <v>325</v>
      </c>
      <c r="H74" s="103" t="s">
        <v>1156</v>
      </c>
      <c r="I74" s="6" t="s">
        <v>1157</v>
      </c>
      <c r="J74" s="6">
        <v>1000</v>
      </c>
      <c r="K74" s="6" t="s">
        <v>981</v>
      </c>
      <c r="L74" s="142" t="s">
        <v>1158</v>
      </c>
      <c r="M74" s="6" t="s">
        <v>1118</v>
      </c>
      <c r="N74" s="6" t="s">
        <v>1119</v>
      </c>
      <c r="O74" s="142" t="s">
        <v>1120</v>
      </c>
      <c r="P74" s="142" t="s">
        <v>1121</v>
      </c>
      <c r="Q74" s="6" t="s">
        <v>1126</v>
      </c>
      <c r="R74" s="167"/>
    </row>
    <row r="75" spans="2:18" ht="120.75" customHeight="1">
      <c r="B75" s="131" t="s">
        <v>186</v>
      </c>
      <c r="C75" s="132" t="s">
        <v>187</v>
      </c>
      <c r="D75" s="133" t="s">
        <v>260</v>
      </c>
      <c r="E75" s="115" t="s">
        <v>979</v>
      </c>
      <c r="F75" s="115" t="s">
        <v>993</v>
      </c>
      <c r="G75" s="115" t="s">
        <v>291</v>
      </c>
      <c r="H75" s="134">
        <v>0.09</v>
      </c>
      <c r="I75" s="115" t="s">
        <v>1159</v>
      </c>
      <c r="J75" s="115">
        <v>20</v>
      </c>
      <c r="K75" s="115" t="s">
        <v>1160</v>
      </c>
      <c r="L75" s="153" t="s">
        <v>1161</v>
      </c>
      <c r="M75" s="115" t="s">
        <v>1118</v>
      </c>
      <c r="N75" s="115" t="s">
        <v>1119</v>
      </c>
      <c r="O75" s="153" t="s">
        <v>1162</v>
      </c>
      <c r="P75" s="153" t="s">
        <v>1121</v>
      </c>
      <c r="Q75" s="133" t="s">
        <v>1126</v>
      </c>
      <c r="R75" s="166"/>
    </row>
    <row r="76" spans="2:18" ht="62.1" customHeight="1">
      <c r="B76" s="101" t="s">
        <v>190</v>
      </c>
      <c r="C76" s="102" t="s">
        <v>191</v>
      </c>
      <c r="D76" s="6" t="s">
        <v>260</v>
      </c>
      <c r="E76" s="6" t="s">
        <v>948</v>
      </c>
      <c r="F76" s="6" t="s">
        <v>1074</v>
      </c>
      <c r="G76" s="6" t="s">
        <v>286</v>
      </c>
      <c r="H76" s="103">
        <v>0.09</v>
      </c>
      <c r="I76" s="6" t="s">
        <v>1163</v>
      </c>
      <c r="J76" s="6">
        <v>10</v>
      </c>
      <c r="K76" s="6" t="s">
        <v>952</v>
      </c>
      <c r="L76" s="142" t="s">
        <v>1673</v>
      </c>
      <c r="M76" s="6" t="s">
        <v>1118</v>
      </c>
      <c r="N76" s="6" t="s">
        <v>1119</v>
      </c>
      <c r="O76" s="142" t="s">
        <v>1120</v>
      </c>
      <c r="P76" s="142" t="s">
        <v>1121</v>
      </c>
      <c r="Q76" s="6" t="s">
        <v>1164</v>
      </c>
      <c r="R76" s="167"/>
    </row>
    <row r="77" spans="2:18" ht="69" customHeight="1">
      <c r="B77" s="131" t="s">
        <v>196</v>
      </c>
      <c r="C77" s="132" t="s">
        <v>197</v>
      </c>
      <c r="D77" s="133" t="s">
        <v>260</v>
      </c>
      <c r="E77" s="115" t="s">
        <v>948</v>
      </c>
      <c r="F77" s="115" t="s">
        <v>1074</v>
      </c>
      <c r="G77" s="115" t="s">
        <v>319</v>
      </c>
      <c r="H77" s="134">
        <v>0.09</v>
      </c>
      <c r="I77" s="115" t="s">
        <v>1165</v>
      </c>
      <c r="J77" s="115">
        <v>100</v>
      </c>
      <c r="K77" s="115" t="s">
        <v>1166</v>
      </c>
      <c r="L77" s="153" t="s">
        <v>1167</v>
      </c>
      <c r="M77" s="115" t="s">
        <v>1118</v>
      </c>
      <c r="N77" s="115" t="s">
        <v>1168</v>
      </c>
      <c r="O77" s="153" t="s">
        <v>1162</v>
      </c>
      <c r="P77" s="153" t="s">
        <v>1121</v>
      </c>
      <c r="Q77" s="133" t="s">
        <v>1169</v>
      </c>
      <c r="R77" s="166"/>
    </row>
    <row r="78" spans="2:18" ht="56.1" customHeight="1">
      <c r="B78" s="101" t="s">
        <v>192</v>
      </c>
      <c r="C78" s="102" t="s">
        <v>193</v>
      </c>
      <c r="D78" s="6" t="s">
        <v>260</v>
      </c>
      <c r="E78" s="6" t="s">
        <v>1007</v>
      </c>
      <c r="F78" s="6" t="s">
        <v>1081</v>
      </c>
      <c r="G78" s="6" t="s">
        <v>325</v>
      </c>
      <c r="H78" s="103">
        <v>0.09</v>
      </c>
      <c r="I78" s="6" t="s">
        <v>1139</v>
      </c>
      <c r="J78" s="6">
        <v>100</v>
      </c>
      <c r="K78" s="6" t="s">
        <v>1170</v>
      </c>
      <c r="L78" s="142" t="s">
        <v>1171</v>
      </c>
      <c r="M78" s="6" t="s">
        <v>1118</v>
      </c>
      <c r="N78" s="6" t="s">
        <v>1119</v>
      </c>
      <c r="O78" s="142" t="s">
        <v>1172</v>
      </c>
      <c r="P78" s="142" t="s">
        <v>1121</v>
      </c>
      <c r="Q78" s="6" t="s">
        <v>1173</v>
      </c>
      <c r="R78" s="167"/>
    </row>
    <row r="79" spans="2:18" ht="69" customHeight="1">
      <c r="B79" s="131" t="s">
        <v>180</v>
      </c>
      <c r="C79" s="132" t="s">
        <v>181</v>
      </c>
      <c r="D79" s="133" t="s">
        <v>260</v>
      </c>
      <c r="E79" s="115" t="s">
        <v>1174</v>
      </c>
      <c r="F79" s="115" t="s">
        <v>1175</v>
      </c>
      <c r="G79" s="115" t="s">
        <v>291</v>
      </c>
      <c r="H79" s="134">
        <v>0.09</v>
      </c>
      <c r="I79" s="115" t="s">
        <v>1139</v>
      </c>
      <c r="J79" s="115">
        <v>200</v>
      </c>
      <c r="K79" s="115" t="s">
        <v>1153</v>
      </c>
      <c r="L79" s="153" t="s">
        <v>1176</v>
      </c>
      <c r="M79" s="115" t="s">
        <v>1118</v>
      </c>
      <c r="N79" s="115" t="s">
        <v>1119</v>
      </c>
      <c r="O79" s="153" t="s">
        <v>1177</v>
      </c>
      <c r="P79" s="153" t="s">
        <v>1121</v>
      </c>
      <c r="Q79" s="133" t="s">
        <v>1178</v>
      </c>
      <c r="R79" s="166"/>
    </row>
    <row r="80" spans="2:18" ht="75.95" customHeight="1">
      <c r="B80" s="101" t="s">
        <v>200</v>
      </c>
      <c r="C80" s="102" t="s">
        <v>201</v>
      </c>
      <c r="D80" s="6" t="s">
        <v>260</v>
      </c>
      <c r="E80" s="6" t="s">
        <v>1007</v>
      </c>
      <c r="F80" s="6" t="s">
        <v>1081</v>
      </c>
      <c r="G80" s="6" t="s">
        <v>325</v>
      </c>
      <c r="H80" s="103">
        <v>0.09</v>
      </c>
      <c r="I80" s="6" t="s">
        <v>1139</v>
      </c>
      <c r="J80" s="6">
        <v>400</v>
      </c>
      <c r="K80" s="6" t="s">
        <v>952</v>
      </c>
      <c r="L80" s="142" t="s">
        <v>1179</v>
      </c>
      <c r="M80" s="6" t="s">
        <v>1118</v>
      </c>
      <c r="N80" s="6" t="s">
        <v>1119</v>
      </c>
      <c r="O80" s="142" t="s">
        <v>1120</v>
      </c>
      <c r="P80" s="142" t="s">
        <v>1121</v>
      </c>
      <c r="Q80" s="6" t="s">
        <v>1126</v>
      </c>
      <c r="R80" s="167"/>
    </row>
    <row r="81" spans="1:27" ht="86.25" customHeight="1">
      <c r="B81" s="131" t="s">
        <v>198</v>
      </c>
      <c r="C81" s="132" t="s">
        <v>199</v>
      </c>
      <c r="D81" s="133" t="s">
        <v>260</v>
      </c>
      <c r="E81" s="115" t="s">
        <v>1007</v>
      </c>
      <c r="F81" s="115" t="s">
        <v>1081</v>
      </c>
      <c r="G81" s="115" t="s">
        <v>325</v>
      </c>
      <c r="H81" s="134">
        <v>0.09</v>
      </c>
      <c r="I81" s="115" t="s">
        <v>1139</v>
      </c>
      <c r="J81" s="115">
        <v>500</v>
      </c>
      <c r="K81" s="115" t="s">
        <v>981</v>
      </c>
      <c r="L81" s="153" t="s">
        <v>1180</v>
      </c>
      <c r="M81" s="115" t="s">
        <v>1118</v>
      </c>
      <c r="N81" s="115" t="s">
        <v>1119</v>
      </c>
      <c r="O81" s="153" t="s">
        <v>1120</v>
      </c>
      <c r="P81" s="153" t="s">
        <v>1121</v>
      </c>
      <c r="Q81" s="115" t="s">
        <v>1181</v>
      </c>
      <c r="R81" s="166"/>
    </row>
    <row r="82" spans="1:27" ht="86.25" customHeight="1">
      <c r="B82" s="101" t="s">
        <v>1182</v>
      </c>
      <c r="C82" s="102" t="s">
        <v>183</v>
      </c>
      <c r="D82" s="6" t="s">
        <v>260</v>
      </c>
      <c r="E82" s="6" t="s">
        <v>1007</v>
      </c>
      <c r="F82" s="6" t="s">
        <v>1081</v>
      </c>
      <c r="G82" s="6" t="s">
        <v>291</v>
      </c>
      <c r="H82" s="103">
        <v>0.09</v>
      </c>
      <c r="I82" s="6" t="s">
        <v>1139</v>
      </c>
      <c r="J82" s="6">
        <v>500</v>
      </c>
      <c r="K82" s="6" t="s">
        <v>981</v>
      </c>
      <c r="L82" s="142" t="s">
        <v>1180</v>
      </c>
      <c r="M82" s="6" t="s">
        <v>1118</v>
      </c>
      <c r="N82" s="6" t="s">
        <v>1119</v>
      </c>
      <c r="O82" s="142" t="s">
        <v>1120</v>
      </c>
      <c r="P82" s="142" t="s">
        <v>1121</v>
      </c>
      <c r="Q82" s="6" t="s">
        <v>1181</v>
      </c>
      <c r="R82" s="167"/>
    </row>
    <row r="83" spans="1:27" ht="53.1" customHeight="1">
      <c r="B83" s="131" t="s">
        <v>194</v>
      </c>
      <c r="C83" s="132" t="s">
        <v>195</v>
      </c>
      <c r="D83" s="133" t="s">
        <v>260</v>
      </c>
      <c r="E83" s="115" t="s">
        <v>1007</v>
      </c>
      <c r="F83" s="115" t="s">
        <v>1081</v>
      </c>
      <c r="G83" s="115" t="s">
        <v>291</v>
      </c>
      <c r="H83" s="134">
        <v>0.09</v>
      </c>
      <c r="I83" s="115" t="s">
        <v>287</v>
      </c>
      <c r="J83" s="115">
        <v>1000</v>
      </c>
      <c r="K83" s="115" t="s">
        <v>981</v>
      </c>
      <c r="L83" s="153" t="s">
        <v>1183</v>
      </c>
      <c r="M83" s="115" t="s">
        <v>1118</v>
      </c>
      <c r="N83" s="115" t="s">
        <v>1119</v>
      </c>
      <c r="O83" s="153" t="s">
        <v>1120</v>
      </c>
      <c r="P83" s="153" t="s">
        <v>1121</v>
      </c>
      <c r="Q83" s="133" t="s">
        <v>1184</v>
      </c>
      <c r="R83" s="166"/>
    </row>
    <row r="84" spans="1:27" ht="53.1" customHeight="1">
      <c r="B84" s="101" t="s">
        <v>158</v>
      </c>
      <c r="C84" s="102" t="s">
        <v>159</v>
      </c>
      <c r="D84" s="6" t="s">
        <v>414</v>
      </c>
      <c r="E84" s="6" t="s">
        <v>1007</v>
      </c>
      <c r="F84" s="6" t="s">
        <v>1081</v>
      </c>
      <c r="G84" s="6" t="s">
        <v>291</v>
      </c>
      <c r="H84" s="103">
        <v>0.13</v>
      </c>
      <c r="I84" s="6" t="s">
        <v>287</v>
      </c>
      <c r="J84" s="6">
        <v>800</v>
      </c>
      <c r="K84" s="6" t="s">
        <v>981</v>
      </c>
      <c r="L84" s="142" t="s">
        <v>1127</v>
      </c>
      <c r="M84" s="6" t="s">
        <v>1118</v>
      </c>
      <c r="N84" s="6" t="s">
        <v>1119</v>
      </c>
      <c r="O84" s="142" t="s">
        <v>1120</v>
      </c>
      <c r="P84" s="142" t="s">
        <v>1121</v>
      </c>
      <c r="Q84" s="6" t="s">
        <v>1126</v>
      </c>
      <c r="R84" s="167"/>
    </row>
    <row r="85" spans="1:27" ht="53.1" customHeight="1">
      <c r="B85" s="131" t="s">
        <v>164</v>
      </c>
      <c r="C85" s="132" t="s">
        <v>165</v>
      </c>
      <c r="D85" s="133" t="s">
        <v>414</v>
      </c>
      <c r="E85" s="115" t="s">
        <v>948</v>
      </c>
      <c r="F85" s="115" t="s">
        <v>1074</v>
      </c>
      <c r="G85" s="115" t="s">
        <v>319</v>
      </c>
      <c r="H85" s="134">
        <v>0.13</v>
      </c>
      <c r="I85" s="115" t="s">
        <v>287</v>
      </c>
      <c r="J85" s="115">
        <v>300</v>
      </c>
      <c r="K85" s="201" t="s">
        <v>1185</v>
      </c>
      <c r="L85" s="202" t="s">
        <v>1186</v>
      </c>
      <c r="M85" s="115" t="s">
        <v>1118</v>
      </c>
      <c r="N85" s="115" t="s">
        <v>1119</v>
      </c>
      <c r="O85" s="153" t="s">
        <v>1120</v>
      </c>
      <c r="P85" s="153" t="s">
        <v>1121</v>
      </c>
      <c r="Q85" s="133" t="s">
        <v>1187</v>
      </c>
      <c r="R85" s="166"/>
    </row>
    <row r="86" spans="1:27" s="93" customFormat="1" ht="53.1" customHeight="1">
      <c r="B86" s="101" t="s">
        <v>172</v>
      </c>
      <c r="C86" s="102" t="s">
        <v>173</v>
      </c>
      <c r="D86" s="168" t="s">
        <v>414</v>
      </c>
      <c r="E86" s="168" t="s">
        <v>1188</v>
      </c>
      <c r="F86" s="168" t="s">
        <v>1189</v>
      </c>
      <c r="G86" s="168" t="s">
        <v>291</v>
      </c>
      <c r="H86" s="169">
        <v>0.13</v>
      </c>
      <c r="I86" s="168" t="s">
        <v>1190</v>
      </c>
      <c r="J86" s="203">
        <v>100</v>
      </c>
      <c r="K86" s="168" t="s">
        <v>981</v>
      </c>
      <c r="L86" s="204" t="s">
        <v>1191</v>
      </c>
      <c r="M86" s="168" t="s">
        <v>1118</v>
      </c>
      <c r="N86" s="168" t="s">
        <v>1119</v>
      </c>
      <c r="O86" s="204" t="s">
        <v>1120</v>
      </c>
      <c r="P86" s="204" t="s">
        <v>1121</v>
      </c>
      <c r="Q86" s="168" t="s">
        <v>1192</v>
      </c>
      <c r="R86" s="216" t="s">
        <v>1123</v>
      </c>
    </row>
    <row r="87" spans="1:27" s="93" customFormat="1" ht="53.1" customHeight="1">
      <c r="B87" s="170" t="s">
        <v>170</v>
      </c>
      <c r="C87" s="171" t="s">
        <v>171</v>
      </c>
      <c r="D87" s="172" t="s">
        <v>414</v>
      </c>
      <c r="E87" s="173" t="s">
        <v>948</v>
      </c>
      <c r="F87" s="173" t="s">
        <v>1074</v>
      </c>
      <c r="G87" s="173" t="s">
        <v>319</v>
      </c>
      <c r="H87" s="174">
        <v>0.13</v>
      </c>
      <c r="I87" s="173" t="s">
        <v>287</v>
      </c>
      <c r="J87" s="205">
        <v>2000</v>
      </c>
      <c r="K87" s="173" t="s">
        <v>981</v>
      </c>
      <c r="L87" s="206" t="s">
        <v>1193</v>
      </c>
      <c r="M87" s="173" t="s">
        <v>1118</v>
      </c>
      <c r="N87" s="173" t="s">
        <v>1119</v>
      </c>
      <c r="O87" s="206" t="s">
        <v>1120</v>
      </c>
      <c r="P87" s="206" t="s">
        <v>1121</v>
      </c>
      <c r="Q87" s="172" t="s">
        <v>1194</v>
      </c>
      <c r="R87" s="217" t="s">
        <v>1123</v>
      </c>
    </row>
    <row r="88" spans="1:27" s="94" customFormat="1" ht="29.1" customHeight="1">
      <c r="B88" s="175" t="s">
        <v>174</v>
      </c>
      <c r="C88" s="176" t="s">
        <v>175</v>
      </c>
      <c r="D88" s="177" t="s">
        <v>414</v>
      </c>
      <c r="E88" s="178" t="s">
        <v>1195</v>
      </c>
      <c r="F88" s="178" t="s">
        <v>1196</v>
      </c>
      <c r="G88" s="178" t="s">
        <v>319</v>
      </c>
      <c r="H88" s="169">
        <v>0.13</v>
      </c>
      <c r="I88" s="178" t="s">
        <v>287</v>
      </c>
      <c r="J88" s="178">
        <v>200</v>
      </c>
      <c r="K88" s="178" t="s">
        <v>981</v>
      </c>
      <c r="L88" s="207" t="s">
        <v>1197</v>
      </c>
      <c r="M88" s="178" t="s">
        <v>1118</v>
      </c>
      <c r="N88" s="178" t="s">
        <v>1119</v>
      </c>
      <c r="O88" s="207" t="s">
        <v>1120</v>
      </c>
      <c r="P88" s="207" t="s">
        <v>1121</v>
      </c>
      <c r="Q88" s="177" t="s">
        <v>1198</v>
      </c>
      <c r="R88" s="218"/>
    </row>
    <row r="89" spans="1:27" ht="15" customHeight="1">
      <c r="B89" s="1122" t="s">
        <v>1199</v>
      </c>
      <c r="C89" s="1123"/>
      <c r="D89" s="1123"/>
      <c r="E89" s="1123"/>
      <c r="F89" s="1123"/>
      <c r="G89" s="1123"/>
      <c r="H89" s="1123"/>
      <c r="I89" s="1123"/>
      <c r="J89" s="1123"/>
      <c r="K89" s="1123"/>
      <c r="L89" s="1123"/>
      <c r="M89" s="1123"/>
      <c r="N89" s="1123"/>
      <c r="O89" s="1123"/>
      <c r="P89" s="1123"/>
      <c r="Q89" s="1123"/>
      <c r="R89" s="1124"/>
    </row>
    <row r="90" spans="1:27" ht="15" customHeight="1">
      <c r="A90"/>
      <c r="B90" s="179"/>
      <c r="C90" s="179"/>
      <c r="D90" s="179"/>
      <c r="E90" s="179"/>
      <c r="F90" s="179"/>
      <c r="G90" s="179"/>
      <c r="H90" s="179"/>
      <c r="I90" s="179"/>
      <c r="J90" s="179"/>
      <c r="K90" s="179"/>
      <c r="L90" s="179"/>
      <c r="M90" s="179"/>
      <c r="N90" s="179"/>
      <c r="O90" s="179"/>
      <c r="P90" s="179"/>
      <c r="Q90" s="179"/>
      <c r="R90" s="219"/>
      <c r="S90"/>
      <c r="T90"/>
      <c r="U90"/>
      <c r="V90"/>
      <c r="W90"/>
      <c r="X90"/>
      <c r="Y90"/>
      <c r="Z90"/>
      <c r="AA90"/>
    </row>
    <row r="91" spans="1:27" s="93" customFormat="1" ht="51" customHeight="1">
      <c r="B91" s="999" t="s">
        <v>1200</v>
      </c>
      <c r="C91" s="1103"/>
      <c r="D91" s="1000"/>
      <c r="E91" s="625"/>
      <c r="F91" s="625"/>
      <c r="G91" s="625"/>
      <c r="H91" s="625"/>
      <c r="I91" s="625"/>
      <c r="J91" s="625"/>
      <c r="K91" s="625"/>
      <c r="L91" s="1120"/>
      <c r="M91" s="625"/>
      <c r="N91" s="625"/>
      <c r="O91" s="625"/>
      <c r="P91" s="1121"/>
      <c r="Q91" s="1121"/>
      <c r="R91" s="576"/>
    </row>
    <row r="92" spans="1:27" s="93" customFormat="1" ht="53.1" customHeight="1">
      <c r="B92" s="109" t="s">
        <v>36</v>
      </c>
      <c r="C92" s="110" t="s">
        <v>37</v>
      </c>
      <c r="D92" s="110" t="s">
        <v>373</v>
      </c>
      <c r="E92" s="111" t="s">
        <v>936</v>
      </c>
      <c r="F92" s="111" t="s">
        <v>937</v>
      </c>
      <c r="G92" s="111" t="s">
        <v>242</v>
      </c>
      <c r="H92" s="111" t="s">
        <v>938</v>
      </c>
      <c r="I92" s="111" t="s">
        <v>245</v>
      </c>
      <c r="J92" s="111" t="s">
        <v>1048</v>
      </c>
      <c r="K92" s="111" t="s">
        <v>940</v>
      </c>
      <c r="L92" s="111" t="s">
        <v>1018</v>
      </c>
      <c r="M92" s="111" t="s">
        <v>380</v>
      </c>
      <c r="N92" s="111" t="s">
        <v>248</v>
      </c>
      <c r="O92" s="111" t="s">
        <v>1050</v>
      </c>
      <c r="P92" s="111" t="s">
        <v>1051</v>
      </c>
      <c r="Q92" s="111" t="s">
        <v>944</v>
      </c>
      <c r="R92" s="158" t="s">
        <v>945</v>
      </c>
    </row>
    <row r="93" spans="1:27" s="93" customFormat="1" ht="48" customHeight="1">
      <c r="B93" s="131" t="s">
        <v>203</v>
      </c>
      <c r="C93" s="132" t="s">
        <v>204</v>
      </c>
      <c r="D93" s="133" t="s">
        <v>260</v>
      </c>
      <c r="E93" s="115" t="s">
        <v>948</v>
      </c>
      <c r="F93" s="115" t="s">
        <v>1074</v>
      </c>
      <c r="G93" s="115" t="s">
        <v>286</v>
      </c>
      <c r="H93" s="134">
        <v>0.13</v>
      </c>
      <c r="I93" s="115" t="s">
        <v>287</v>
      </c>
      <c r="J93" s="115">
        <v>200</v>
      </c>
      <c r="K93" s="115" t="s">
        <v>981</v>
      </c>
      <c r="L93" s="115" t="s">
        <v>1201</v>
      </c>
      <c r="M93" s="115" t="s">
        <v>1054</v>
      </c>
      <c r="N93" s="115" t="s">
        <v>367</v>
      </c>
      <c r="O93" s="115" t="s">
        <v>1202</v>
      </c>
      <c r="P93" s="115" t="s">
        <v>1203</v>
      </c>
      <c r="Q93" s="115" t="s">
        <v>1204</v>
      </c>
      <c r="R93" s="166"/>
    </row>
    <row r="94" spans="1:27" s="93" customFormat="1" ht="52.5" customHeight="1">
      <c r="B94" s="180" t="s">
        <v>206</v>
      </c>
      <c r="C94" s="181" t="s">
        <v>207</v>
      </c>
      <c r="D94" s="83" t="s">
        <v>260</v>
      </c>
      <c r="E94" s="182" t="s">
        <v>963</v>
      </c>
      <c r="F94" s="83" t="s">
        <v>1205</v>
      </c>
      <c r="G94" s="83" t="s">
        <v>1206</v>
      </c>
      <c r="H94" s="183">
        <v>0.13</v>
      </c>
      <c r="I94" s="83" t="s">
        <v>287</v>
      </c>
      <c r="J94" s="83">
        <v>300</v>
      </c>
      <c r="K94" s="83" t="s">
        <v>981</v>
      </c>
      <c r="L94" s="208" t="s">
        <v>1207</v>
      </c>
      <c r="M94" s="83" t="s">
        <v>1054</v>
      </c>
      <c r="N94" s="83" t="s">
        <v>367</v>
      </c>
      <c r="O94" s="83" t="s">
        <v>1202</v>
      </c>
      <c r="P94" s="208" t="s">
        <v>1203</v>
      </c>
      <c r="Q94" s="83" t="s">
        <v>1208</v>
      </c>
      <c r="R94" s="220"/>
    </row>
    <row r="95" spans="1:27" s="93" customFormat="1" ht="52.5" customHeight="1">
      <c r="B95" s="184" t="s">
        <v>208</v>
      </c>
      <c r="C95" s="114" t="s">
        <v>209</v>
      </c>
      <c r="D95" s="115" t="s">
        <v>260</v>
      </c>
      <c r="E95" s="115" t="s">
        <v>1209</v>
      </c>
      <c r="F95" s="115" t="s">
        <v>1210</v>
      </c>
      <c r="G95" s="115" t="s">
        <v>286</v>
      </c>
      <c r="H95" s="134">
        <v>0.13</v>
      </c>
      <c r="I95" s="115" t="s">
        <v>287</v>
      </c>
      <c r="J95" s="115">
        <v>300</v>
      </c>
      <c r="K95" s="115" t="s">
        <v>981</v>
      </c>
      <c r="L95" s="115" t="s">
        <v>1211</v>
      </c>
      <c r="M95" s="115" t="s">
        <v>1054</v>
      </c>
      <c r="N95" s="115" t="s">
        <v>367</v>
      </c>
      <c r="O95" s="115" t="s">
        <v>1202</v>
      </c>
      <c r="P95" s="115" t="s">
        <v>1203</v>
      </c>
      <c r="Q95" s="115" t="s">
        <v>1212</v>
      </c>
      <c r="R95" s="115"/>
    </row>
    <row r="96" spans="1:27" ht="15" customHeight="1"/>
    <row r="97" spans="2:27" ht="50.1" customHeight="1">
      <c r="B97" s="999" t="s">
        <v>3</v>
      </c>
      <c r="C97" s="1103"/>
      <c r="D97" s="1000"/>
      <c r="E97" s="625"/>
      <c r="F97" s="625"/>
      <c r="G97" s="625"/>
      <c r="H97" s="625"/>
      <c r="I97" s="625"/>
      <c r="J97" s="625"/>
      <c r="K97" s="625"/>
      <c r="L97" s="1108"/>
    </row>
    <row r="98" spans="2:27" ht="36" customHeight="1">
      <c r="B98" s="109" t="s">
        <v>36</v>
      </c>
      <c r="C98" s="110" t="s">
        <v>37</v>
      </c>
      <c r="D98" s="110" t="s">
        <v>936</v>
      </c>
      <c r="E98" s="110" t="s">
        <v>937</v>
      </c>
      <c r="F98" s="110" t="s">
        <v>1213</v>
      </c>
      <c r="G98" s="110" t="s">
        <v>245</v>
      </c>
      <c r="H98" s="110" t="s">
        <v>248</v>
      </c>
      <c r="I98" s="110" t="s">
        <v>1050</v>
      </c>
      <c r="J98" s="110" t="s">
        <v>943</v>
      </c>
      <c r="K98" s="110" t="s">
        <v>1214</v>
      </c>
      <c r="L98" s="158" t="s">
        <v>945</v>
      </c>
    </row>
    <row r="99" spans="2:27" ht="47.1" customHeight="1">
      <c r="B99" s="101" t="s">
        <v>253</v>
      </c>
      <c r="C99" s="102" t="s">
        <v>222</v>
      </c>
      <c r="D99" s="6" t="s">
        <v>254</v>
      </c>
      <c r="E99" s="1090" t="s">
        <v>1040</v>
      </c>
      <c r="F99" s="1090" t="s">
        <v>1215</v>
      </c>
      <c r="G99" s="1094" t="s">
        <v>257</v>
      </c>
      <c r="H99" s="1094" t="s">
        <v>1216</v>
      </c>
      <c r="I99" s="1090" t="s">
        <v>388</v>
      </c>
      <c r="J99" s="1090" t="s">
        <v>1217</v>
      </c>
      <c r="K99" s="1090" t="s">
        <v>260</v>
      </c>
      <c r="L99" s="738" t="s">
        <v>1043</v>
      </c>
    </row>
    <row r="100" spans="2:27" ht="47.1" customHeight="1">
      <c r="B100" s="101" t="s">
        <v>263</v>
      </c>
      <c r="C100" s="102" t="s">
        <v>227</v>
      </c>
      <c r="D100" s="6" t="s">
        <v>264</v>
      </c>
      <c r="E100" s="1091"/>
      <c r="F100" s="1091"/>
      <c r="G100" s="1091"/>
      <c r="H100" s="1091"/>
      <c r="I100" s="1091"/>
      <c r="J100" s="1091"/>
      <c r="K100" s="1091"/>
      <c r="L100" s="1113"/>
    </row>
    <row r="101" spans="2:27" ht="47.1" customHeight="1">
      <c r="B101" s="101" t="s">
        <v>1218</v>
      </c>
      <c r="C101" s="102" t="s">
        <v>225</v>
      </c>
      <c r="D101" s="6" t="s">
        <v>254</v>
      </c>
      <c r="E101" s="1091"/>
      <c r="F101" s="1091"/>
      <c r="G101" s="1091"/>
      <c r="H101" s="1091"/>
      <c r="I101" s="1091"/>
      <c r="J101" s="1091"/>
      <c r="K101" s="1091"/>
      <c r="L101" s="1113"/>
    </row>
    <row r="102" spans="2:27" ht="144" customHeight="1">
      <c r="B102" s="104" t="s">
        <v>1219</v>
      </c>
      <c r="C102" s="102" t="s">
        <v>229</v>
      </c>
      <c r="D102" s="79" t="s">
        <v>264</v>
      </c>
      <c r="E102" s="1091"/>
      <c r="F102" s="1091"/>
      <c r="G102" s="1091"/>
      <c r="H102" s="1091"/>
      <c r="I102" s="1091"/>
      <c r="J102" s="1091"/>
      <c r="K102" s="1091"/>
      <c r="L102" s="1113"/>
    </row>
    <row r="103" spans="2:27" ht="144" customHeight="1">
      <c r="B103" s="101" t="s">
        <v>1220</v>
      </c>
      <c r="C103" s="102" t="s">
        <v>212</v>
      </c>
      <c r="D103" s="6" t="s">
        <v>1221</v>
      </c>
      <c r="E103" s="1091"/>
      <c r="F103" s="1093" t="s">
        <v>1222</v>
      </c>
      <c r="G103" s="1094" t="s">
        <v>1223</v>
      </c>
      <c r="H103" s="1090" t="s">
        <v>1224</v>
      </c>
      <c r="I103" s="1094" t="s">
        <v>1225</v>
      </c>
      <c r="J103" s="1094" t="s">
        <v>1226</v>
      </c>
      <c r="K103" s="138" t="s">
        <v>1227</v>
      </c>
      <c r="L103" s="939" t="s">
        <v>1228</v>
      </c>
    </row>
    <row r="104" spans="2:27" ht="144" customHeight="1">
      <c r="B104" s="101" t="s">
        <v>1229</v>
      </c>
      <c r="C104" s="102" t="s">
        <v>216</v>
      </c>
      <c r="D104" s="6" t="s">
        <v>1230</v>
      </c>
      <c r="E104" s="1091"/>
      <c r="F104" s="1091"/>
      <c r="G104" s="1091"/>
      <c r="H104" s="1091"/>
      <c r="I104" s="1091"/>
      <c r="J104" s="1091"/>
      <c r="K104" s="138" t="s">
        <v>1231</v>
      </c>
      <c r="L104" s="1113"/>
    </row>
    <row r="105" spans="2:27" ht="142.5" customHeight="1">
      <c r="B105" s="101" t="s">
        <v>1232</v>
      </c>
      <c r="C105" s="102" t="s">
        <v>218</v>
      </c>
      <c r="D105" s="6" t="s">
        <v>1230</v>
      </c>
      <c r="E105" s="1091"/>
      <c r="F105" s="1091"/>
      <c r="G105" s="1091"/>
      <c r="H105" s="1091"/>
      <c r="I105" s="1091"/>
      <c r="J105" s="1091"/>
      <c r="K105" s="138" t="s">
        <v>1233</v>
      </c>
      <c r="L105" s="1113"/>
    </row>
    <row r="106" spans="2:27" ht="130.5" customHeight="1">
      <c r="B106" s="185" t="s">
        <v>1234</v>
      </c>
      <c r="C106" s="186" t="s">
        <v>220</v>
      </c>
      <c r="D106" s="187" t="s">
        <v>1230</v>
      </c>
      <c r="E106" s="1092"/>
      <c r="F106" s="1092"/>
      <c r="G106" s="1092"/>
      <c r="H106" s="1092"/>
      <c r="I106" s="1092"/>
      <c r="J106" s="1092"/>
      <c r="K106" s="211" t="s">
        <v>1235</v>
      </c>
      <c r="L106" s="1114"/>
      <c r="Z106"/>
      <c r="AA106"/>
    </row>
    <row r="107" spans="2:27" ht="15" customHeight="1">
      <c r="Z107"/>
      <c r="AA107"/>
    </row>
    <row r="108" spans="2:27" ht="50.1" customHeight="1">
      <c r="B108" s="1109" t="s">
        <v>1236</v>
      </c>
      <c r="C108" s="1110"/>
      <c r="D108" s="1110"/>
      <c r="E108" s="1110"/>
      <c r="F108" s="1110"/>
      <c r="G108" s="1110"/>
      <c r="H108" s="1110"/>
      <c r="I108" s="1110"/>
      <c r="J108" s="1110"/>
      <c r="K108" s="1110"/>
      <c r="L108" s="1111"/>
      <c r="Z108"/>
      <c r="AA108"/>
    </row>
    <row r="109" spans="2:27" ht="27" customHeight="1">
      <c r="B109" s="1088" t="s">
        <v>858</v>
      </c>
      <c r="C109" s="1089" t="s">
        <v>1237</v>
      </c>
      <c r="D109" s="1089"/>
      <c r="E109" s="1089" t="s">
        <v>148</v>
      </c>
      <c r="F109" s="1089"/>
      <c r="G109" s="1089"/>
      <c r="H109" s="1089" t="s">
        <v>102</v>
      </c>
      <c r="I109" s="1089"/>
      <c r="J109" s="1089"/>
      <c r="K109" s="1089" t="s">
        <v>202</v>
      </c>
      <c r="L109" s="1112"/>
      <c r="Y109"/>
      <c r="Z109"/>
      <c r="AA109"/>
    </row>
    <row r="110" spans="2:27" ht="27" customHeight="1">
      <c r="B110" s="1088"/>
      <c r="C110" s="1089" t="s">
        <v>607</v>
      </c>
      <c r="D110" s="1089" t="s">
        <v>1238</v>
      </c>
      <c r="E110" s="1089" t="s">
        <v>607</v>
      </c>
      <c r="F110" s="1089"/>
      <c r="G110" s="1089" t="s">
        <v>1238</v>
      </c>
      <c r="H110" s="1089" t="s">
        <v>607</v>
      </c>
      <c r="I110" s="1089"/>
      <c r="J110" s="1089" t="s">
        <v>606</v>
      </c>
      <c r="K110" s="1089" t="s">
        <v>607</v>
      </c>
      <c r="L110" s="1112" t="s">
        <v>606</v>
      </c>
      <c r="Y110"/>
      <c r="Z110"/>
      <c r="AA110"/>
    </row>
    <row r="111" spans="2:27" ht="27" customHeight="1">
      <c r="B111" s="1088"/>
      <c r="C111" s="1089"/>
      <c r="D111" s="1089"/>
      <c r="E111" s="189" t="s">
        <v>1239</v>
      </c>
      <c r="F111" s="189" t="s">
        <v>1240</v>
      </c>
      <c r="G111" s="1089"/>
      <c r="H111" s="189" t="s">
        <v>1239</v>
      </c>
      <c r="I111" s="189" t="s">
        <v>1240</v>
      </c>
      <c r="J111" s="1089"/>
      <c r="K111" s="1089"/>
      <c r="L111" s="1112"/>
      <c r="AA111"/>
    </row>
    <row r="112" spans="2:27" ht="157.5" customHeight="1">
      <c r="B112" s="188" t="s">
        <v>1241</v>
      </c>
      <c r="C112" s="190" t="s">
        <v>1242</v>
      </c>
      <c r="D112" s="190" t="s">
        <v>1243</v>
      </c>
      <c r="E112" s="1098" t="s">
        <v>1244</v>
      </c>
      <c r="F112" s="1098"/>
      <c r="G112" s="191" t="s">
        <v>1245</v>
      </c>
      <c r="H112" s="1098" t="s">
        <v>1246</v>
      </c>
      <c r="I112" s="1098"/>
      <c r="J112" s="191" t="s">
        <v>1247</v>
      </c>
      <c r="K112" s="191" t="s">
        <v>1248</v>
      </c>
      <c r="L112" s="212" t="s">
        <v>1247</v>
      </c>
      <c r="AA112"/>
    </row>
    <row r="113" spans="2:27" ht="262.5" customHeight="1">
      <c r="B113" s="188" t="s">
        <v>1249</v>
      </c>
      <c r="C113" s="192" t="s">
        <v>1250</v>
      </c>
      <c r="D113" s="192" t="s">
        <v>1251</v>
      </c>
      <c r="E113" s="193" t="s">
        <v>1252</v>
      </c>
      <c r="F113" s="193" t="s">
        <v>1253</v>
      </c>
      <c r="G113" s="193" t="s">
        <v>1254</v>
      </c>
      <c r="H113" s="193" t="s">
        <v>1255</v>
      </c>
      <c r="I113" s="193" t="s">
        <v>1256</v>
      </c>
      <c r="J113" s="193" t="s">
        <v>1257</v>
      </c>
      <c r="K113" s="193" t="s">
        <v>1258</v>
      </c>
      <c r="L113" s="213" t="s">
        <v>1257</v>
      </c>
      <c r="AA113"/>
    </row>
    <row r="114" spans="2:27" ht="159" customHeight="1">
      <c r="B114" s="188" t="s">
        <v>1259</v>
      </c>
      <c r="C114" s="1095" t="s">
        <v>1260</v>
      </c>
      <c r="D114" s="1095"/>
      <c r="E114" s="1095" t="s">
        <v>1261</v>
      </c>
      <c r="F114" s="1095"/>
      <c r="G114" s="190" t="s">
        <v>1262</v>
      </c>
      <c r="H114" s="1095" t="s">
        <v>1261</v>
      </c>
      <c r="I114" s="1095"/>
      <c r="J114" s="191" t="s">
        <v>1263</v>
      </c>
      <c r="K114" s="194" t="s">
        <v>1261</v>
      </c>
      <c r="L114" s="212" t="s">
        <v>1263</v>
      </c>
      <c r="AA114"/>
    </row>
    <row r="115" spans="2:27" s="94" customFormat="1" ht="63" customHeight="1">
      <c r="B115" s="188" t="s">
        <v>1264</v>
      </c>
      <c r="C115" s="1096" t="s">
        <v>1265</v>
      </c>
      <c r="D115" s="1096"/>
      <c r="E115" s="1096" t="s">
        <v>1266</v>
      </c>
      <c r="F115" s="1096"/>
      <c r="G115" s="1096"/>
      <c r="H115" s="1096" t="s">
        <v>1267</v>
      </c>
      <c r="I115" s="1096"/>
      <c r="J115" s="1096"/>
      <c r="K115" s="1096" t="s">
        <v>1267</v>
      </c>
      <c r="L115" s="1097"/>
    </row>
    <row r="116" spans="2:27" s="94" customFormat="1" ht="63" customHeight="1">
      <c r="B116" s="188" t="s">
        <v>1268</v>
      </c>
      <c r="C116" s="1098" t="s">
        <v>1269</v>
      </c>
      <c r="D116" s="1098"/>
      <c r="E116" s="1098" t="s">
        <v>260</v>
      </c>
      <c r="F116" s="1098"/>
      <c r="G116" s="1098"/>
      <c r="H116" s="1098" t="s">
        <v>260</v>
      </c>
      <c r="I116" s="1098"/>
      <c r="J116" s="1098"/>
      <c r="K116" s="1098" t="s">
        <v>260</v>
      </c>
      <c r="L116" s="1099"/>
    </row>
    <row r="117" spans="2:27" s="94" customFormat="1" ht="27" customHeight="1">
      <c r="B117" s="188" t="s">
        <v>1270</v>
      </c>
      <c r="C117" s="1096" t="s">
        <v>1271</v>
      </c>
      <c r="D117" s="1096"/>
      <c r="E117" s="1096" t="s">
        <v>1271</v>
      </c>
      <c r="F117" s="1096"/>
      <c r="G117" s="1096"/>
      <c r="H117" s="1096" t="s">
        <v>1271</v>
      </c>
      <c r="I117" s="1096"/>
      <c r="J117" s="1096"/>
      <c r="K117" s="1096" t="s">
        <v>1271</v>
      </c>
      <c r="L117" s="1097"/>
    </row>
    <row r="118" spans="2:27" s="94" customFormat="1" ht="27" customHeight="1">
      <c r="B118" s="188" t="s">
        <v>1272</v>
      </c>
      <c r="C118" s="1098" t="s">
        <v>1273</v>
      </c>
      <c r="D118" s="1098"/>
      <c r="E118" s="191" t="s">
        <v>1274</v>
      </c>
      <c r="F118" s="1098" t="s">
        <v>1273</v>
      </c>
      <c r="G118" s="1098"/>
      <c r="H118" s="1098" t="s">
        <v>1274</v>
      </c>
      <c r="I118" s="1098"/>
      <c r="J118" s="1098"/>
      <c r="K118" s="1098" t="s">
        <v>1274</v>
      </c>
      <c r="L118" s="1099"/>
    </row>
    <row r="119" spans="2:27" s="94" customFormat="1" ht="47.25" customHeight="1">
      <c r="B119" s="188" t="s">
        <v>1275</v>
      </c>
      <c r="C119" s="1096" t="s">
        <v>1276</v>
      </c>
      <c r="D119" s="1096"/>
      <c r="E119" s="1096" t="s">
        <v>1277</v>
      </c>
      <c r="F119" s="1096"/>
      <c r="G119" s="1096"/>
      <c r="H119" s="1096" t="s">
        <v>1278</v>
      </c>
      <c r="I119" s="1096"/>
      <c r="J119" s="1096"/>
      <c r="K119" s="1096" t="s">
        <v>1279</v>
      </c>
      <c r="L119" s="1097"/>
    </row>
    <row r="120" spans="2:27" s="94" customFormat="1" ht="43.5" customHeight="1">
      <c r="B120" s="1100" t="s">
        <v>1280</v>
      </c>
      <c r="C120" s="1101"/>
      <c r="D120" s="1101"/>
      <c r="E120" s="1101"/>
      <c r="F120" s="1101"/>
      <c r="G120" s="1101"/>
      <c r="H120" s="1101"/>
      <c r="I120" s="1101"/>
      <c r="J120" s="1101"/>
      <c r="K120" s="1101"/>
      <c r="L120" s="1102"/>
    </row>
    <row r="121" spans="2:27" s="94" customFormat="1" ht="27" customHeight="1">
      <c r="B121" s="195"/>
      <c r="C121" s="195"/>
      <c r="D121" s="195"/>
      <c r="E121" s="195"/>
      <c r="F121" s="195"/>
      <c r="G121" s="195"/>
      <c r="H121" s="195"/>
      <c r="I121" s="195"/>
      <c r="J121" s="195"/>
      <c r="K121" s="195"/>
      <c r="L121" s="195"/>
      <c r="M121" s="195"/>
    </row>
    <row r="122" spans="2:27" ht="51.95" customHeight="1">
      <c r="B122" s="999" t="s">
        <v>1281</v>
      </c>
      <c r="C122" s="1103"/>
      <c r="D122" s="1103"/>
      <c r="E122" s="1103"/>
      <c r="F122" s="1103"/>
      <c r="G122" s="1104"/>
      <c r="H122" s="95"/>
      <c r="I122" s="999" t="s">
        <v>1282</v>
      </c>
      <c r="J122" s="1103"/>
      <c r="K122" s="1103"/>
      <c r="L122" s="1103"/>
      <c r="M122" s="1104"/>
      <c r="AA122"/>
    </row>
    <row r="123" spans="2:27" ht="54" customHeight="1">
      <c r="B123" s="116" t="s">
        <v>1283</v>
      </c>
      <c r="C123" s="111" t="s">
        <v>1284</v>
      </c>
      <c r="D123" s="111" t="s">
        <v>1285</v>
      </c>
      <c r="E123" s="111" t="s">
        <v>1286</v>
      </c>
      <c r="F123" s="111" t="s">
        <v>1287</v>
      </c>
      <c r="G123" s="160" t="s">
        <v>1288</v>
      </c>
      <c r="H123" s="95"/>
      <c r="I123" s="116" t="s">
        <v>1289</v>
      </c>
      <c r="J123" s="1105" t="s">
        <v>1290</v>
      </c>
      <c r="K123" s="1105"/>
      <c r="L123" s="1105"/>
      <c r="M123" s="160" t="s">
        <v>1291</v>
      </c>
      <c r="AA123"/>
    </row>
    <row r="124" spans="2:27" ht="63.95" customHeight="1">
      <c r="B124" s="101" t="s">
        <v>1292</v>
      </c>
      <c r="C124" s="6" t="s">
        <v>1293</v>
      </c>
      <c r="D124" s="6" t="s">
        <v>1294</v>
      </c>
      <c r="E124" s="6" t="s">
        <v>1294</v>
      </c>
      <c r="F124" s="6" t="s">
        <v>1295</v>
      </c>
      <c r="G124" s="157" t="s">
        <v>1296</v>
      </c>
      <c r="H124" s="196"/>
      <c r="I124" s="113" t="s">
        <v>1297</v>
      </c>
      <c r="J124" s="1106">
        <v>0.8</v>
      </c>
      <c r="K124" s="1106"/>
      <c r="L124" s="1106"/>
      <c r="M124" s="1107"/>
      <c r="AA124"/>
    </row>
    <row r="125" spans="2:27" ht="69" customHeight="1">
      <c r="B125" s="113" t="s">
        <v>1298</v>
      </c>
      <c r="C125" s="115" t="s">
        <v>1299</v>
      </c>
      <c r="D125" s="197">
        <v>0.6875</v>
      </c>
      <c r="E125" s="197">
        <v>0.62152777777777801</v>
      </c>
      <c r="F125" s="197">
        <v>0.60416666666666696</v>
      </c>
      <c r="G125" s="154" t="s">
        <v>1296</v>
      </c>
      <c r="H125" s="196"/>
      <c r="I125" s="214" t="s">
        <v>1300</v>
      </c>
      <c r="J125" s="1085" t="s">
        <v>1301</v>
      </c>
      <c r="K125" s="1085"/>
      <c r="L125" s="1085"/>
      <c r="M125" s="215" t="s">
        <v>1302</v>
      </c>
      <c r="AA125"/>
    </row>
    <row r="126" spans="2:27" ht="60" customHeight="1">
      <c r="B126" s="101" t="s">
        <v>1303</v>
      </c>
      <c r="C126" s="198">
        <v>0.58333333333333304</v>
      </c>
      <c r="D126" s="198">
        <v>0.625</v>
      </c>
      <c r="E126" s="198">
        <v>0.60416666666666696</v>
      </c>
      <c r="F126" s="198">
        <v>0.60416666666666696</v>
      </c>
      <c r="G126" s="157" t="s">
        <v>1296</v>
      </c>
      <c r="H126" s="196"/>
      <c r="I126" s="113" t="s">
        <v>1304</v>
      </c>
      <c r="J126" s="1083" t="s">
        <v>1305</v>
      </c>
      <c r="K126" s="1083"/>
      <c r="L126" s="1083"/>
      <c r="M126" s="1084"/>
      <c r="AA126"/>
    </row>
    <row r="127" spans="2:27" ht="62.1" customHeight="1">
      <c r="B127" s="113" t="s">
        <v>1306</v>
      </c>
      <c r="C127" s="197">
        <v>0.625</v>
      </c>
      <c r="D127" s="197">
        <v>0.62152777777777801</v>
      </c>
      <c r="E127" s="197">
        <v>0.62152777777777801</v>
      </c>
      <c r="F127" s="197">
        <v>0.60416666666666696</v>
      </c>
      <c r="G127" s="199" t="s">
        <v>1296</v>
      </c>
      <c r="H127" s="196"/>
      <c r="I127" s="214" t="s">
        <v>1307</v>
      </c>
      <c r="J127" s="1085" t="s">
        <v>1308</v>
      </c>
      <c r="K127" s="1085"/>
      <c r="L127" s="1085"/>
      <c r="M127" s="215" t="s">
        <v>1309</v>
      </c>
      <c r="AA127"/>
    </row>
    <row r="128" spans="2:27" ht="72" customHeight="1">
      <c r="B128" s="101" t="s">
        <v>1310</v>
      </c>
      <c r="C128" s="198">
        <v>0.60416666666666696</v>
      </c>
      <c r="D128" s="198">
        <v>0.62152777777777801</v>
      </c>
      <c r="E128" s="198">
        <v>0.62152777777777801</v>
      </c>
      <c r="F128" s="198">
        <v>0.60416666666666696</v>
      </c>
      <c r="G128" s="200" t="s">
        <v>1296</v>
      </c>
      <c r="H128" s="196"/>
      <c r="I128" s="113" t="s">
        <v>1311</v>
      </c>
      <c r="J128" s="1083" t="s">
        <v>1312</v>
      </c>
      <c r="K128" s="1083"/>
      <c r="L128" s="1083"/>
      <c r="M128" s="1084"/>
      <c r="AA128"/>
    </row>
    <row r="129" spans="2:27" ht="69" customHeight="1">
      <c r="B129" s="113" t="s">
        <v>1313</v>
      </c>
      <c r="C129" s="197">
        <v>0.60416666666666696</v>
      </c>
      <c r="D129" s="197">
        <v>0.60416666666666696</v>
      </c>
      <c r="E129" s="197">
        <v>0.60416666666666696</v>
      </c>
      <c r="F129" s="197">
        <v>0.60416666666666696</v>
      </c>
      <c r="G129" s="199">
        <v>0.625</v>
      </c>
      <c r="H129" s="196"/>
      <c r="I129" s="214" t="s">
        <v>1314</v>
      </c>
      <c r="J129" s="1082" t="s">
        <v>1315</v>
      </c>
      <c r="K129" s="1082"/>
      <c r="L129" s="1082"/>
      <c r="M129" s="226" t="s">
        <v>1316</v>
      </c>
      <c r="AA129"/>
    </row>
    <row r="130" spans="2:27" ht="62.1" customHeight="1">
      <c r="B130" s="101" t="s">
        <v>1317</v>
      </c>
      <c r="C130" s="198">
        <v>0.60416666666666696</v>
      </c>
      <c r="D130" s="198">
        <v>0.60416666666666696</v>
      </c>
      <c r="E130" s="198">
        <v>0.60416666666666696</v>
      </c>
      <c r="F130" s="198">
        <v>0.60416666666666696</v>
      </c>
      <c r="G130" s="200">
        <v>0.625</v>
      </c>
      <c r="H130" s="196"/>
      <c r="I130" s="113" t="s">
        <v>1318</v>
      </c>
      <c r="J130" s="1083" t="s">
        <v>1319</v>
      </c>
      <c r="K130" s="1083"/>
      <c r="L130" s="1083"/>
      <c r="M130" s="1084"/>
      <c r="AA130"/>
    </row>
    <row r="131" spans="2:27" ht="53.1" customHeight="1">
      <c r="B131" s="113" t="s">
        <v>1320</v>
      </c>
      <c r="C131" s="115" t="s">
        <v>1296</v>
      </c>
      <c r="D131" s="197">
        <v>0.625</v>
      </c>
      <c r="E131" s="197">
        <v>0.625</v>
      </c>
      <c r="F131" s="197">
        <v>0.60416666666666696</v>
      </c>
      <c r="G131" s="154" t="s">
        <v>1296</v>
      </c>
      <c r="H131" s="196"/>
      <c r="I131" s="214" t="s">
        <v>1321</v>
      </c>
      <c r="J131" s="1085" t="s">
        <v>1322</v>
      </c>
      <c r="K131" s="1085"/>
      <c r="L131" s="1085"/>
      <c r="M131" s="215" t="s">
        <v>1323</v>
      </c>
      <c r="AA131"/>
    </row>
    <row r="132" spans="2:27" ht="53.1" customHeight="1">
      <c r="B132" s="101" t="s">
        <v>1324</v>
      </c>
      <c r="C132" s="6" t="s">
        <v>1296</v>
      </c>
      <c r="D132" s="198">
        <v>0.625</v>
      </c>
      <c r="E132" s="198">
        <v>0.625</v>
      </c>
      <c r="F132" s="198">
        <v>0.60416666666666696</v>
      </c>
      <c r="G132" s="157" t="s">
        <v>1296</v>
      </c>
      <c r="H132" s="196"/>
      <c r="I132" s="1078" t="s">
        <v>1325</v>
      </c>
      <c r="J132" s="1079"/>
      <c r="K132" s="1079"/>
      <c r="L132" s="1079"/>
      <c r="M132" s="939"/>
      <c r="AA132"/>
    </row>
    <row r="133" spans="2:27" ht="51.75" customHeight="1">
      <c r="B133" s="113" t="s">
        <v>1326</v>
      </c>
      <c r="C133" s="115" t="s">
        <v>1327</v>
      </c>
      <c r="D133" s="197">
        <v>0.6875</v>
      </c>
      <c r="E133" s="197">
        <v>0.61458333333333304</v>
      </c>
      <c r="F133" s="197">
        <v>0.60416666666666696</v>
      </c>
      <c r="G133" s="154" t="s">
        <v>1296</v>
      </c>
      <c r="H133" s="196"/>
      <c r="I133" s="1080"/>
      <c r="J133" s="1081"/>
      <c r="K133" s="1081"/>
      <c r="L133" s="1081"/>
      <c r="M133" s="942"/>
      <c r="AA133"/>
    </row>
    <row r="134" spans="2:27" ht="60.95" customHeight="1">
      <c r="B134" s="101" t="s">
        <v>1328</v>
      </c>
      <c r="C134" s="198">
        <v>0.58333333333333304</v>
      </c>
      <c r="D134" s="198" t="s">
        <v>1329</v>
      </c>
      <c r="E134" s="198">
        <v>0.47916666666666702</v>
      </c>
      <c r="F134" s="198">
        <v>0.60416666666666696</v>
      </c>
      <c r="G134" s="157" t="s">
        <v>1296</v>
      </c>
      <c r="H134" s="196"/>
      <c r="AA134"/>
    </row>
    <row r="135" spans="2:27" ht="51.75" customHeight="1">
      <c r="B135" s="113" t="s">
        <v>1330</v>
      </c>
      <c r="C135" s="115" t="s">
        <v>1296</v>
      </c>
      <c r="D135" s="197" t="s">
        <v>1331</v>
      </c>
      <c r="E135" s="197">
        <v>0.625</v>
      </c>
      <c r="F135" s="197">
        <v>0.60416666666666696</v>
      </c>
      <c r="G135" s="199">
        <v>0.63541666666666696</v>
      </c>
      <c r="H135" s="196"/>
      <c r="AA135"/>
    </row>
    <row r="136" spans="2:27" ht="54.95" customHeight="1">
      <c r="B136" s="104" t="s">
        <v>1332</v>
      </c>
      <c r="C136" s="221">
        <v>0.625</v>
      </c>
      <c r="D136" s="221">
        <v>0.625</v>
      </c>
      <c r="E136" s="221">
        <v>0.625</v>
      </c>
      <c r="F136" s="221" t="s">
        <v>1333</v>
      </c>
      <c r="G136" s="222">
        <v>0.63541666666666696</v>
      </c>
      <c r="H136" s="196"/>
      <c r="AA136"/>
    </row>
    <row r="137" spans="2:27" ht="54.95" customHeight="1">
      <c r="B137" s="223" t="s">
        <v>1334</v>
      </c>
      <c r="C137" s="224">
        <v>0.61805555555555602</v>
      </c>
      <c r="D137" s="224">
        <v>0.625</v>
      </c>
      <c r="E137" s="224">
        <v>0.625</v>
      </c>
      <c r="F137" s="224">
        <v>0.61805555555555602</v>
      </c>
      <c r="G137" s="225" t="s">
        <v>1296</v>
      </c>
      <c r="H137" s="196"/>
      <c r="AA137"/>
    </row>
    <row r="138" spans="2:27" ht="29.1" customHeight="1">
      <c r="B138" s="1086" t="s">
        <v>1335</v>
      </c>
      <c r="C138" s="741"/>
      <c r="D138" s="741"/>
      <c r="E138" s="741"/>
      <c r="F138" s="741"/>
      <c r="G138" s="743"/>
      <c r="H138" s="95"/>
      <c r="AA138"/>
    </row>
  </sheetData>
  <mergeCells count="102">
    <mergeCell ref="A1:C1"/>
    <mergeCell ref="B2:S2"/>
    <mergeCell ref="Q3:R3"/>
    <mergeCell ref="Q22:R22"/>
    <mergeCell ref="B24:S24"/>
    <mergeCell ref="B26:S26"/>
    <mergeCell ref="Q27:R27"/>
    <mergeCell ref="Q28:R28"/>
    <mergeCell ref="Q29:R29"/>
    <mergeCell ref="J3:J4"/>
    <mergeCell ref="K3:K4"/>
    <mergeCell ref="L3:L4"/>
    <mergeCell ref="M3:M4"/>
    <mergeCell ref="N3:N4"/>
    <mergeCell ref="O3:O4"/>
    <mergeCell ref="P3:P4"/>
    <mergeCell ref="S3:S4"/>
    <mergeCell ref="Q30:R30"/>
    <mergeCell ref="Q31:R31"/>
    <mergeCell ref="Q32:R32"/>
    <mergeCell ref="Q33:R33"/>
    <mergeCell ref="B34:S34"/>
    <mergeCell ref="B36:R36"/>
    <mergeCell ref="B61:R61"/>
    <mergeCell ref="B89:R89"/>
    <mergeCell ref="B91:R91"/>
    <mergeCell ref="B97:L97"/>
    <mergeCell ref="B108:L108"/>
    <mergeCell ref="C109:D109"/>
    <mergeCell ref="E109:G109"/>
    <mergeCell ref="H109:J109"/>
    <mergeCell ref="K109:L109"/>
    <mergeCell ref="E110:F110"/>
    <mergeCell ref="H110:I110"/>
    <mergeCell ref="E112:F112"/>
    <mergeCell ref="H112:I112"/>
    <mergeCell ref="I103:I106"/>
    <mergeCell ref="J99:J102"/>
    <mergeCell ref="J103:J106"/>
    <mergeCell ref="J110:J111"/>
    <mergeCell ref="K99:K102"/>
    <mergeCell ref="K110:K111"/>
    <mergeCell ref="L99:L102"/>
    <mergeCell ref="L103:L106"/>
    <mergeCell ref="L110:L111"/>
    <mergeCell ref="I99:I102"/>
    <mergeCell ref="J128:M128"/>
    <mergeCell ref="C117:D117"/>
    <mergeCell ref="E117:G117"/>
    <mergeCell ref="H117:J117"/>
    <mergeCell ref="K117:L117"/>
    <mergeCell ref="C118:D118"/>
    <mergeCell ref="F118:G118"/>
    <mergeCell ref="H118:J118"/>
    <mergeCell ref="K118:L118"/>
    <mergeCell ref="C119:D119"/>
    <mergeCell ref="E119:G119"/>
    <mergeCell ref="H119:J119"/>
    <mergeCell ref="K119:L119"/>
    <mergeCell ref="B120:L120"/>
    <mergeCell ref="B122:G122"/>
    <mergeCell ref="I122:M122"/>
    <mergeCell ref="J123:L123"/>
    <mergeCell ref="J124:M124"/>
    <mergeCell ref="J125:L125"/>
    <mergeCell ref="J126:M126"/>
    <mergeCell ref="J127:L127"/>
    <mergeCell ref="C114:D114"/>
    <mergeCell ref="E114:F114"/>
    <mergeCell ref="H114:I114"/>
    <mergeCell ref="C115:D115"/>
    <mergeCell ref="E115:G115"/>
    <mergeCell ref="H115:J115"/>
    <mergeCell ref="K115:L115"/>
    <mergeCell ref="C116:D116"/>
    <mergeCell ref="E116:G116"/>
    <mergeCell ref="H116:J116"/>
    <mergeCell ref="K116:L116"/>
    <mergeCell ref="I132:M133"/>
    <mergeCell ref="J129:L129"/>
    <mergeCell ref="J130:M130"/>
    <mergeCell ref="J131:L131"/>
    <mergeCell ref="B138:G138"/>
    <mergeCell ref="B3:B4"/>
    <mergeCell ref="B109:B111"/>
    <mergeCell ref="C3:C4"/>
    <mergeCell ref="C110:C111"/>
    <mergeCell ref="D3:D4"/>
    <mergeCell ref="D110:D111"/>
    <mergeCell ref="E3:E4"/>
    <mergeCell ref="E99:E106"/>
    <mergeCell ref="F3:F4"/>
    <mergeCell ref="F99:F102"/>
    <mergeCell ref="F103:F106"/>
    <mergeCell ref="G3:G4"/>
    <mergeCell ref="G99:G102"/>
    <mergeCell ref="G103:G106"/>
    <mergeCell ref="G110:G111"/>
    <mergeCell ref="H3:H4"/>
    <mergeCell ref="H99:H102"/>
    <mergeCell ref="H103:H106"/>
    <mergeCell ref="I3:I4"/>
  </mergeCells>
  <phoneticPr fontId="106" type="noConversion"/>
  <hyperlinks>
    <hyperlink ref="A1" location="'目录'!A1" display="点此返回目录"/>
  </hyperlinks>
  <pageMargins left="0.75" right="0.75" top="1" bottom="1" header="0.5" footer="0.5"/>
  <pageSetup paperSize="9" orientation="portrait"/>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dimension ref="A1:J36"/>
  <sheetViews>
    <sheetView zoomScale="85" zoomScaleNormal="85" workbookViewId="0">
      <selection sqref="A1:C1"/>
    </sheetView>
  </sheetViews>
  <sheetFormatPr defaultColWidth="9" defaultRowHeight="16.5"/>
  <cols>
    <col min="1" max="1" width="5.875" style="28" customWidth="1"/>
    <col min="2" max="2" width="11.125" style="28" customWidth="1"/>
    <col min="3" max="3" width="10.875" style="28" customWidth="1"/>
    <col min="4" max="4" width="13.75" style="28" customWidth="1"/>
    <col min="5" max="5" width="18.75" style="28" customWidth="1"/>
    <col min="6" max="6" width="76.625" style="28" customWidth="1"/>
    <col min="7" max="7" width="28.75" style="28" customWidth="1"/>
    <col min="8" max="8" width="30.75" style="28" customWidth="1"/>
    <col min="9" max="9" width="28.5" style="28" customWidth="1"/>
    <col min="10" max="10" width="39.25" style="28" customWidth="1"/>
    <col min="11" max="11" width="9.625" style="28" customWidth="1"/>
    <col min="12" max="12" width="16" style="28" customWidth="1"/>
    <col min="13" max="13" width="19.125" style="28" customWidth="1"/>
    <col min="14" max="14" width="21.75" style="28" customWidth="1"/>
    <col min="15" max="15" width="45.875" style="28" customWidth="1"/>
    <col min="16" max="16" width="20.375" style="28" customWidth="1"/>
    <col min="17" max="17" width="67.375" style="28" customWidth="1"/>
    <col min="18" max="18" width="33.375" style="28" customWidth="1"/>
    <col min="19" max="16384" width="9" style="28"/>
  </cols>
  <sheetData>
    <row r="1" spans="1:10" ht="26.25" customHeight="1">
      <c r="A1" s="638" t="s">
        <v>33</v>
      </c>
      <c r="B1" s="638"/>
      <c r="C1" s="638"/>
    </row>
    <row r="2" spans="1:10" ht="31.5">
      <c r="B2" s="1176" t="s">
        <v>1336</v>
      </c>
      <c r="C2" s="1177"/>
      <c r="D2" s="1177"/>
      <c r="E2" s="1177"/>
      <c r="F2" s="1177"/>
      <c r="G2" s="1177"/>
      <c r="H2" s="1177"/>
      <c r="I2" s="1177"/>
      <c r="J2" s="1178"/>
    </row>
    <row r="3" spans="1:10" ht="42">
      <c r="B3" s="68" t="s">
        <v>35</v>
      </c>
      <c r="C3" s="69" t="s">
        <v>1337</v>
      </c>
      <c r="D3" s="69" t="s">
        <v>1338</v>
      </c>
      <c r="E3" s="70" t="s">
        <v>1339</v>
      </c>
      <c r="F3" s="70" t="s">
        <v>1340</v>
      </c>
      <c r="G3" s="70" t="s">
        <v>1341</v>
      </c>
      <c r="H3" s="70" t="s">
        <v>1342</v>
      </c>
      <c r="I3" s="70" t="s">
        <v>1343</v>
      </c>
      <c r="J3" s="87" t="s">
        <v>673</v>
      </c>
    </row>
    <row r="4" spans="1:10" ht="24.95" customHeight="1">
      <c r="B4" s="1179" t="s">
        <v>1344</v>
      </c>
      <c r="C4" s="1170" t="s">
        <v>1345</v>
      </c>
      <c r="D4" s="1188" t="s">
        <v>1346</v>
      </c>
      <c r="E4" s="71" t="s">
        <v>1347</v>
      </c>
      <c r="F4" s="72" t="s">
        <v>1348</v>
      </c>
      <c r="G4" s="1161" t="s">
        <v>1349</v>
      </c>
      <c r="H4" s="1145" t="s">
        <v>1350</v>
      </c>
      <c r="I4" s="1142" t="s">
        <v>1351</v>
      </c>
      <c r="J4" s="1129" t="s">
        <v>1352</v>
      </c>
    </row>
    <row r="5" spans="1:10" ht="24.95" customHeight="1">
      <c r="B5" s="1180"/>
      <c r="C5" s="1171"/>
      <c r="D5" s="1173"/>
      <c r="E5" s="37" t="s">
        <v>1353</v>
      </c>
      <c r="F5" s="74" t="s">
        <v>1354</v>
      </c>
      <c r="G5" s="1162"/>
      <c r="H5" s="1146"/>
      <c r="I5" s="1143"/>
      <c r="J5" s="1130"/>
    </row>
    <row r="6" spans="1:10" ht="34.5">
      <c r="B6" s="1180"/>
      <c r="C6" s="1171"/>
      <c r="D6" s="1173"/>
      <c r="E6" s="6" t="s">
        <v>1355</v>
      </c>
      <c r="F6" s="74" t="s">
        <v>1356</v>
      </c>
      <c r="G6" s="1162"/>
      <c r="H6" s="1146"/>
      <c r="I6" s="1143"/>
      <c r="J6" s="1130"/>
    </row>
    <row r="7" spans="1:10" ht="24.95" customHeight="1">
      <c r="B7" s="1180"/>
      <c r="C7" s="1171"/>
      <c r="D7" s="1173"/>
      <c r="E7" s="1159" t="s">
        <v>1357</v>
      </c>
      <c r="F7" s="75" t="s">
        <v>1358</v>
      </c>
      <c r="G7" s="1159" t="s">
        <v>1359</v>
      </c>
      <c r="H7" s="1146"/>
      <c r="I7" s="1143"/>
      <c r="J7" s="1130"/>
    </row>
    <row r="8" spans="1:10" ht="24.95" customHeight="1">
      <c r="B8" s="1180"/>
      <c r="C8" s="1171"/>
      <c r="D8" s="1173"/>
      <c r="E8" s="1093"/>
      <c r="F8" s="75" t="s">
        <v>1360</v>
      </c>
      <c r="G8" s="1159"/>
      <c r="H8" s="1146"/>
      <c r="I8" s="1143"/>
      <c r="J8" s="1130"/>
    </row>
    <row r="9" spans="1:10" ht="24.95" customHeight="1">
      <c r="B9" s="1180"/>
      <c r="C9" s="1171"/>
      <c r="D9" s="1173"/>
      <c r="E9" s="76" t="s">
        <v>1361</v>
      </c>
      <c r="F9" s="75" t="s">
        <v>1362</v>
      </c>
      <c r="G9" s="1159" t="s">
        <v>1363</v>
      </c>
      <c r="H9" s="1146"/>
      <c r="I9" s="1143"/>
      <c r="J9" s="1130"/>
    </row>
    <row r="10" spans="1:10" ht="24.95" customHeight="1">
      <c r="B10" s="1180"/>
      <c r="C10" s="1171"/>
      <c r="D10" s="1173"/>
      <c r="E10" s="75" t="s">
        <v>1364</v>
      </c>
      <c r="F10" s="75" t="s">
        <v>1365</v>
      </c>
      <c r="G10" s="1159"/>
      <c r="H10" s="1146"/>
      <c r="I10" s="1143"/>
      <c r="J10" s="1130"/>
    </row>
    <row r="11" spans="1:10" ht="24.95" customHeight="1">
      <c r="B11" s="1180"/>
      <c r="C11" s="1171"/>
      <c r="D11" s="1173"/>
      <c r="E11" s="75" t="s">
        <v>1366</v>
      </c>
      <c r="F11" s="75" t="s">
        <v>1367</v>
      </c>
      <c r="G11" s="75" t="s">
        <v>1368</v>
      </c>
      <c r="H11" s="1146"/>
      <c r="I11" s="1143"/>
      <c r="J11" s="1130"/>
    </row>
    <row r="12" spans="1:10" ht="24.95" customHeight="1">
      <c r="B12" s="1180"/>
      <c r="C12" s="1171"/>
      <c r="D12" s="1173"/>
      <c r="E12" s="1159" t="s">
        <v>1369</v>
      </c>
      <c r="F12" s="75" t="s">
        <v>1370</v>
      </c>
      <c r="G12" s="1159" t="s">
        <v>1368</v>
      </c>
      <c r="H12" s="1146"/>
      <c r="I12" s="1143"/>
      <c r="J12" s="1130"/>
    </row>
    <row r="13" spans="1:10" ht="24.95" customHeight="1">
      <c r="B13" s="1180"/>
      <c r="C13" s="1171"/>
      <c r="D13" s="1173"/>
      <c r="E13" s="1159"/>
      <c r="F13" s="75" t="s">
        <v>1371</v>
      </c>
      <c r="G13" s="1159"/>
      <c r="H13" s="1146"/>
      <c r="I13" s="1143"/>
      <c r="J13" s="1130"/>
    </row>
    <row r="14" spans="1:10" ht="24.95" customHeight="1">
      <c r="B14" s="1180"/>
      <c r="C14" s="1171"/>
      <c r="D14" s="1173"/>
      <c r="E14" s="1159" t="s">
        <v>1372</v>
      </c>
      <c r="F14" s="75" t="s">
        <v>1373</v>
      </c>
      <c r="G14" s="1159" t="s">
        <v>1374</v>
      </c>
      <c r="H14" s="1146"/>
      <c r="I14" s="1143"/>
      <c r="J14" s="1130"/>
    </row>
    <row r="15" spans="1:10" ht="24.95" customHeight="1">
      <c r="B15" s="1180"/>
      <c r="C15" s="1171"/>
      <c r="D15" s="1173"/>
      <c r="E15" s="1159"/>
      <c r="F15" s="75" t="s">
        <v>1375</v>
      </c>
      <c r="G15" s="1159"/>
      <c r="H15" s="1146"/>
      <c r="I15" s="1143"/>
      <c r="J15" s="1130"/>
    </row>
    <row r="16" spans="1:10" ht="24.95" customHeight="1">
      <c r="B16" s="1180"/>
      <c r="C16" s="1171"/>
      <c r="D16" s="1173"/>
      <c r="E16" s="1159" t="s">
        <v>1376</v>
      </c>
      <c r="F16" s="75" t="s">
        <v>1377</v>
      </c>
      <c r="G16" s="1159" t="s">
        <v>1378</v>
      </c>
      <c r="H16" s="1146"/>
      <c r="I16" s="1143"/>
      <c r="J16" s="1130"/>
    </row>
    <row r="17" spans="2:10" ht="24.95" customHeight="1">
      <c r="B17" s="1181"/>
      <c r="C17" s="1172"/>
      <c r="D17" s="1174"/>
      <c r="E17" s="1164"/>
      <c r="F17" s="78" t="s">
        <v>1379</v>
      </c>
      <c r="G17" s="1160"/>
      <c r="H17" s="1147"/>
      <c r="I17" s="1144"/>
      <c r="J17" s="1131"/>
    </row>
    <row r="18" spans="2:10" ht="24.95" customHeight="1">
      <c r="B18" s="1182" t="s">
        <v>148</v>
      </c>
      <c r="C18" s="1170" t="s">
        <v>1345</v>
      </c>
      <c r="D18" s="1188" t="s">
        <v>1346</v>
      </c>
      <c r="E18" s="71" t="s">
        <v>1347</v>
      </c>
      <c r="F18" s="72" t="s">
        <v>1348</v>
      </c>
      <c r="G18" s="1161" t="s">
        <v>1349</v>
      </c>
      <c r="H18" s="1145" t="s">
        <v>1380</v>
      </c>
      <c r="I18" s="1145" t="s">
        <v>1381</v>
      </c>
      <c r="J18" s="1132" t="s">
        <v>1382</v>
      </c>
    </row>
    <row r="19" spans="2:10" ht="24.95" customHeight="1">
      <c r="B19" s="1183"/>
      <c r="C19" s="1173"/>
      <c r="D19" s="1173"/>
      <c r="E19" s="37" t="s">
        <v>1353</v>
      </c>
      <c r="F19" s="74" t="s">
        <v>1354</v>
      </c>
      <c r="G19" s="1162"/>
      <c r="H19" s="1146"/>
      <c r="I19" s="1146"/>
      <c r="J19" s="1133"/>
    </row>
    <row r="20" spans="2:10" ht="24.95" customHeight="1">
      <c r="B20" s="1183"/>
      <c r="C20" s="1173"/>
      <c r="D20" s="1173"/>
      <c r="E20" s="37" t="s">
        <v>1383</v>
      </c>
      <c r="F20" s="74" t="s">
        <v>1356</v>
      </c>
      <c r="G20" s="1162"/>
      <c r="H20" s="1146"/>
      <c r="I20" s="1146"/>
      <c r="J20" s="1133"/>
    </row>
    <row r="21" spans="2:10" ht="24.95" customHeight="1">
      <c r="B21" s="1183"/>
      <c r="C21" s="1173"/>
      <c r="D21" s="1173"/>
      <c r="E21" s="1159" t="s">
        <v>1384</v>
      </c>
      <c r="F21" s="75" t="s">
        <v>1385</v>
      </c>
      <c r="G21" s="1159" t="s">
        <v>1359</v>
      </c>
      <c r="H21" s="1146"/>
      <c r="I21" s="1146"/>
      <c r="J21" s="1133"/>
    </row>
    <row r="22" spans="2:10" ht="24.95" customHeight="1">
      <c r="B22" s="1183"/>
      <c r="C22" s="1173"/>
      <c r="D22" s="1173"/>
      <c r="E22" s="1093"/>
      <c r="F22" s="75" t="s">
        <v>1386</v>
      </c>
      <c r="G22" s="1159"/>
      <c r="H22" s="1146"/>
      <c r="I22" s="1146"/>
      <c r="J22" s="1133"/>
    </row>
    <row r="23" spans="2:10" ht="24.95" customHeight="1">
      <c r="B23" s="1183"/>
      <c r="C23" s="1173"/>
      <c r="D23" s="1173"/>
      <c r="E23" s="75" t="s">
        <v>1361</v>
      </c>
      <c r="F23" s="75" t="s">
        <v>1362</v>
      </c>
      <c r="G23" s="1159" t="s">
        <v>1363</v>
      </c>
      <c r="H23" s="1146"/>
      <c r="I23" s="1146"/>
      <c r="J23" s="1133"/>
    </row>
    <row r="24" spans="2:10" ht="24.95" customHeight="1">
      <c r="B24" s="1184"/>
      <c r="C24" s="1174"/>
      <c r="D24" s="1174"/>
      <c r="E24" s="78" t="s">
        <v>1364</v>
      </c>
      <c r="F24" s="78" t="s">
        <v>1365</v>
      </c>
      <c r="G24" s="1160"/>
      <c r="H24" s="1147"/>
      <c r="I24" s="1147"/>
      <c r="J24" s="1134"/>
    </row>
    <row r="25" spans="2:10" ht="50.1" customHeight="1">
      <c r="B25" s="1185" t="s">
        <v>210</v>
      </c>
      <c r="C25" s="1175" t="s">
        <v>1387</v>
      </c>
      <c r="D25" s="1148" t="s">
        <v>1388</v>
      </c>
      <c r="E25" s="71" t="s">
        <v>1347</v>
      </c>
      <c r="F25" s="72" t="s">
        <v>1348</v>
      </c>
      <c r="G25" s="1161" t="s">
        <v>1349</v>
      </c>
      <c r="H25" s="1155" t="s">
        <v>1389</v>
      </c>
      <c r="I25" s="1148" t="s">
        <v>1390</v>
      </c>
      <c r="J25" s="1135" t="s">
        <v>1391</v>
      </c>
    </row>
    <row r="26" spans="2:10" ht="50.1" customHeight="1">
      <c r="B26" s="1186"/>
      <c r="C26" s="1005"/>
      <c r="D26" s="1005"/>
      <c r="E26" s="37" t="s">
        <v>1353</v>
      </c>
      <c r="F26" s="74" t="s">
        <v>1354</v>
      </c>
      <c r="G26" s="1162"/>
      <c r="H26" s="1156"/>
      <c r="I26" s="1005"/>
      <c r="J26" s="1136"/>
    </row>
    <row r="27" spans="2:10" ht="50.1" customHeight="1">
      <c r="B27" s="1187"/>
      <c r="C27" s="1149"/>
      <c r="D27" s="1149"/>
      <c r="E27" s="77" t="s">
        <v>1383</v>
      </c>
      <c r="F27" s="82" t="s">
        <v>1356</v>
      </c>
      <c r="G27" s="1163"/>
      <c r="H27" s="1157"/>
      <c r="I27" s="1149"/>
      <c r="J27" s="1137"/>
    </row>
    <row r="28" spans="2:10" ht="69.95" customHeight="1">
      <c r="B28" s="1165" t="s">
        <v>1392</v>
      </c>
      <c r="C28" s="1175" t="s">
        <v>1393</v>
      </c>
      <c r="D28" s="1148" t="s">
        <v>1388</v>
      </c>
      <c r="E28" s="71" t="s">
        <v>1347</v>
      </c>
      <c r="F28" s="72" t="s">
        <v>1348</v>
      </c>
      <c r="G28" s="1148" t="s">
        <v>1349</v>
      </c>
      <c r="H28" s="1155" t="s">
        <v>1394</v>
      </c>
      <c r="I28" s="1148" t="s">
        <v>1390</v>
      </c>
      <c r="J28" s="1135" t="s">
        <v>1395</v>
      </c>
    </row>
    <row r="29" spans="2:10" ht="69.95" customHeight="1">
      <c r="B29" s="1166"/>
      <c r="C29" s="1150"/>
      <c r="D29" s="1150"/>
      <c r="E29" s="83" t="s">
        <v>1353</v>
      </c>
      <c r="F29" s="84" t="s">
        <v>1354</v>
      </c>
      <c r="G29" s="1150"/>
      <c r="H29" s="1158"/>
      <c r="I29" s="1150"/>
      <c r="J29" s="1138"/>
    </row>
    <row r="30" spans="2:10" ht="34.5">
      <c r="B30" s="1167" t="s">
        <v>1396</v>
      </c>
      <c r="C30" s="1175" t="s">
        <v>1345</v>
      </c>
      <c r="D30" s="1148" t="s">
        <v>1346</v>
      </c>
      <c r="E30" s="71" t="s">
        <v>1397</v>
      </c>
      <c r="F30" s="72" t="s">
        <v>1398</v>
      </c>
      <c r="G30" s="1148" t="s">
        <v>1399</v>
      </c>
      <c r="H30" s="1155" t="s">
        <v>1400</v>
      </c>
      <c r="I30" s="1151" t="s">
        <v>1401</v>
      </c>
      <c r="J30" s="1139" t="s">
        <v>1402</v>
      </c>
    </row>
    <row r="31" spans="2:10" ht="34.5">
      <c r="B31" s="1168"/>
      <c r="C31" s="1005"/>
      <c r="D31" s="1005"/>
      <c r="E31" s="37" t="s">
        <v>1403</v>
      </c>
      <c r="F31" s="74" t="s">
        <v>1404</v>
      </c>
      <c r="G31" s="1005"/>
      <c r="H31" s="1156"/>
      <c r="I31" s="1152"/>
      <c r="J31" s="1140"/>
    </row>
    <row r="32" spans="2:10" ht="34.5">
      <c r="B32" s="1168"/>
      <c r="C32" s="1005"/>
      <c r="D32" s="1005"/>
      <c r="E32" s="37" t="s">
        <v>1405</v>
      </c>
      <c r="F32" s="74" t="s">
        <v>1406</v>
      </c>
      <c r="G32" s="1154" t="s">
        <v>1407</v>
      </c>
      <c r="H32" s="1156"/>
      <c r="I32" s="1152"/>
      <c r="J32" s="1140"/>
    </row>
    <row r="33" spans="2:10" ht="34.5">
      <c r="B33" s="1168"/>
      <c r="C33" s="1005"/>
      <c r="D33" s="1005"/>
      <c r="E33" s="37" t="s">
        <v>1408</v>
      </c>
      <c r="F33" s="74" t="s">
        <v>1409</v>
      </c>
      <c r="G33" s="1154"/>
      <c r="H33" s="1156"/>
      <c r="I33" s="1152"/>
      <c r="J33" s="1140"/>
    </row>
    <row r="34" spans="2:10" ht="34.5">
      <c r="B34" s="1168"/>
      <c r="C34" s="1005"/>
      <c r="D34" s="1005"/>
      <c r="E34" s="37" t="s">
        <v>1410</v>
      </c>
      <c r="F34" s="74" t="s">
        <v>1411</v>
      </c>
      <c r="G34" s="1154" t="s">
        <v>1412</v>
      </c>
      <c r="H34" s="1156"/>
      <c r="I34" s="1152"/>
      <c r="J34" s="1140"/>
    </row>
    <row r="35" spans="2:10" ht="34.5">
      <c r="B35" s="1168"/>
      <c r="C35" s="1005"/>
      <c r="D35" s="1005"/>
      <c r="E35" s="37" t="s">
        <v>1413</v>
      </c>
      <c r="F35" s="74" t="s">
        <v>1414</v>
      </c>
      <c r="G35" s="1154"/>
      <c r="H35" s="1156"/>
      <c r="I35" s="1152"/>
      <c r="J35" s="1140"/>
    </row>
    <row r="36" spans="2:10" ht="45" customHeight="1">
      <c r="B36" s="1169"/>
      <c r="C36" s="1149"/>
      <c r="D36" s="1149"/>
      <c r="E36" s="77" t="s">
        <v>1415</v>
      </c>
      <c r="F36" s="82" t="s">
        <v>1416</v>
      </c>
      <c r="G36" s="86" t="s">
        <v>1407</v>
      </c>
      <c r="H36" s="81" t="s">
        <v>1417</v>
      </c>
      <c r="I36" s="1153"/>
      <c r="J36" s="1141"/>
    </row>
  </sheetData>
  <mergeCells count="51">
    <mergeCell ref="A1:C1"/>
    <mergeCell ref="B2:J2"/>
    <mergeCell ref="B4:B17"/>
    <mergeCell ref="B18:B24"/>
    <mergeCell ref="B25:B27"/>
    <mergeCell ref="D4:D17"/>
    <mergeCell ref="D18:D24"/>
    <mergeCell ref="D25:D27"/>
    <mergeCell ref="G4:G6"/>
    <mergeCell ref="G7:G8"/>
    <mergeCell ref="G9:G10"/>
    <mergeCell ref="G12:G13"/>
    <mergeCell ref="G14:G15"/>
    <mergeCell ref="G16:G17"/>
    <mergeCell ref="G18:G20"/>
    <mergeCell ref="G21:G22"/>
    <mergeCell ref="B28:B29"/>
    <mergeCell ref="B30:B36"/>
    <mergeCell ref="C4:C17"/>
    <mergeCell ref="C18:C24"/>
    <mergeCell ref="C25:C27"/>
    <mergeCell ref="C28:C29"/>
    <mergeCell ref="C30:C36"/>
    <mergeCell ref="D28:D29"/>
    <mergeCell ref="D30:D36"/>
    <mergeCell ref="E7:E8"/>
    <mergeCell ref="E12:E13"/>
    <mergeCell ref="E14:E15"/>
    <mergeCell ref="E16:E17"/>
    <mergeCell ref="E21:E22"/>
    <mergeCell ref="G34:G35"/>
    <mergeCell ref="H4:H17"/>
    <mergeCell ref="H18:H24"/>
    <mergeCell ref="H25:H27"/>
    <mergeCell ref="H28:H29"/>
    <mergeCell ref="H30:H35"/>
    <mergeCell ref="G23:G24"/>
    <mergeCell ref="G25:G27"/>
    <mergeCell ref="G28:G29"/>
    <mergeCell ref="G30:G31"/>
    <mergeCell ref="G32:G33"/>
    <mergeCell ref="I4:I17"/>
    <mergeCell ref="I18:I24"/>
    <mergeCell ref="I25:I27"/>
    <mergeCell ref="I28:I29"/>
    <mergeCell ref="I30:I36"/>
    <mergeCell ref="J4:J17"/>
    <mergeCell ref="J18:J24"/>
    <mergeCell ref="J25:J27"/>
    <mergeCell ref="J28:J29"/>
    <mergeCell ref="J30:J36"/>
  </mergeCells>
  <phoneticPr fontId="106" type="noConversion"/>
  <hyperlinks>
    <hyperlink ref="A1" location="'目录'!A1" display="点此返回目录"/>
  </hyperlinks>
  <pageMargins left="0.75" right="0.75" top="1" bottom="1" header="0.5" footer="0.5"/>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dimension ref="A1:X76"/>
  <sheetViews>
    <sheetView zoomScale="85" zoomScaleNormal="85" workbookViewId="0">
      <selection sqref="A1:C1"/>
    </sheetView>
  </sheetViews>
  <sheetFormatPr defaultColWidth="9" defaultRowHeight="16.5"/>
  <cols>
    <col min="1" max="1" width="2.75" style="28" customWidth="1"/>
    <col min="2" max="2" width="13.125" style="28" customWidth="1"/>
    <col min="3" max="3" width="47" style="28" customWidth="1"/>
    <col min="4" max="4" width="33.875" style="28" customWidth="1"/>
    <col min="5" max="5" width="16.625" style="28" customWidth="1"/>
    <col min="6" max="6" width="16.25" style="28" customWidth="1"/>
    <col min="7" max="7" width="25.125" style="28" customWidth="1"/>
    <col min="8" max="8" width="26.625" style="28" customWidth="1"/>
    <col min="9" max="24" width="9" style="28"/>
  </cols>
  <sheetData>
    <row r="1" spans="2:8" s="28" customFormat="1" ht="27.75" customHeight="1">
      <c r="B1" s="623" t="s">
        <v>33</v>
      </c>
      <c r="C1" s="623"/>
      <c r="D1" s="46"/>
    </row>
    <row r="2" spans="2:8" ht="50.1" customHeight="1">
      <c r="B2" s="1215" t="s">
        <v>1418</v>
      </c>
      <c r="C2" s="1216"/>
      <c r="D2" s="1216"/>
      <c r="E2" s="1216"/>
      <c r="F2" s="1216"/>
      <c r="G2" s="1216"/>
      <c r="H2" s="1217"/>
    </row>
    <row r="3" spans="2:8" ht="35.25" customHeight="1">
      <c r="B3" s="47" t="s">
        <v>35</v>
      </c>
      <c r="C3" s="1218" t="s">
        <v>1419</v>
      </c>
      <c r="D3" s="1219"/>
      <c r="E3" s="1219"/>
      <c r="F3" s="1220"/>
      <c r="G3" s="48" t="s">
        <v>1420</v>
      </c>
      <c r="H3" s="49" t="s">
        <v>673</v>
      </c>
    </row>
    <row r="4" spans="2:8" ht="30" customHeight="1">
      <c r="B4" s="1227" t="s">
        <v>1421</v>
      </c>
      <c r="C4" s="50" t="s">
        <v>1422</v>
      </c>
      <c r="D4" s="51" t="s">
        <v>1423</v>
      </c>
      <c r="E4" s="51" t="s">
        <v>1424</v>
      </c>
      <c r="F4" s="51" t="s">
        <v>1425</v>
      </c>
      <c r="G4" s="1189" t="s">
        <v>1426</v>
      </c>
      <c r="H4" s="1192" t="s">
        <v>1427</v>
      </c>
    </row>
    <row r="5" spans="2:8" ht="24" customHeight="1">
      <c r="B5" s="1228"/>
      <c r="C5" s="1238" t="s">
        <v>1428</v>
      </c>
      <c r="D5" s="52" t="s">
        <v>1429</v>
      </c>
      <c r="E5" s="53">
        <v>0</v>
      </c>
      <c r="F5" s="53">
        <v>0</v>
      </c>
      <c r="G5" s="1190"/>
      <c r="H5" s="1192"/>
    </row>
    <row r="6" spans="2:8" ht="22.5" customHeight="1">
      <c r="B6" s="1228"/>
      <c r="C6" s="1239"/>
      <c r="D6" s="52" t="s">
        <v>1430</v>
      </c>
      <c r="E6" s="53">
        <v>1.5</v>
      </c>
      <c r="F6" s="53">
        <v>3</v>
      </c>
      <c r="G6" s="1190"/>
      <c r="H6" s="1193"/>
    </row>
    <row r="7" spans="2:8" ht="39" customHeight="1">
      <c r="B7" s="1228"/>
      <c r="C7" s="1239"/>
      <c r="D7" s="52" t="s">
        <v>1431</v>
      </c>
      <c r="E7" s="53">
        <v>7.5</v>
      </c>
      <c r="F7" s="53">
        <v>15</v>
      </c>
      <c r="G7" s="1190"/>
      <c r="H7" s="1193"/>
    </row>
    <row r="8" spans="2:8" ht="22.5" customHeight="1">
      <c r="B8" s="1228"/>
      <c r="C8" s="1239"/>
      <c r="D8" s="52" t="s">
        <v>1432</v>
      </c>
      <c r="E8" s="53">
        <v>25</v>
      </c>
      <c r="F8" s="53">
        <v>50</v>
      </c>
      <c r="G8" s="1190"/>
      <c r="H8" s="1193"/>
    </row>
    <row r="9" spans="2:8" ht="22.5" customHeight="1">
      <c r="B9" s="1228"/>
      <c r="C9" s="1239" t="s">
        <v>1433</v>
      </c>
      <c r="D9" s="52" t="s">
        <v>1429</v>
      </c>
      <c r="E9" s="53">
        <v>0</v>
      </c>
      <c r="F9" s="53">
        <v>0</v>
      </c>
      <c r="G9" s="1190"/>
      <c r="H9" s="1193"/>
    </row>
    <row r="10" spans="2:8" ht="22.5" customHeight="1">
      <c r="B10" s="1228"/>
      <c r="C10" s="1239"/>
      <c r="D10" s="52" t="s">
        <v>1430</v>
      </c>
      <c r="E10" s="53">
        <v>0.5</v>
      </c>
      <c r="F10" s="53">
        <v>1</v>
      </c>
      <c r="G10" s="1190"/>
      <c r="H10" s="1193"/>
    </row>
    <row r="11" spans="2:8" ht="22.5" customHeight="1">
      <c r="B11" s="1228"/>
      <c r="C11" s="1239"/>
      <c r="D11" s="52" t="s">
        <v>1431</v>
      </c>
      <c r="E11" s="53">
        <v>2.5</v>
      </c>
      <c r="F11" s="53">
        <v>5</v>
      </c>
      <c r="G11" s="1190"/>
      <c r="H11" s="1193"/>
    </row>
    <row r="12" spans="2:8" ht="22.5" customHeight="1">
      <c r="B12" s="1228"/>
      <c r="C12" s="1239"/>
      <c r="D12" s="52" t="s">
        <v>1432</v>
      </c>
      <c r="E12" s="53">
        <v>5</v>
      </c>
      <c r="F12" s="53">
        <v>10</v>
      </c>
      <c r="G12" s="1190"/>
      <c r="H12" s="1193"/>
    </row>
    <row r="13" spans="2:8" ht="22.5" customHeight="1">
      <c r="B13" s="1228"/>
      <c r="C13" s="1240" t="s">
        <v>1434</v>
      </c>
      <c r="D13" s="52" t="s">
        <v>1429</v>
      </c>
      <c r="E13" s="53">
        <v>0</v>
      </c>
      <c r="F13" s="53">
        <v>0</v>
      </c>
      <c r="G13" s="1190"/>
      <c r="H13" s="1193"/>
    </row>
    <row r="14" spans="2:8" ht="22.5" customHeight="1">
      <c r="B14" s="1228"/>
      <c r="C14" s="1240"/>
      <c r="D14" s="52" t="s">
        <v>1430</v>
      </c>
      <c r="E14" s="53">
        <v>0.1</v>
      </c>
      <c r="F14" s="53">
        <v>0.2</v>
      </c>
      <c r="G14" s="1190"/>
      <c r="H14" s="1193"/>
    </row>
    <row r="15" spans="2:8" ht="24" customHeight="1">
      <c r="B15" s="1228"/>
      <c r="C15" s="1240"/>
      <c r="D15" s="52" t="s">
        <v>1431</v>
      </c>
      <c r="E15" s="53">
        <v>0.5</v>
      </c>
      <c r="F15" s="53">
        <v>1</v>
      </c>
      <c r="G15" s="1190"/>
      <c r="H15" s="1193"/>
    </row>
    <row r="16" spans="2:8" ht="21.75" customHeight="1">
      <c r="B16" s="1229"/>
      <c r="C16" s="1241"/>
      <c r="D16" s="52" t="s">
        <v>1432</v>
      </c>
      <c r="E16" s="53">
        <v>2</v>
      </c>
      <c r="F16" s="53">
        <v>5</v>
      </c>
      <c r="G16" s="1190"/>
      <c r="H16" s="1193"/>
    </row>
    <row r="17" spans="2:8" ht="30" customHeight="1">
      <c r="B17" s="1230" t="s">
        <v>102</v>
      </c>
      <c r="C17" s="50" t="s">
        <v>1422</v>
      </c>
      <c r="D17" s="54" t="s">
        <v>1423</v>
      </c>
      <c r="E17" s="54" t="s">
        <v>1424</v>
      </c>
      <c r="F17" s="54" t="s">
        <v>1425</v>
      </c>
      <c r="G17" s="1190"/>
      <c r="H17" s="1192" t="s">
        <v>1435</v>
      </c>
    </row>
    <row r="18" spans="2:8" ht="22.5" customHeight="1">
      <c r="B18" s="1231"/>
      <c r="C18" s="1242" t="s">
        <v>1436</v>
      </c>
      <c r="D18" s="56" t="s">
        <v>1429</v>
      </c>
      <c r="E18" s="53">
        <v>0</v>
      </c>
      <c r="F18" s="53">
        <v>0</v>
      </c>
      <c r="G18" s="1190"/>
      <c r="H18" s="1194"/>
    </row>
    <row r="19" spans="2:8" ht="22.5" customHeight="1">
      <c r="B19" s="1231"/>
      <c r="C19" s="1243"/>
      <c r="D19" s="57" t="s">
        <v>1430</v>
      </c>
      <c r="E19" s="57">
        <v>0</v>
      </c>
      <c r="F19" s="57">
        <v>3</v>
      </c>
      <c r="G19" s="1190"/>
      <c r="H19" s="1194"/>
    </row>
    <row r="20" spans="2:8" ht="22.5" customHeight="1">
      <c r="B20" s="1231"/>
      <c r="C20" s="1244"/>
      <c r="D20" s="57" t="s">
        <v>1437</v>
      </c>
      <c r="E20" s="57">
        <v>6</v>
      </c>
      <c r="F20" s="57">
        <v>15</v>
      </c>
      <c r="G20" s="1190"/>
      <c r="H20" s="1194"/>
    </row>
    <row r="21" spans="2:8" ht="22.5" customHeight="1">
      <c r="B21" s="1231"/>
      <c r="C21" s="1245" t="s">
        <v>1438</v>
      </c>
      <c r="D21" s="53" t="s">
        <v>1429</v>
      </c>
      <c r="E21" s="53">
        <v>0</v>
      </c>
      <c r="F21" s="53">
        <v>0</v>
      </c>
      <c r="G21" s="1190"/>
      <c r="H21" s="1194"/>
    </row>
    <row r="22" spans="2:8" ht="22.5" customHeight="1">
      <c r="B22" s="1231"/>
      <c r="C22" s="1245"/>
      <c r="D22" s="53" t="s">
        <v>1430</v>
      </c>
      <c r="E22" s="53">
        <v>0</v>
      </c>
      <c r="F22" s="53">
        <v>2</v>
      </c>
      <c r="G22" s="1190"/>
      <c r="H22" s="1194"/>
    </row>
    <row r="23" spans="2:8" ht="22.5" customHeight="1">
      <c r="B23" s="1231"/>
      <c r="C23" s="1211"/>
      <c r="D23" s="58" t="s">
        <v>1437</v>
      </c>
      <c r="E23" s="58">
        <v>4</v>
      </c>
      <c r="F23" s="58">
        <v>10</v>
      </c>
      <c r="G23" s="1190"/>
      <c r="H23" s="1194"/>
    </row>
    <row r="24" spans="2:8" ht="22.5" customHeight="1">
      <c r="B24" s="1231"/>
      <c r="C24" s="1209" t="s">
        <v>1439</v>
      </c>
      <c r="D24" s="57" t="s">
        <v>1429</v>
      </c>
      <c r="E24" s="57">
        <v>0</v>
      </c>
      <c r="F24" s="57">
        <v>0</v>
      </c>
      <c r="G24" s="1190"/>
      <c r="H24" s="1194"/>
    </row>
    <row r="25" spans="2:8" ht="22.5" customHeight="1">
      <c r="B25" s="1231"/>
      <c r="C25" s="1210"/>
      <c r="D25" s="57" t="s">
        <v>1430</v>
      </c>
      <c r="E25" s="57">
        <v>0</v>
      </c>
      <c r="F25" s="57">
        <v>1</v>
      </c>
      <c r="G25" s="1190"/>
      <c r="H25" s="1194"/>
    </row>
    <row r="26" spans="2:8" ht="22.5" customHeight="1">
      <c r="B26" s="1231"/>
      <c r="C26" s="1211"/>
      <c r="D26" s="59" t="s">
        <v>1437</v>
      </c>
      <c r="E26" s="59">
        <v>2</v>
      </c>
      <c r="F26" s="59">
        <v>5</v>
      </c>
      <c r="G26" s="1190"/>
      <c r="H26" s="1194"/>
    </row>
    <row r="27" spans="2:8" ht="22.5" customHeight="1">
      <c r="B27" s="1231"/>
      <c r="C27" s="1209" t="s">
        <v>1440</v>
      </c>
      <c r="D27" s="57" t="s">
        <v>1429</v>
      </c>
      <c r="E27" s="57">
        <v>0</v>
      </c>
      <c r="F27" s="57">
        <v>0</v>
      </c>
      <c r="G27" s="1190"/>
      <c r="H27" s="1194"/>
    </row>
    <row r="28" spans="2:8" ht="22.5" customHeight="1">
      <c r="B28" s="1231"/>
      <c r="C28" s="1210"/>
      <c r="D28" s="57" t="s">
        <v>1430</v>
      </c>
      <c r="E28" s="57">
        <v>0</v>
      </c>
      <c r="F28" s="57">
        <v>1</v>
      </c>
      <c r="G28" s="1190"/>
      <c r="H28" s="1194"/>
    </row>
    <row r="29" spans="2:8" ht="22.5" customHeight="1">
      <c r="B29" s="1231"/>
      <c r="C29" s="1211"/>
      <c r="D29" s="59" t="s">
        <v>1437</v>
      </c>
      <c r="E29" s="59">
        <v>2</v>
      </c>
      <c r="F29" s="59">
        <v>5</v>
      </c>
      <c r="G29" s="1190"/>
      <c r="H29" s="1194"/>
    </row>
    <row r="30" spans="2:8" ht="22.5" customHeight="1">
      <c r="B30" s="1231"/>
      <c r="C30" s="1209" t="s">
        <v>1441</v>
      </c>
      <c r="D30" s="57" t="s">
        <v>1429</v>
      </c>
      <c r="E30" s="57">
        <v>0</v>
      </c>
      <c r="F30" s="57">
        <v>0</v>
      </c>
      <c r="G30" s="1190"/>
      <c r="H30" s="1194"/>
    </row>
    <row r="31" spans="2:8" ht="22.5" customHeight="1">
      <c r="B31" s="1231"/>
      <c r="C31" s="1210"/>
      <c r="D31" s="57" t="s">
        <v>1430</v>
      </c>
      <c r="E31" s="57">
        <v>0</v>
      </c>
      <c r="F31" s="57">
        <v>0.1</v>
      </c>
      <c r="G31" s="1190"/>
      <c r="H31" s="1194"/>
    </row>
    <row r="32" spans="2:8" ht="22.5" customHeight="1">
      <c r="B32" s="1231"/>
      <c r="C32" s="1211"/>
      <c r="D32" s="59" t="s">
        <v>1437</v>
      </c>
      <c r="E32" s="59">
        <v>0.2</v>
      </c>
      <c r="F32" s="59">
        <v>0.5</v>
      </c>
      <c r="G32" s="1190"/>
      <c r="H32" s="1194"/>
    </row>
    <row r="33" spans="2:8" ht="30" customHeight="1">
      <c r="B33" s="1232" t="s">
        <v>148</v>
      </c>
      <c r="C33" s="50" t="s">
        <v>1422</v>
      </c>
      <c r="D33" s="54" t="s">
        <v>1423</v>
      </c>
      <c r="E33" s="54" t="s">
        <v>1424</v>
      </c>
      <c r="F33" s="54" t="s">
        <v>1425</v>
      </c>
      <c r="G33" s="1191"/>
      <c r="H33" s="1195" t="s">
        <v>1442</v>
      </c>
    </row>
    <row r="34" spans="2:8" s="28" customFormat="1" ht="22.5" customHeight="1">
      <c r="B34" s="1233"/>
      <c r="C34" s="1212" t="s">
        <v>1443</v>
      </c>
      <c r="D34" s="53" t="s">
        <v>1429</v>
      </c>
      <c r="E34" s="53">
        <v>0</v>
      </c>
      <c r="F34" s="53">
        <v>0</v>
      </c>
      <c r="G34" s="1191"/>
      <c r="H34" s="1196"/>
    </row>
    <row r="35" spans="2:8" s="28" customFormat="1" ht="22.5" customHeight="1">
      <c r="B35" s="1233"/>
      <c r="C35" s="1213"/>
      <c r="D35" s="53" t="s">
        <v>1430</v>
      </c>
      <c r="E35" s="53">
        <v>0</v>
      </c>
      <c r="F35" s="53">
        <v>2</v>
      </c>
      <c r="G35" s="1191"/>
      <c r="H35" s="1196"/>
    </row>
    <row r="36" spans="2:8" ht="22.5" customHeight="1">
      <c r="B36" s="1233"/>
      <c r="C36" s="1213"/>
      <c r="D36" s="53" t="s">
        <v>1444</v>
      </c>
      <c r="E36" s="53">
        <v>5</v>
      </c>
      <c r="F36" s="53">
        <v>10</v>
      </c>
      <c r="G36" s="1191"/>
      <c r="H36" s="1196"/>
    </row>
    <row r="37" spans="2:8" ht="22.5" customHeight="1">
      <c r="B37" s="1233"/>
      <c r="C37" s="1214"/>
      <c r="D37" s="56" t="s">
        <v>1445</v>
      </c>
      <c r="E37" s="53">
        <v>10</v>
      </c>
      <c r="F37" s="53">
        <v>40</v>
      </c>
      <c r="G37" s="1191"/>
      <c r="H37" s="1196"/>
    </row>
    <row r="38" spans="2:8" ht="30" customHeight="1">
      <c r="B38" s="1233"/>
      <c r="C38" s="1201" t="s">
        <v>1446</v>
      </c>
      <c r="D38" s="57" t="s">
        <v>1429</v>
      </c>
      <c r="E38" s="57">
        <v>0</v>
      </c>
      <c r="F38" s="57">
        <v>0</v>
      </c>
      <c r="G38" s="1191"/>
      <c r="H38" s="1196"/>
    </row>
    <row r="39" spans="2:8" ht="30" customHeight="1">
      <c r="B39" s="1233"/>
      <c r="C39" s="1202"/>
      <c r="D39" s="57" t="s">
        <v>1430</v>
      </c>
      <c r="E39" s="57">
        <v>0</v>
      </c>
      <c r="F39" s="57">
        <v>3</v>
      </c>
      <c r="G39" s="1191"/>
      <c r="H39" s="1196"/>
    </row>
    <row r="40" spans="2:8" ht="30" customHeight="1">
      <c r="B40" s="1233"/>
      <c r="C40" s="1203"/>
      <c r="D40" s="57" t="s">
        <v>1437</v>
      </c>
      <c r="E40" s="57">
        <v>7.5</v>
      </c>
      <c r="F40" s="57">
        <v>15</v>
      </c>
      <c r="G40" s="1191"/>
      <c r="H40" s="1196"/>
    </row>
    <row r="41" spans="2:8" ht="30" customHeight="1">
      <c r="B41" s="1233"/>
      <c r="C41" s="1201" t="s">
        <v>1447</v>
      </c>
      <c r="D41" s="57" t="s">
        <v>1429</v>
      </c>
      <c r="E41" s="57">
        <v>0</v>
      </c>
      <c r="F41" s="57">
        <v>0</v>
      </c>
      <c r="G41" s="1191"/>
      <c r="H41" s="1196"/>
    </row>
    <row r="42" spans="2:8" ht="30" customHeight="1">
      <c r="B42" s="1233"/>
      <c r="C42" s="1202"/>
      <c r="D42" s="57" t="s">
        <v>1430</v>
      </c>
      <c r="E42" s="57">
        <v>0</v>
      </c>
      <c r="F42" s="57">
        <v>1</v>
      </c>
      <c r="G42" s="1191"/>
      <c r="H42" s="1196"/>
    </row>
    <row r="43" spans="2:8" ht="30" customHeight="1">
      <c r="B43" s="1233"/>
      <c r="C43" s="1203"/>
      <c r="D43" s="57" t="s">
        <v>1437</v>
      </c>
      <c r="E43" s="57">
        <v>2.5</v>
      </c>
      <c r="F43" s="57">
        <v>5</v>
      </c>
      <c r="G43" s="1191"/>
      <c r="H43" s="1196"/>
    </row>
    <row r="44" spans="2:8" ht="30" customHeight="1">
      <c r="B44" s="60"/>
      <c r="C44" s="1201" t="s">
        <v>1440</v>
      </c>
      <c r="D44" s="57" t="s">
        <v>1429</v>
      </c>
      <c r="E44" s="57">
        <v>0</v>
      </c>
      <c r="F44" s="57">
        <v>0</v>
      </c>
      <c r="G44" s="1191"/>
      <c r="H44" s="1196"/>
    </row>
    <row r="45" spans="2:8" ht="30" customHeight="1">
      <c r="B45" s="60"/>
      <c r="C45" s="1202"/>
      <c r="D45" s="57" t="s">
        <v>1430</v>
      </c>
      <c r="E45" s="57">
        <v>0</v>
      </c>
      <c r="F45" s="57">
        <v>1</v>
      </c>
      <c r="G45" s="1191"/>
      <c r="H45" s="1196"/>
    </row>
    <row r="46" spans="2:8" ht="30" customHeight="1">
      <c r="B46" s="60"/>
      <c r="C46" s="1203"/>
      <c r="D46" s="57" t="s">
        <v>1437</v>
      </c>
      <c r="E46" s="57">
        <v>2.5</v>
      </c>
      <c r="F46" s="57">
        <v>5</v>
      </c>
      <c r="G46" s="1191"/>
      <c r="H46" s="1196"/>
    </row>
    <row r="47" spans="2:8" ht="27.95" customHeight="1">
      <c r="B47" s="1234" t="s">
        <v>202</v>
      </c>
      <c r="C47" s="50" t="s">
        <v>1422</v>
      </c>
      <c r="D47" s="61" t="s">
        <v>1423</v>
      </c>
      <c r="E47" s="61" t="s">
        <v>1424</v>
      </c>
      <c r="F47" s="61" t="s">
        <v>1425</v>
      </c>
      <c r="G47" s="1190"/>
      <c r="H47" s="1197" t="s">
        <v>1448</v>
      </c>
    </row>
    <row r="48" spans="2:8" ht="21.95" customHeight="1">
      <c r="B48" s="1235"/>
      <c r="C48" s="1204" t="s">
        <v>1449</v>
      </c>
      <c r="D48" s="57" t="s">
        <v>1429</v>
      </c>
      <c r="E48" s="57">
        <v>0</v>
      </c>
      <c r="F48" s="62">
        <v>0</v>
      </c>
      <c r="G48" s="1190"/>
      <c r="H48" s="1198"/>
    </row>
    <row r="49" spans="2:8" ht="21.95" customHeight="1">
      <c r="B49" s="1235"/>
      <c r="C49" s="1205"/>
      <c r="D49" s="57" t="s">
        <v>1430</v>
      </c>
      <c r="E49" s="57">
        <v>0</v>
      </c>
      <c r="F49" s="62">
        <v>1</v>
      </c>
      <c r="G49" s="1190"/>
      <c r="H49" s="1198"/>
    </row>
    <row r="50" spans="2:8" ht="21.95" customHeight="1">
      <c r="B50" s="1235"/>
      <c r="C50" s="1206"/>
      <c r="D50" s="57" t="s">
        <v>1437</v>
      </c>
      <c r="E50" s="57">
        <v>2</v>
      </c>
      <c r="F50" s="62">
        <v>5</v>
      </c>
      <c r="G50" s="1190"/>
      <c r="H50" s="1198"/>
    </row>
    <row r="51" spans="2:8" ht="21.95" customHeight="1">
      <c r="B51" s="1235"/>
      <c r="C51" s="1204" t="s">
        <v>1450</v>
      </c>
      <c r="D51" s="57" t="s">
        <v>1429</v>
      </c>
      <c r="E51" s="57">
        <v>0</v>
      </c>
      <c r="F51" s="62">
        <v>0</v>
      </c>
      <c r="G51" s="1190"/>
      <c r="H51" s="1198"/>
    </row>
    <row r="52" spans="2:8" ht="21.95" customHeight="1">
      <c r="B52" s="1235"/>
      <c r="C52" s="1205"/>
      <c r="D52" s="57" t="s">
        <v>1430</v>
      </c>
      <c r="E52" s="57">
        <v>0</v>
      </c>
      <c r="F52" s="62">
        <v>2</v>
      </c>
      <c r="G52" s="1190"/>
      <c r="H52" s="1198"/>
    </row>
    <row r="53" spans="2:8" ht="21.95" customHeight="1">
      <c r="B53" s="1235"/>
      <c r="C53" s="1206"/>
      <c r="D53" s="57" t="s">
        <v>1437</v>
      </c>
      <c r="E53" s="57">
        <v>4</v>
      </c>
      <c r="F53" s="62">
        <v>10</v>
      </c>
      <c r="G53" s="1190"/>
      <c r="H53" s="1198"/>
    </row>
    <row r="54" spans="2:8" ht="21.95" customHeight="1">
      <c r="B54" s="1235"/>
      <c r="C54" s="1204" t="s">
        <v>1451</v>
      </c>
      <c r="D54" s="57" t="s">
        <v>1429</v>
      </c>
      <c r="E54" s="57">
        <v>0</v>
      </c>
      <c r="F54" s="62">
        <v>0</v>
      </c>
      <c r="G54" s="1190"/>
      <c r="H54" s="1198"/>
    </row>
    <row r="55" spans="2:8" ht="21.95" customHeight="1">
      <c r="B55" s="1235"/>
      <c r="C55" s="1205"/>
      <c r="D55" s="57" t="s">
        <v>1430</v>
      </c>
      <c r="E55" s="57">
        <v>0</v>
      </c>
      <c r="F55" s="62">
        <v>1</v>
      </c>
      <c r="G55" s="1190"/>
      <c r="H55" s="1198"/>
    </row>
    <row r="56" spans="2:8" ht="21.95" customHeight="1">
      <c r="B56" s="1235"/>
      <c r="C56" s="1206"/>
      <c r="D56" s="57" t="s">
        <v>1437</v>
      </c>
      <c r="E56" s="57">
        <v>2</v>
      </c>
      <c r="F56" s="62">
        <v>5</v>
      </c>
      <c r="G56" s="1190"/>
      <c r="H56" s="1198"/>
    </row>
    <row r="57" spans="2:8" ht="30" customHeight="1">
      <c r="B57" s="1236" t="s">
        <v>210</v>
      </c>
      <c r="C57" s="50" t="s">
        <v>1422</v>
      </c>
      <c r="D57" s="51" t="s">
        <v>1423</v>
      </c>
      <c r="E57" s="51" t="s">
        <v>1424</v>
      </c>
      <c r="F57" s="51" t="s">
        <v>1425</v>
      </c>
      <c r="G57" s="1190"/>
      <c r="H57" s="1199" t="s">
        <v>1452</v>
      </c>
    </row>
    <row r="58" spans="2:8" ht="22.5" customHeight="1">
      <c r="B58" s="1236"/>
      <c r="C58" s="1207" t="s">
        <v>1453</v>
      </c>
      <c r="D58" s="57" t="s">
        <v>1429</v>
      </c>
      <c r="E58" s="57">
        <v>0</v>
      </c>
      <c r="F58" s="57">
        <v>0</v>
      </c>
      <c r="G58" s="1190"/>
      <c r="H58" s="1200"/>
    </row>
    <row r="59" spans="2:8" ht="22.5" customHeight="1">
      <c r="B59" s="1236"/>
      <c r="C59" s="1208"/>
      <c r="D59" s="57" t="s">
        <v>1430</v>
      </c>
      <c r="E59" s="57">
        <v>0</v>
      </c>
      <c r="F59" s="57">
        <v>1</v>
      </c>
      <c r="G59" s="1190"/>
      <c r="H59" s="1200"/>
    </row>
    <row r="60" spans="2:8" ht="22.5" customHeight="1">
      <c r="B60" s="1236"/>
      <c r="C60" s="1208"/>
      <c r="D60" s="57" t="s">
        <v>1454</v>
      </c>
      <c r="E60" s="57">
        <v>10</v>
      </c>
      <c r="F60" s="57">
        <v>20</v>
      </c>
      <c r="G60" s="1190"/>
      <c r="H60" s="1200"/>
    </row>
    <row r="61" spans="2:8" ht="22.5" customHeight="1">
      <c r="B61" s="1236"/>
      <c r="C61" s="1208"/>
      <c r="D61" s="55" t="s">
        <v>1455</v>
      </c>
      <c r="E61" s="55">
        <v>20</v>
      </c>
      <c r="F61" s="55">
        <v>50</v>
      </c>
      <c r="G61" s="1190"/>
      <c r="H61" s="1200"/>
    </row>
    <row r="62" spans="2:8" ht="27.95" customHeight="1">
      <c r="B62" s="1237"/>
      <c r="C62" s="63" t="s">
        <v>1456</v>
      </c>
      <c r="D62" s="1221" t="s">
        <v>1457</v>
      </c>
      <c r="E62" s="1222"/>
      <c r="F62" s="1223"/>
      <c r="G62" s="64"/>
      <c r="H62" s="65"/>
    </row>
    <row r="63" spans="2:8" ht="70.5" customHeight="1">
      <c r="B63" s="1224" t="s">
        <v>1458</v>
      </c>
      <c r="C63" s="1225"/>
      <c r="D63" s="1225"/>
      <c r="E63" s="1225"/>
      <c r="F63" s="1225"/>
      <c r="G63" s="1225"/>
      <c r="H63" s="1226"/>
    </row>
    <row r="64" spans="2:8" ht="21">
      <c r="B64" s="66"/>
    </row>
    <row r="65" spans="2:2" ht="21">
      <c r="B65" s="66"/>
    </row>
    <row r="66" spans="2:2" ht="21">
      <c r="B66" s="66"/>
    </row>
    <row r="67" spans="2:2" ht="21">
      <c r="B67" s="66"/>
    </row>
    <row r="68" spans="2:2" ht="21">
      <c r="B68" s="66"/>
    </row>
    <row r="69" spans="2:2" ht="21">
      <c r="B69" s="66"/>
    </row>
    <row r="70" spans="2:2" ht="21">
      <c r="B70" s="66"/>
    </row>
    <row r="71" spans="2:2" ht="21">
      <c r="B71" s="66"/>
    </row>
    <row r="72" spans="2:2" ht="21">
      <c r="B72" s="66"/>
    </row>
    <row r="73" spans="2:2" ht="21">
      <c r="B73" s="66"/>
    </row>
    <row r="74" spans="2:2" ht="21">
      <c r="B74" s="66"/>
    </row>
    <row r="75" spans="2:2" ht="21">
      <c r="B75" s="66"/>
    </row>
    <row r="76" spans="2:2" ht="21">
      <c r="B76" s="66"/>
    </row>
  </sheetData>
  <mergeCells count="32">
    <mergeCell ref="B1:C1"/>
    <mergeCell ref="B2:H2"/>
    <mergeCell ref="C3:F3"/>
    <mergeCell ref="D62:F62"/>
    <mergeCell ref="B63:H63"/>
    <mergeCell ref="B4:B16"/>
    <mergeCell ref="B17:B32"/>
    <mergeCell ref="B33:B43"/>
    <mergeCell ref="B47:B56"/>
    <mergeCell ref="B57:B62"/>
    <mergeCell ref="C5:C8"/>
    <mergeCell ref="C9:C12"/>
    <mergeCell ref="C13:C16"/>
    <mergeCell ref="C18:C20"/>
    <mergeCell ref="C21:C23"/>
    <mergeCell ref="C24:C26"/>
    <mergeCell ref="C27:C29"/>
    <mergeCell ref="C30:C32"/>
    <mergeCell ref="C34:C37"/>
    <mergeCell ref="C38:C40"/>
    <mergeCell ref="C41:C43"/>
    <mergeCell ref="C44:C46"/>
    <mergeCell ref="C48:C50"/>
    <mergeCell ref="C51:C53"/>
    <mergeCell ref="C54:C56"/>
    <mergeCell ref="C58:C61"/>
    <mergeCell ref="G4:G61"/>
    <mergeCell ref="H4:H16"/>
    <mergeCell ref="H17:H32"/>
    <mergeCell ref="H33:H46"/>
    <mergeCell ref="H47:H56"/>
    <mergeCell ref="H57:H61"/>
  </mergeCells>
  <phoneticPr fontId="106" type="noConversion"/>
  <hyperlinks>
    <hyperlink ref="B1" location="'目录'!A1" display="点此返回目录"/>
  </hyperlinks>
  <pageMargins left="0.75" right="0.75" top="1" bottom="1" header="0.5" footer="0.5"/>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dimension ref="A1:Z19"/>
  <sheetViews>
    <sheetView workbookViewId="0">
      <selection sqref="A1:C1"/>
    </sheetView>
  </sheetViews>
  <sheetFormatPr defaultColWidth="9" defaultRowHeight="16.5"/>
  <cols>
    <col min="1" max="1" width="2.375" style="28" customWidth="1"/>
    <col min="2" max="3" width="13.375" style="28" customWidth="1"/>
    <col min="4" max="4" width="11.5" style="28" customWidth="1"/>
    <col min="5" max="5" width="18.875" style="28" customWidth="1"/>
    <col min="6" max="6" width="13.25" style="28" customWidth="1"/>
    <col min="7" max="7" width="31.125" style="28" customWidth="1"/>
    <col min="8" max="8" width="11.75" style="28" customWidth="1"/>
    <col min="9" max="9" width="24.25" style="28" customWidth="1"/>
    <col min="10" max="10" width="13.625" style="28" customWidth="1"/>
    <col min="11" max="11" width="22.875" style="28" customWidth="1"/>
    <col min="12" max="12" width="11.125" style="28" customWidth="1"/>
    <col min="13" max="13" width="24.125" style="28" customWidth="1"/>
    <col min="14" max="26" width="9" style="28"/>
  </cols>
  <sheetData>
    <row r="1" spans="1:13" ht="26.25" customHeight="1">
      <c r="A1" s="623" t="s">
        <v>33</v>
      </c>
      <c r="B1" s="623"/>
      <c r="C1" s="623"/>
    </row>
    <row r="2" spans="1:13" ht="21.95" customHeight="1">
      <c r="B2" s="1260" t="s">
        <v>1459</v>
      </c>
      <c r="C2" s="1261"/>
      <c r="D2" s="1261"/>
      <c r="E2" s="1261"/>
      <c r="F2" s="1261"/>
      <c r="G2" s="1261"/>
      <c r="H2" s="1261"/>
      <c r="I2" s="1261"/>
      <c r="J2" s="1261"/>
      <c r="K2" s="1261"/>
      <c r="L2" s="1261"/>
      <c r="M2" s="1261"/>
    </row>
    <row r="3" spans="1:13" ht="21.95" customHeight="1">
      <c r="B3" s="1262"/>
      <c r="C3" s="1263"/>
      <c r="D3" s="1263"/>
      <c r="E3" s="1263"/>
      <c r="F3" s="1263"/>
      <c r="G3" s="1263"/>
      <c r="H3" s="1263"/>
      <c r="I3" s="1263"/>
      <c r="J3" s="1263"/>
      <c r="K3" s="1263"/>
      <c r="L3" s="1263"/>
      <c r="M3" s="1263"/>
    </row>
    <row r="4" spans="1:13" ht="30" customHeight="1">
      <c r="B4" s="649" t="s">
        <v>35</v>
      </c>
      <c r="C4" s="1255" t="s">
        <v>1460</v>
      </c>
      <c r="D4" s="1255" t="s">
        <v>1461</v>
      </c>
      <c r="E4" s="1255"/>
      <c r="F4" s="1255" t="s">
        <v>1462</v>
      </c>
      <c r="G4" s="1255"/>
      <c r="H4" s="1255" t="s">
        <v>1463</v>
      </c>
      <c r="I4" s="1255"/>
      <c r="J4" s="1258" t="s">
        <v>1464</v>
      </c>
      <c r="K4" s="1259"/>
      <c r="L4" s="1255" t="s">
        <v>1465</v>
      </c>
      <c r="M4" s="1255"/>
    </row>
    <row r="5" spans="1:13" ht="30" customHeight="1">
      <c r="B5" s="649"/>
      <c r="C5" s="1255"/>
      <c r="D5" s="17" t="s">
        <v>1466</v>
      </c>
      <c r="E5" s="17" t="s">
        <v>673</v>
      </c>
      <c r="F5" s="17" t="s">
        <v>1466</v>
      </c>
      <c r="G5" s="17" t="s">
        <v>673</v>
      </c>
      <c r="H5" s="17" t="s">
        <v>1466</v>
      </c>
      <c r="I5" s="17" t="s">
        <v>1467</v>
      </c>
      <c r="J5" s="17" t="s">
        <v>1466</v>
      </c>
      <c r="K5" s="17" t="s">
        <v>1467</v>
      </c>
      <c r="L5" s="17" t="s">
        <v>1466</v>
      </c>
      <c r="M5" s="17" t="s">
        <v>1467</v>
      </c>
    </row>
    <row r="6" spans="1:13" ht="45" customHeight="1">
      <c r="B6" s="1249" t="s">
        <v>1468</v>
      </c>
      <c r="C6" s="29" t="s">
        <v>1469</v>
      </c>
      <c r="D6" s="1247" t="s">
        <v>1470</v>
      </c>
      <c r="E6" s="1246" t="s">
        <v>1471</v>
      </c>
      <c r="F6" s="1247" t="s">
        <v>1472</v>
      </c>
      <c r="G6" s="1247"/>
      <c r="H6" s="1247" t="s">
        <v>1472</v>
      </c>
      <c r="I6" s="1247"/>
      <c r="J6" s="1247" t="s">
        <v>1472</v>
      </c>
      <c r="K6" s="1247"/>
      <c r="L6" s="1247" t="s">
        <v>1472</v>
      </c>
      <c r="M6" s="1247"/>
    </row>
    <row r="7" spans="1:13" ht="51" customHeight="1">
      <c r="B7" s="1250"/>
      <c r="C7" s="29" t="s">
        <v>1473</v>
      </c>
      <c r="D7" s="1247"/>
      <c r="E7" s="1246"/>
      <c r="F7" s="1247"/>
      <c r="G7" s="1247"/>
      <c r="H7" s="1247"/>
      <c r="I7" s="1247"/>
      <c r="J7" s="1247"/>
      <c r="K7" s="1247"/>
      <c r="L7" s="1247"/>
      <c r="M7" s="1247"/>
    </row>
    <row r="8" spans="1:13" ht="69">
      <c r="B8" s="1251" t="s">
        <v>102</v>
      </c>
      <c r="C8" s="32" t="s">
        <v>1469</v>
      </c>
      <c r="D8" s="1247" t="s">
        <v>1470</v>
      </c>
      <c r="E8" s="1246" t="s">
        <v>1474</v>
      </c>
      <c r="F8" s="30" t="s">
        <v>1470</v>
      </c>
      <c r="G8" s="33" t="s">
        <v>1475</v>
      </c>
      <c r="H8" s="30" t="s">
        <v>1470</v>
      </c>
      <c r="I8" s="43" t="s">
        <v>1476</v>
      </c>
      <c r="J8" s="30" t="s">
        <v>1470</v>
      </c>
      <c r="K8" s="43" t="s">
        <v>1476</v>
      </c>
      <c r="L8" s="1247" t="s">
        <v>1470</v>
      </c>
      <c r="M8" s="1256" t="s">
        <v>1477</v>
      </c>
    </row>
    <row r="9" spans="1:13" ht="42.95" customHeight="1">
      <c r="B9" s="1251"/>
      <c r="C9" s="32" t="s">
        <v>1473</v>
      </c>
      <c r="D9" s="1247"/>
      <c r="E9" s="1246"/>
      <c r="F9" s="1247" t="s">
        <v>1472</v>
      </c>
      <c r="G9" s="1247"/>
      <c r="H9" s="1247" t="s">
        <v>1472</v>
      </c>
      <c r="I9" s="1247"/>
      <c r="J9" s="1247" t="s">
        <v>1472</v>
      </c>
      <c r="K9" s="1247"/>
      <c r="L9" s="1247"/>
      <c r="M9" s="1256"/>
    </row>
    <row r="10" spans="1:13" ht="69">
      <c r="B10" s="1252" t="s">
        <v>202</v>
      </c>
      <c r="C10" s="34" t="s">
        <v>1469</v>
      </c>
      <c r="D10" s="1247" t="s">
        <v>1470</v>
      </c>
      <c r="E10" s="1246" t="s">
        <v>1471</v>
      </c>
      <c r="F10" s="30" t="s">
        <v>1470</v>
      </c>
      <c r="G10" s="33" t="s">
        <v>1475</v>
      </c>
      <c r="H10" s="30" t="s">
        <v>1470</v>
      </c>
      <c r="I10" s="43" t="s">
        <v>1478</v>
      </c>
      <c r="J10" s="44" t="s">
        <v>1470</v>
      </c>
      <c r="K10" s="45" t="s">
        <v>1476</v>
      </c>
      <c r="L10" s="1247" t="s">
        <v>1470</v>
      </c>
      <c r="M10" s="1256" t="s">
        <v>1479</v>
      </c>
    </row>
    <row r="11" spans="1:13" ht="47.1" customHeight="1">
      <c r="B11" s="1252"/>
      <c r="C11" s="34" t="s">
        <v>1473</v>
      </c>
      <c r="D11" s="1247"/>
      <c r="E11" s="1246"/>
      <c r="F11" s="1247" t="s">
        <v>1472</v>
      </c>
      <c r="G11" s="1247"/>
      <c r="H11" s="1247" t="s">
        <v>1472</v>
      </c>
      <c r="I11" s="1247"/>
      <c r="J11" s="1257" t="s">
        <v>1472</v>
      </c>
      <c r="K11" s="1257"/>
      <c r="L11" s="1247"/>
      <c r="M11" s="1256"/>
    </row>
    <row r="12" spans="1:13" ht="48" customHeight="1">
      <c r="B12" s="1253" t="s">
        <v>148</v>
      </c>
      <c r="C12" s="35" t="s">
        <v>1469</v>
      </c>
      <c r="D12" s="1247" t="s">
        <v>1470</v>
      </c>
      <c r="E12" s="31" t="s">
        <v>1480</v>
      </c>
      <c r="F12" s="1247" t="s">
        <v>1470</v>
      </c>
      <c r="G12" s="31" t="s">
        <v>1481</v>
      </c>
      <c r="H12" s="1247" t="s">
        <v>1470</v>
      </c>
      <c r="I12" s="43" t="s">
        <v>1482</v>
      </c>
      <c r="J12" s="44" t="s">
        <v>1470</v>
      </c>
      <c r="K12" s="43" t="s">
        <v>1482</v>
      </c>
      <c r="L12" s="1247" t="s">
        <v>1472</v>
      </c>
      <c r="M12" s="1247"/>
    </row>
    <row r="13" spans="1:13" ht="42" customHeight="1">
      <c r="B13" s="1253"/>
      <c r="C13" s="35" t="s">
        <v>1473</v>
      </c>
      <c r="D13" s="1247"/>
      <c r="E13" s="31" t="s">
        <v>1471</v>
      </c>
      <c r="F13" s="1247"/>
      <c r="G13" s="31" t="s">
        <v>1471</v>
      </c>
      <c r="H13" s="1247"/>
      <c r="I13" s="45" t="s">
        <v>1483</v>
      </c>
      <c r="J13" s="1247" t="s">
        <v>1472</v>
      </c>
      <c r="K13" s="1247"/>
      <c r="L13" s="1247"/>
      <c r="M13" s="1247"/>
    </row>
    <row r="14" spans="1:13" ht="86.25" customHeight="1">
      <c r="B14" s="1254" t="s">
        <v>210</v>
      </c>
      <c r="C14" s="36" t="s">
        <v>1469</v>
      </c>
      <c r="D14" s="1247" t="s">
        <v>1470</v>
      </c>
      <c r="E14" s="31" t="s">
        <v>1471</v>
      </c>
      <c r="F14" s="30" t="s">
        <v>1484</v>
      </c>
      <c r="G14" s="31" t="s">
        <v>1485</v>
      </c>
      <c r="H14" s="1247" t="s">
        <v>1472</v>
      </c>
      <c r="I14" s="1247"/>
      <c r="J14" s="1247" t="s">
        <v>1472</v>
      </c>
      <c r="K14" s="1247"/>
      <c r="L14" s="1247" t="s">
        <v>1472</v>
      </c>
      <c r="M14" s="1247"/>
    </row>
    <row r="15" spans="1:13" ht="45.95" customHeight="1">
      <c r="B15" s="1254"/>
      <c r="C15" s="36" t="s">
        <v>1473</v>
      </c>
      <c r="D15" s="1247"/>
      <c r="E15" s="31" t="s">
        <v>1471</v>
      </c>
      <c r="F15" s="1093" t="s">
        <v>1472</v>
      </c>
      <c r="G15" s="1093"/>
      <c r="H15" s="1247"/>
      <c r="I15" s="1247"/>
      <c r="J15" s="1247"/>
      <c r="K15" s="1247"/>
      <c r="L15" s="1247"/>
      <c r="M15" s="1247"/>
    </row>
    <row r="16" spans="1:13" ht="75" customHeight="1">
      <c r="B16" s="38" t="s">
        <v>582</v>
      </c>
      <c r="C16" s="39" t="s">
        <v>1473</v>
      </c>
      <c r="D16" s="40" t="s">
        <v>1470</v>
      </c>
      <c r="E16" s="33" t="s">
        <v>1486</v>
      </c>
      <c r="F16" s="40" t="s">
        <v>1470</v>
      </c>
      <c r="G16" s="33" t="s">
        <v>1487</v>
      </c>
      <c r="H16" s="1008" t="s">
        <v>1472</v>
      </c>
      <c r="I16" s="1248"/>
      <c r="J16" s="1008" t="s">
        <v>1472</v>
      </c>
      <c r="K16" s="1248"/>
      <c r="L16" s="1008" t="s">
        <v>1472</v>
      </c>
      <c r="M16" s="1248"/>
    </row>
    <row r="17" spans="2:13" ht="86.25">
      <c r="B17" s="41" t="s">
        <v>594</v>
      </c>
      <c r="C17" s="42" t="s">
        <v>1473</v>
      </c>
      <c r="D17" s="40" t="s">
        <v>1470</v>
      </c>
      <c r="E17" s="33" t="s">
        <v>1488</v>
      </c>
      <c r="F17" s="40" t="s">
        <v>1470</v>
      </c>
      <c r="G17" s="33" t="s">
        <v>1489</v>
      </c>
      <c r="H17" s="1008" t="s">
        <v>1472</v>
      </c>
      <c r="I17" s="1248"/>
      <c r="J17" s="1008" t="s">
        <v>1472</v>
      </c>
      <c r="K17" s="1248"/>
      <c r="L17" s="1008" t="s">
        <v>1472</v>
      </c>
      <c r="M17" s="1248"/>
    </row>
    <row r="18" spans="2:13" ht="104.25" customHeight="1">
      <c r="B18" s="1080" t="s">
        <v>1490</v>
      </c>
      <c r="C18" s="1081"/>
      <c r="D18" s="1081"/>
      <c r="E18" s="1081"/>
      <c r="F18" s="1081"/>
      <c r="G18" s="1081"/>
      <c r="H18" s="1081"/>
      <c r="I18" s="1081"/>
      <c r="J18" s="1081"/>
      <c r="K18" s="1081"/>
      <c r="L18" s="1081"/>
      <c r="M18" s="1081"/>
    </row>
    <row r="19" spans="2:13" ht="17.25" customHeight="1"/>
  </sheetData>
  <mergeCells count="51">
    <mergeCell ref="A1:C1"/>
    <mergeCell ref="D4:E4"/>
    <mergeCell ref="F4:G4"/>
    <mergeCell ref="H4:I4"/>
    <mergeCell ref="J4:K4"/>
    <mergeCell ref="B2:M3"/>
    <mergeCell ref="L4:M4"/>
    <mergeCell ref="L8:L9"/>
    <mergeCell ref="L10:L11"/>
    <mergeCell ref="M8:M9"/>
    <mergeCell ref="M10:M11"/>
    <mergeCell ref="J6:K7"/>
    <mergeCell ref="L6:M7"/>
    <mergeCell ref="J9:K9"/>
    <mergeCell ref="J11:K11"/>
    <mergeCell ref="J13:K13"/>
    <mergeCell ref="F15:G15"/>
    <mergeCell ref="H16:I16"/>
    <mergeCell ref="J16:K16"/>
    <mergeCell ref="L16:M16"/>
    <mergeCell ref="H14:I15"/>
    <mergeCell ref="J14:K15"/>
    <mergeCell ref="L14:M15"/>
    <mergeCell ref="L12:M13"/>
    <mergeCell ref="H17:I17"/>
    <mergeCell ref="J17:K17"/>
    <mergeCell ref="L17:M17"/>
    <mergeCell ref="B18:M18"/>
    <mergeCell ref="B4:B5"/>
    <mergeCell ref="B6:B7"/>
    <mergeCell ref="B8:B9"/>
    <mergeCell ref="B10:B11"/>
    <mergeCell ref="B12:B13"/>
    <mergeCell ref="B14:B15"/>
    <mergeCell ref="C4:C5"/>
    <mergeCell ref="D6:D7"/>
    <mergeCell ref="D8:D9"/>
    <mergeCell ref="D10:D11"/>
    <mergeCell ref="D12:D13"/>
    <mergeCell ref="D14:D15"/>
    <mergeCell ref="E6:E7"/>
    <mergeCell ref="E8:E9"/>
    <mergeCell ref="E10:E11"/>
    <mergeCell ref="F12:F13"/>
    <mergeCell ref="H12:H13"/>
    <mergeCell ref="F6:G7"/>
    <mergeCell ref="H6:I7"/>
    <mergeCell ref="F9:G9"/>
    <mergeCell ref="H9:I9"/>
    <mergeCell ref="F11:G11"/>
    <mergeCell ref="H11:I11"/>
  </mergeCells>
  <phoneticPr fontId="106" type="noConversion"/>
  <hyperlinks>
    <hyperlink ref="A1" location="'目录'!A1" display="点此返回目录"/>
  </hyperlinks>
  <pageMargins left="0.75" right="0.75" top="1" bottom="1" header="0.5" footer="0.5"/>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dimension ref="A1:I10"/>
  <sheetViews>
    <sheetView workbookViewId="0">
      <selection sqref="A1:C1"/>
    </sheetView>
  </sheetViews>
  <sheetFormatPr defaultColWidth="9" defaultRowHeight="14.25"/>
  <cols>
    <col min="1" max="1" width="3.625" customWidth="1"/>
    <col min="3" max="3" width="15" customWidth="1"/>
    <col min="4" max="4" width="22.125" customWidth="1"/>
    <col min="5" max="5" width="21.375" customWidth="1"/>
    <col min="6" max="6" width="30.875" customWidth="1"/>
    <col min="7" max="7" width="41.5" customWidth="1"/>
    <col min="8" max="8" width="22.25" customWidth="1"/>
    <col min="9" max="9" width="32.75" customWidth="1"/>
  </cols>
  <sheetData>
    <row r="1" spans="1:9" ht="26.25" customHeight="1">
      <c r="A1" s="623" t="s">
        <v>33</v>
      </c>
      <c r="B1" s="623"/>
      <c r="C1" s="623"/>
    </row>
    <row r="2" spans="1:9" ht="51" customHeight="1">
      <c r="B2" s="1277" t="s">
        <v>1491</v>
      </c>
      <c r="C2" s="1278"/>
      <c r="D2" s="1278"/>
      <c r="E2" s="1278"/>
      <c r="F2" s="1278"/>
      <c r="G2" s="1278"/>
      <c r="H2" s="1278"/>
      <c r="I2" s="1279"/>
    </row>
    <row r="3" spans="1:9" ht="38.1" customHeight="1">
      <c r="B3" s="649" t="s">
        <v>35</v>
      </c>
      <c r="C3" s="994"/>
      <c r="D3" s="16" t="s">
        <v>44</v>
      </c>
      <c r="E3" s="17" t="s">
        <v>90</v>
      </c>
      <c r="F3" s="18" t="s">
        <v>202</v>
      </c>
      <c r="G3" s="19" t="s">
        <v>102</v>
      </c>
      <c r="H3" s="20" t="s">
        <v>148</v>
      </c>
      <c r="I3" s="24" t="s">
        <v>210</v>
      </c>
    </row>
    <row r="4" spans="1:9" ht="62.1" customHeight="1">
      <c r="B4" s="649" t="s">
        <v>1492</v>
      </c>
      <c r="C4" s="994"/>
      <c r="D4" s="1272" t="s">
        <v>1493</v>
      </c>
      <c r="E4" s="1273"/>
      <c r="F4" s="1273"/>
      <c r="G4" s="1273"/>
      <c r="H4" s="1274"/>
      <c r="I4" s="25" t="s">
        <v>1494</v>
      </c>
    </row>
    <row r="5" spans="1:9" ht="75" customHeight="1">
      <c r="B5" s="649" t="s">
        <v>1495</v>
      </c>
      <c r="C5" s="994"/>
      <c r="D5" s="1270" t="s">
        <v>1496</v>
      </c>
      <c r="E5" s="1271"/>
      <c r="F5" s="1275" t="s">
        <v>1497</v>
      </c>
      <c r="G5" s="1275" t="s">
        <v>1498</v>
      </c>
      <c r="H5" s="22" t="s">
        <v>1496</v>
      </c>
      <c r="I5" s="25" t="s">
        <v>1499</v>
      </c>
    </row>
    <row r="6" spans="1:9" ht="60" customHeight="1">
      <c r="B6" s="649" t="s">
        <v>1500</v>
      </c>
      <c r="C6" s="994"/>
      <c r="D6" s="1270" t="s">
        <v>1501</v>
      </c>
      <c r="E6" s="1271"/>
      <c r="F6" s="1276"/>
      <c r="G6" s="1276"/>
      <c r="H6" s="22" t="s">
        <v>1502</v>
      </c>
      <c r="I6" s="25" t="s">
        <v>1503</v>
      </c>
    </row>
    <row r="7" spans="1:9" ht="75" customHeight="1">
      <c r="B7" s="649" t="s">
        <v>1504</v>
      </c>
      <c r="C7" s="994"/>
      <c r="D7" s="1272" t="s">
        <v>1505</v>
      </c>
      <c r="E7" s="1273"/>
      <c r="F7" s="1274"/>
      <c r="G7" s="21" t="s">
        <v>1506</v>
      </c>
      <c r="H7" s="22" t="s">
        <v>1506</v>
      </c>
      <c r="I7" s="25" t="s">
        <v>1507</v>
      </c>
    </row>
    <row r="8" spans="1:9" ht="37.5" customHeight="1">
      <c r="B8" s="649" t="s">
        <v>1508</v>
      </c>
      <c r="C8" s="994"/>
      <c r="D8" s="1272" t="s">
        <v>1509</v>
      </c>
      <c r="E8" s="1273"/>
      <c r="F8" s="1273"/>
      <c r="G8" s="1273"/>
      <c r="H8" s="1274"/>
      <c r="I8" s="25" t="s">
        <v>1510</v>
      </c>
    </row>
    <row r="9" spans="1:9" ht="45.95" customHeight="1">
      <c r="B9" s="649" t="s">
        <v>1511</v>
      </c>
      <c r="C9" s="17" t="s">
        <v>1512</v>
      </c>
      <c r="D9" s="1272" t="s">
        <v>1513</v>
      </c>
      <c r="E9" s="1274"/>
      <c r="F9" s="1272" t="s">
        <v>1514</v>
      </c>
      <c r="G9" s="1273"/>
      <c r="H9" s="1274"/>
      <c r="I9" s="26" t="s">
        <v>1515</v>
      </c>
    </row>
    <row r="10" spans="1:9" ht="45.95" customHeight="1">
      <c r="B10" s="1269"/>
      <c r="C10" s="23" t="s">
        <v>1516</v>
      </c>
      <c r="D10" s="1264" t="s">
        <v>1515</v>
      </c>
      <c r="E10" s="1265"/>
      <c r="F10" s="1266" t="s">
        <v>1517</v>
      </c>
      <c r="G10" s="1267"/>
      <c r="H10" s="1268"/>
      <c r="I10" s="27" t="s">
        <v>1518</v>
      </c>
    </row>
  </sheetData>
  <mergeCells count="20">
    <mergeCell ref="A1:C1"/>
    <mergeCell ref="B2:I2"/>
    <mergeCell ref="B3:C3"/>
    <mergeCell ref="B4:C4"/>
    <mergeCell ref="D4:H4"/>
    <mergeCell ref="D10:E10"/>
    <mergeCell ref="F10:H10"/>
    <mergeCell ref="B9:B10"/>
    <mergeCell ref="B5:C5"/>
    <mergeCell ref="D5:E5"/>
    <mergeCell ref="B6:C6"/>
    <mergeCell ref="D6:E6"/>
    <mergeCell ref="B7:C7"/>
    <mergeCell ref="D7:F7"/>
    <mergeCell ref="F5:F6"/>
    <mergeCell ref="G5:G6"/>
    <mergeCell ref="B8:C8"/>
    <mergeCell ref="D8:H8"/>
    <mergeCell ref="D9:E9"/>
    <mergeCell ref="F9:H9"/>
  </mergeCells>
  <phoneticPr fontId="106" type="noConversion"/>
  <hyperlinks>
    <hyperlink ref="A1" location="'目录'!A1" display="点此返回目录"/>
  </hyperlinks>
  <pageMargins left="0.75" right="0.75" top="1" bottom="1" header="0.5" footer="0.5"/>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dimension ref="A1:Z113"/>
  <sheetViews>
    <sheetView topLeftCell="A70" workbookViewId="0">
      <selection activeCell="H90" sqref="H90"/>
    </sheetView>
  </sheetViews>
  <sheetFormatPr defaultColWidth="9" defaultRowHeight="16.5"/>
  <cols>
    <col min="1" max="1" width="3.375" style="2" customWidth="1"/>
    <col min="2" max="2" width="11.5" style="2" customWidth="1"/>
    <col min="3" max="3" width="25.75" style="2" customWidth="1"/>
    <col min="4" max="4" width="70.375" style="2" customWidth="1"/>
    <col min="5" max="5" width="31" style="2" customWidth="1"/>
    <col min="6" max="26" width="9" style="2"/>
    <col min="27" max="16384" width="9" style="3"/>
  </cols>
  <sheetData>
    <row r="1" spans="1:5" ht="25.5" customHeight="1">
      <c r="A1" s="1280" t="s">
        <v>33</v>
      </c>
      <c r="B1" s="1280"/>
      <c r="C1" s="1280"/>
    </row>
    <row r="2" spans="1:5" ht="51" customHeight="1">
      <c r="B2" s="1281" t="s">
        <v>31</v>
      </c>
      <c r="C2" s="1281"/>
      <c r="D2" s="1281"/>
      <c r="E2" s="1281"/>
    </row>
    <row r="3" spans="1:5" ht="39" customHeight="1">
      <c r="B3" s="4" t="s">
        <v>1519</v>
      </c>
      <c r="C3" s="4" t="s">
        <v>1520</v>
      </c>
      <c r="D3" s="4" t="s">
        <v>1521</v>
      </c>
      <c r="E3" s="4" t="s">
        <v>673</v>
      </c>
    </row>
    <row r="4" spans="1:5" ht="27" customHeight="1">
      <c r="B4" s="5">
        <v>20240117</v>
      </c>
      <c r="C4" s="6" t="s">
        <v>1522</v>
      </c>
      <c r="D4" s="6" t="s">
        <v>1523</v>
      </c>
      <c r="E4" s="7"/>
    </row>
    <row r="5" spans="1:5" ht="27" customHeight="1">
      <c r="B5" s="5">
        <v>20240124</v>
      </c>
      <c r="C5" s="7" t="s">
        <v>30</v>
      </c>
      <c r="D5" s="6" t="s">
        <v>1524</v>
      </c>
      <c r="E5" s="7" t="s">
        <v>1525</v>
      </c>
    </row>
    <row r="6" spans="1:5" ht="57" customHeight="1">
      <c r="B6" s="7">
        <v>20240219</v>
      </c>
      <c r="C6" s="7" t="s">
        <v>14</v>
      </c>
      <c r="D6" s="7" t="s">
        <v>1526</v>
      </c>
      <c r="E6" s="7"/>
    </row>
    <row r="7" spans="1:5" ht="27" customHeight="1">
      <c r="B7" s="7">
        <v>20240223</v>
      </c>
      <c r="C7" s="7" t="s">
        <v>1527</v>
      </c>
      <c r="D7" s="7" t="s">
        <v>1528</v>
      </c>
      <c r="E7" s="7"/>
    </row>
    <row r="8" spans="1:5" ht="27" customHeight="1">
      <c r="B8" s="7">
        <v>20240223</v>
      </c>
      <c r="C8" s="7" t="s">
        <v>20</v>
      </c>
      <c r="D8" s="7" t="s">
        <v>1529</v>
      </c>
      <c r="E8" s="7"/>
    </row>
    <row r="9" spans="1:5" ht="27" customHeight="1">
      <c r="B9" s="7">
        <v>20240319</v>
      </c>
      <c r="C9" s="7" t="s">
        <v>14</v>
      </c>
      <c r="D9" s="7" t="s">
        <v>1530</v>
      </c>
      <c r="E9" s="7" t="s">
        <v>1531</v>
      </c>
    </row>
    <row r="10" spans="1:5" ht="27" customHeight="1">
      <c r="B10" s="7">
        <v>20240319</v>
      </c>
      <c r="C10" s="7" t="s">
        <v>20</v>
      </c>
      <c r="D10" s="7" t="s">
        <v>1532</v>
      </c>
      <c r="E10" s="7" t="s">
        <v>1533</v>
      </c>
    </row>
    <row r="11" spans="1:5" ht="27" customHeight="1">
      <c r="B11" s="7">
        <v>20240319</v>
      </c>
      <c r="C11" s="7" t="s">
        <v>23</v>
      </c>
      <c r="D11" s="7" t="s">
        <v>1532</v>
      </c>
      <c r="E11" s="7" t="s">
        <v>1533</v>
      </c>
    </row>
    <row r="12" spans="1:5" ht="27" customHeight="1">
      <c r="B12" s="7">
        <v>20240319</v>
      </c>
      <c r="C12" s="7" t="s">
        <v>29</v>
      </c>
      <c r="D12" s="7" t="s">
        <v>1534</v>
      </c>
      <c r="E12" s="7" t="s">
        <v>1535</v>
      </c>
    </row>
    <row r="13" spans="1:5" ht="27" customHeight="1">
      <c r="B13" s="7">
        <v>20240319</v>
      </c>
      <c r="C13" s="7" t="s">
        <v>29</v>
      </c>
      <c r="D13" s="7" t="s">
        <v>1536</v>
      </c>
      <c r="E13" s="7" t="s">
        <v>1535</v>
      </c>
    </row>
    <row r="14" spans="1:5" ht="27" customHeight="1">
      <c r="B14" s="7">
        <v>20240319</v>
      </c>
      <c r="C14" s="7" t="s">
        <v>1459</v>
      </c>
      <c r="D14" s="7" t="s">
        <v>1537</v>
      </c>
      <c r="E14" s="7" t="s">
        <v>1538</v>
      </c>
    </row>
    <row r="15" spans="1:5" ht="27" customHeight="1">
      <c r="B15" s="7">
        <v>20240321</v>
      </c>
      <c r="C15" s="7" t="s">
        <v>17</v>
      </c>
      <c r="D15" s="7" t="s">
        <v>1539</v>
      </c>
      <c r="E15" s="7"/>
    </row>
    <row r="16" spans="1:5" ht="27" customHeight="1">
      <c r="B16" s="7">
        <v>20240321</v>
      </c>
      <c r="C16" s="7" t="s">
        <v>27</v>
      </c>
      <c r="D16" s="7" t="s">
        <v>1540</v>
      </c>
      <c r="E16" s="7"/>
    </row>
    <row r="17" spans="2:5" ht="27" customHeight="1">
      <c r="B17" s="7">
        <v>20240410</v>
      </c>
      <c r="C17" s="7" t="s">
        <v>20</v>
      </c>
      <c r="D17" s="7" t="s">
        <v>1541</v>
      </c>
      <c r="E17" s="7" t="s">
        <v>1542</v>
      </c>
    </row>
    <row r="18" spans="2:5" ht="27" customHeight="1">
      <c r="B18" s="7">
        <v>20240416</v>
      </c>
      <c r="C18" s="7" t="s">
        <v>14</v>
      </c>
      <c r="D18" s="7" t="s">
        <v>1543</v>
      </c>
      <c r="E18" s="7" t="s">
        <v>1544</v>
      </c>
    </row>
    <row r="19" spans="2:5" ht="45.95" customHeight="1">
      <c r="B19" s="7">
        <v>20240417</v>
      </c>
      <c r="C19" s="7" t="s">
        <v>14</v>
      </c>
      <c r="D19" s="7" t="s">
        <v>1545</v>
      </c>
      <c r="E19" s="7" t="s">
        <v>1546</v>
      </c>
    </row>
    <row r="20" spans="2:5" ht="27" customHeight="1">
      <c r="B20" s="7">
        <v>20240423</v>
      </c>
      <c r="C20" s="7" t="s">
        <v>20</v>
      </c>
      <c r="D20" s="7" t="s">
        <v>1547</v>
      </c>
      <c r="E20" s="7" t="s">
        <v>1548</v>
      </c>
    </row>
    <row r="21" spans="2:5" ht="27" customHeight="1">
      <c r="B21" s="7">
        <v>20240425</v>
      </c>
      <c r="C21" s="7" t="s">
        <v>20</v>
      </c>
      <c r="D21" s="7" t="s">
        <v>1549</v>
      </c>
      <c r="E21" s="7" t="s">
        <v>1550</v>
      </c>
    </row>
    <row r="22" spans="2:5" ht="27" customHeight="1">
      <c r="B22" s="8">
        <v>20240513</v>
      </c>
      <c r="C22" s="8" t="s">
        <v>20</v>
      </c>
      <c r="D22" s="8" t="s">
        <v>1551</v>
      </c>
      <c r="E22" s="8" t="s">
        <v>1552</v>
      </c>
    </row>
    <row r="23" spans="2:5" ht="27" customHeight="1">
      <c r="B23" s="8">
        <v>20240513</v>
      </c>
      <c r="C23" s="8" t="s">
        <v>20</v>
      </c>
      <c r="D23" s="8" t="s">
        <v>1553</v>
      </c>
      <c r="E23" s="8" t="s">
        <v>1552</v>
      </c>
    </row>
    <row r="24" spans="2:5" ht="27" customHeight="1">
      <c r="B24" s="8">
        <v>20240514</v>
      </c>
      <c r="C24" s="8" t="s">
        <v>14</v>
      </c>
      <c r="D24" s="8" t="s">
        <v>1554</v>
      </c>
      <c r="E24" s="8" t="s">
        <v>1555</v>
      </c>
    </row>
    <row r="25" spans="2:5" ht="27" customHeight="1">
      <c r="B25" s="8">
        <v>20240514</v>
      </c>
      <c r="C25" s="8" t="s">
        <v>20</v>
      </c>
      <c r="D25" s="8" t="s">
        <v>1556</v>
      </c>
      <c r="E25" s="8" t="s">
        <v>1557</v>
      </c>
    </row>
    <row r="26" spans="2:5" ht="27" customHeight="1">
      <c r="B26" s="8">
        <v>20240520</v>
      </c>
      <c r="C26" s="8" t="s">
        <v>1558</v>
      </c>
      <c r="D26" s="8" t="s">
        <v>1559</v>
      </c>
      <c r="E26" s="8" t="s">
        <v>1560</v>
      </c>
    </row>
    <row r="27" spans="2:5" ht="27" customHeight="1">
      <c r="B27" s="8">
        <v>20240520</v>
      </c>
      <c r="C27" s="8" t="s">
        <v>1558</v>
      </c>
      <c r="D27" s="8" t="s">
        <v>1561</v>
      </c>
      <c r="E27" s="8" t="s">
        <v>1560</v>
      </c>
    </row>
    <row r="28" spans="2:5" ht="27" customHeight="1">
      <c r="B28" s="8">
        <v>20240521</v>
      </c>
      <c r="C28" s="8" t="s">
        <v>14</v>
      </c>
      <c r="D28" s="8" t="s">
        <v>1562</v>
      </c>
      <c r="E28" s="8" t="s">
        <v>1563</v>
      </c>
    </row>
    <row r="29" spans="2:5" ht="51" customHeight="1">
      <c r="B29" s="8">
        <v>20240524</v>
      </c>
      <c r="C29" s="8" t="s">
        <v>1564</v>
      </c>
      <c r="D29" s="8" t="s">
        <v>1565</v>
      </c>
      <c r="E29" s="8" t="s">
        <v>1566</v>
      </c>
    </row>
    <row r="30" spans="2:5" ht="27" customHeight="1">
      <c r="B30" s="8">
        <v>20240601</v>
      </c>
      <c r="C30" s="8" t="s">
        <v>14</v>
      </c>
      <c r="D30" s="8" t="s">
        <v>1567</v>
      </c>
      <c r="E30" s="8" t="s">
        <v>1568</v>
      </c>
    </row>
    <row r="31" spans="2:5" ht="27" customHeight="1">
      <c r="B31" s="8">
        <v>20240606</v>
      </c>
      <c r="C31" s="8" t="s">
        <v>14</v>
      </c>
      <c r="D31" s="8" t="s">
        <v>1569</v>
      </c>
      <c r="E31" s="8" t="s">
        <v>1570</v>
      </c>
    </row>
    <row r="32" spans="2:5" ht="27" customHeight="1">
      <c r="B32" s="8">
        <v>20240606</v>
      </c>
      <c r="C32" s="8" t="s">
        <v>26</v>
      </c>
      <c r="D32" s="8" t="s">
        <v>1571</v>
      </c>
      <c r="E32" s="8"/>
    </row>
    <row r="33" spans="2:5" ht="27" customHeight="1">
      <c r="B33" s="8">
        <v>20240606</v>
      </c>
      <c r="C33" s="8" t="s">
        <v>30</v>
      </c>
      <c r="D33" s="8" t="s">
        <v>1572</v>
      </c>
      <c r="E33" s="8"/>
    </row>
    <row r="34" spans="2:5" ht="27" customHeight="1">
      <c r="B34" s="8">
        <v>20240620</v>
      </c>
      <c r="C34" s="8" t="s">
        <v>26</v>
      </c>
      <c r="D34" s="8" t="s">
        <v>1573</v>
      </c>
      <c r="E34" s="8"/>
    </row>
    <row r="35" spans="2:5" ht="27" customHeight="1">
      <c r="B35" s="8">
        <v>20240620</v>
      </c>
      <c r="C35" s="8" t="s">
        <v>11</v>
      </c>
      <c r="D35" s="8" t="s">
        <v>1574</v>
      </c>
      <c r="E35" s="8"/>
    </row>
    <row r="36" spans="2:5" ht="27" customHeight="1">
      <c r="B36" s="8">
        <v>20240620</v>
      </c>
      <c r="C36" s="8" t="s">
        <v>14</v>
      </c>
      <c r="D36" s="8" t="s">
        <v>1575</v>
      </c>
      <c r="E36" s="8" t="s">
        <v>1576</v>
      </c>
    </row>
    <row r="37" spans="2:5" ht="33">
      <c r="B37" s="8">
        <v>20240620</v>
      </c>
      <c r="C37" s="8" t="s">
        <v>1577</v>
      </c>
      <c r="D37" s="8" t="s">
        <v>1578</v>
      </c>
      <c r="E37" s="8" t="s">
        <v>1579</v>
      </c>
    </row>
    <row r="38" spans="2:5" ht="27" customHeight="1">
      <c r="B38" s="8">
        <v>20240704</v>
      </c>
      <c r="C38" s="8" t="s">
        <v>23</v>
      </c>
      <c r="D38" s="8" t="s">
        <v>1580</v>
      </c>
      <c r="E38" s="8" t="s">
        <v>1581</v>
      </c>
    </row>
    <row r="39" spans="2:5" ht="27" customHeight="1">
      <c r="B39" s="8">
        <v>20240705</v>
      </c>
      <c r="C39" s="8" t="s">
        <v>14</v>
      </c>
      <c r="D39" s="8" t="s">
        <v>1582</v>
      </c>
      <c r="E39" s="8" t="s">
        <v>1583</v>
      </c>
    </row>
    <row r="40" spans="2:5" ht="27" customHeight="1">
      <c r="B40" s="8">
        <v>20240719</v>
      </c>
      <c r="C40" s="8" t="s">
        <v>14</v>
      </c>
      <c r="D40" s="8" t="s">
        <v>1584</v>
      </c>
      <c r="E40" s="8" t="s">
        <v>1585</v>
      </c>
    </row>
    <row r="41" spans="2:5" ht="27" customHeight="1">
      <c r="B41" s="8">
        <v>20240719</v>
      </c>
      <c r="C41" s="8" t="s">
        <v>30</v>
      </c>
      <c r="D41" s="8" t="s">
        <v>1586</v>
      </c>
      <c r="E41" s="8" t="s">
        <v>1587</v>
      </c>
    </row>
    <row r="42" spans="2:5" ht="38.1" customHeight="1">
      <c r="B42" s="8">
        <v>20240719</v>
      </c>
      <c r="C42" s="8" t="s">
        <v>23</v>
      </c>
      <c r="D42" s="8" t="s">
        <v>1588</v>
      </c>
      <c r="E42" s="8" t="s">
        <v>1587</v>
      </c>
    </row>
    <row r="43" spans="2:5" ht="27" customHeight="1">
      <c r="B43" s="8">
        <v>20240729</v>
      </c>
      <c r="C43" s="8" t="s">
        <v>14</v>
      </c>
      <c r="D43" s="8" t="s">
        <v>1589</v>
      </c>
      <c r="E43" s="8" t="s">
        <v>1590</v>
      </c>
    </row>
    <row r="44" spans="2:5" ht="27" customHeight="1">
      <c r="B44" s="8">
        <v>20240805</v>
      </c>
      <c r="C44" s="8" t="s">
        <v>14</v>
      </c>
      <c r="D44" s="8" t="s">
        <v>1591</v>
      </c>
      <c r="E44" s="8" t="s">
        <v>1592</v>
      </c>
    </row>
    <row r="45" spans="2:5" ht="27" customHeight="1">
      <c r="B45" s="8">
        <v>20240807</v>
      </c>
      <c r="C45" s="8" t="s">
        <v>26</v>
      </c>
      <c r="D45" s="8" t="s">
        <v>1593</v>
      </c>
      <c r="E45" s="9"/>
    </row>
    <row r="46" spans="2:5" ht="27" customHeight="1">
      <c r="B46" s="8">
        <v>20240819</v>
      </c>
      <c r="C46" s="8" t="s">
        <v>11</v>
      </c>
      <c r="D46" s="8" t="s">
        <v>1594</v>
      </c>
      <c r="E46" s="9"/>
    </row>
    <row r="47" spans="2:5" ht="33">
      <c r="B47" s="8">
        <v>20240822</v>
      </c>
      <c r="C47" s="8" t="s">
        <v>1595</v>
      </c>
      <c r="D47" s="8" t="s">
        <v>1596</v>
      </c>
      <c r="E47" s="10" t="s">
        <v>1597</v>
      </c>
    </row>
    <row r="48" spans="2:5" ht="30.95" customHeight="1">
      <c r="B48" s="8">
        <v>20240826</v>
      </c>
      <c r="C48" s="8" t="s">
        <v>1598</v>
      </c>
      <c r="D48" s="8" t="s">
        <v>1599</v>
      </c>
      <c r="E48" s="10"/>
    </row>
    <row r="49" spans="1:26" ht="33">
      <c r="B49" s="8">
        <v>20240828</v>
      </c>
      <c r="C49" s="8" t="s">
        <v>1598</v>
      </c>
      <c r="D49" s="8" t="s">
        <v>1600</v>
      </c>
      <c r="E49" s="11"/>
    </row>
    <row r="50" spans="1:26" ht="30.75" customHeight="1">
      <c r="B50" s="8">
        <v>20240830</v>
      </c>
      <c r="C50" s="8" t="s">
        <v>14</v>
      </c>
      <c r="D50" s="8" t="s">
        <v>1601</v>
      </c>
      <c r="E50" s="8" t="s">
        <v>1602</v>
      </c>
    </row>
    <row r="51" spans="1:26" ht="27" customHeight="1">
      <c r="B51" s="8">
        <v>20240906</v>
      </c>
      <c r="C51" s="8" t="s">
        <v>30</v>
      </c>
      <c r="D51" s="8" t="s">
        <v>1603</v>
      </c>
      <c r="E51" s="8" t="s">
        <v>1604</v>
      </c>
    </row>
    <row r="52" spans="1:26" ht="33">
      <c r="B52" s="8">
        <v>20240912</v>
      </c>
      <c r="C52" s="8" t="s">
        <v>14</v>
      </c>
      <c r="D52" s="8" t="s">
        <v>1605</v>
      </c>
      <c r="E52" s="8" t="s">
        <v>1606</v>
      </c>
    </row>
    <row r="53" spans="1:26" ht="27" customHeight="1">
      <c r="B53" s="8">
        <v>20241011</v>
      </c>
      <c r="C53" s="8" t="s">
        <v>14</v>
      </c>
      <c r="D53" s="8" t="s">
        <v>1607</v>
      </c>
      <c r="E53" s="8" t="s">
        <v>1608</v>
      </c>
    </row>
    <row r="54" spans="1:26" ht="27" customHeight="1">
      <c r="B54" s="8">
        <v>20241017</v>
      </c>
      <c r="C54" s="8" t="s">
        <v>14</v>
      </c>
      <c r="D54" s="8" t="s">
        <v>1609</v>
      </c>
      <c r="E54" s="8" t="s">
        <v>1610</v>
      </c>
    </row>
    <row r="55" spans="1:26" s="1" customFormat="1" ht="27" customHeight="1">
      <c r="A55" s="12"/>
      <c r="B55" s="8">
        <v>20241023</v>
      </c>
      <c r="C55" s="8" t="s">
        <v>14</v>
      </c>
      <c r="D55" s="8" t="s">
        <v>1609</v>
      </c>
      <c r="E55" s="8" t="s">
        <v>1611</v>
      </c>
      <c r="F55" s="12"/>
      <c r="G55" s="12"/>
      <c r="H55" s="12"/>
      <c r="I55" s="12"/>
      <c r="J55" s="12"/>
      <c r="K55" s="12"/>
      <c r="L55" s="12"/>
      <c r="M55" s="12"/>
      <c r="N55" s="12"/>
      <c r="O55" s="12"/>
      <c r="P55" s="12"/>
      <c r="Q55" s="12"/>
      <c r="R55" s="12"/>
      <c r="S55" s="12"/>
      <c r="T55" s="12"/>
      <c r="U55" s="12"/>
      <c r="V55" s="12"/>
      <c r="W55" s="12"/>
      <c r="X55" s="12"/>
      <c r="Y55" s="12"/>
      <c r="Z55" s="12"/>
    </row>
    <row r="56" spans="1:26" s="1" customFormat="1" ht="27" customHeight="1">
      <c r="A56" s="12"/>
      <c r="B56" s="8">
        <v>20241028</v>
      </c>
      <c r="C56" s="8" t="s">
        <v>14</v>
      </c>
      <c r="D56" s="8" t="s">
        <v>1609</v>
      </c>
      <c r="E56" s="8" t="s">
        <v>1612</v>
      </c>
      <c r="F56" s="12"/>
      <c r="G56" s="12"/>
      <c r="H56" s="12"/>
      <c r="I56" s="12"/>
      <c r="J56" s="12"/>
      <c r="K56" s="12"/>
      <c r="L56" s="12"/>
      <c r="M56" s="12"/>
      <c r="N56" s="12"/>
      <c r="O56" s="12"/>
      <c r="P56" s="12"/>
      <c r="Q56" s="12"/>
      <c r="R56" s="12"/>
      <c r="S56" s="12"/>
      <c r="T56" s="12"/>
      <c r="U56" s="12"/>
      <c r="V56" s="12"/>
      <c r="W56" s="12"/>
      <c r="X56" s="12"/>
      <c r="Y56" s="12"/>
      <c r="Z56" s="12"/>
    </row>
    <row r="57" spans="1:26" ht="27" customHeight="1">
      <c r="B57" s="8">
        <v>20241030</v>
      </c>
      <c r="C57" s="8" t="s">
        <v>26</v>
      </c>
      <c r="D57" s="8" t="s">
        <v>1613</v>
      </c>
      <c r="E57" s="8"/>
    </row>
    <row r="58" spans="1:26" ht="27" customHeight="1">
      <c r="B58" s="8">
        <v>20241106</v>
      </c>
      <c r="C58" s="8" t="s">
        <v>26</v>
      </c>
      <c r="D58" s="8" t="s">
        <v>1614</v>
      </c>
      <c r="E58" s="8" t="s">
        <v>1615</v>
      </c>
    </row>
    <row r="59" spans="1:26" ht="27" customHeight="1">
      <c r="B59" s="8">
        <v>20241106</v>
      </c>
      <c r="C59" s="8" t="s">
        <v>17</v>
      </c>
      <c r="D59" s="8" t="s">
        <v>1616</v>
      </c>
      <c r="E59" s="8" t="s">
        <v>1615</v>
      </c>
    </row>
    <row r="60" spans="1:26" ht="27" customHeight="1">
      <c r="B60" s="8">
        <v>20241114</v>
      </c>
      <c r="C60" s="11"/>
      <c r="D60" s="8" t="s">
        <v>1617</v>
      </c>
      <c r="E60" s="11"/>
    </row>
    <row r="61" spans="1:26" ht="33" customHeight="1">
      <c r="B61" s="8">
        <v>20241121</v>
      </c>
      <c r="C61" s="8" t="s">
        <v>1595</v>
      </c>
      <c r="D61" s="8" t="s">
        <v>1618</v>
      </c>
      <c r="E61" s="8" t="s">
        <v>1619</v>
      </c>
    </row>
    <row r="62" spans="1:26" ht="33" customHeight="1">
      <c r="B62" s="8">
        <v>20241203</v>
      </c>
      <c r="C62" s="8" t="s">
        <v>1459</v>
      </c>
      <c r="D62" s="8" t="s">
        <v>1620</v>
      </c>
      <c r="E62" s="8"/>
    </row>
    <row r="63" spans="1:26" ht="33">
      <c r="B63" s="8">
        <v>20241204</v>
      </c>
      <c r="C63" s="8" t="s">
        <v>1621</v>
      </c>
      <c r="D63" s="8" t="s">
        <v>1622</v>
      </c>
      <c r="E63" s="8" t="s">
        <v>1623</v>
      </c>
    </row>
    <row r="64" spans="1:26" ht="33">
      <c r="B64" s="8">
        <v>20241206</v>
      </c>
      <c r="C64" s="8" t="s">
        <v>1624</v>
      </c>
      <c r="D64" s="8" t="s">
        <v>1625</v>
      </c>
      <c r="E64" s="8" t="s">
        <v>1626</v>
      </c>
    </row>
    <row r="65" spans="2:5" ht="27" customHeight="1">
      <c r="B65" s="8">
        <v>20241219</v>
      </c>
      <c r="C65" s="8" t="s">
        <v>14</v>
      </c>
      <c r="D65" s="8" t="s">
        <v>1627</v>
      </c>
      <c r="E65" s="8" t="s">
        <v>1628</v>
      </c>
    </row>
    <row r="66" spans="2:5" ht="27" customHeight="1">
      <c r="B66" s="8">
        <v>20241219</v>
      </c>
      <c r="C66" s="8" t="s">
        <v>14</v>
      </c>
      <c r="D66" s="8" t="s">
        <v>1629</v>
      </c>
      <c r="E66" s="8" t="s">
        <v>1630</v>
      </c>
    </row>
    <row r="67" spans="2:5" ht="24" customHeight="1">
      <c r="B67" s="8">
        <v>20241223</v>
      </c>
      <c r="C67" s="8"/>
      <c r="D67" s="8" t="s">
        <v>1631</v>
      </c>
      <c r="E67" s="8"/>
    </row>
    <row r="68" spans="2:5" ht="24" customHeight="1">
      <c r="B68" s="8">
        <v>20241223</v>
      </c>
      <c r="C68" s="8" t="s">
        <v>14</v>
      </c>
      <c r="D68" s="8" t="s">
        <v>1632</v>
      </c>
      <c r="E68" s="8" t="s">
        <v>1633</v>
      </c>
    </row>
    <row r="69" spans="2:5" ht="24" customHeight="1">
      <c r="B69" s="8">
        <v>20241226</v>
      </c>
      <c r="C69" s="8" t="s">
        <v>1634</v>
      </c>
      <c r="D69" s="8" t="s">
        <v>1635</v>
      </c>
      <c r="E69" s="8" t="s">
        <v>1636</v>
      </c>
    </row>
    <row r="70" spans="2:5" ht="24" customHeight="1">
      <c r="B70" s="8">
        <v>20250113</v>
      </c>
      <c r="C70" s="8" t="s">
        <v>1637</v>
      </c>
      <c r="D70" s="8" t="s">
        <v>1638</v>
      </c>
      <c r="E70" s="8" t="s">
        <v>1639</v>
      </c>
    </row>
    <row r="71" spans="2:5" ht="24" customHeight="1">
      <c r="B71" s="8">
        <v>20250123</v>
      </c>
      <c r="C71" s="8" t="s">
        <v>14</v>
      </c>
      <c r="D71" s="8" t="s">
        <v>1640</v>
      </c>
      <c r="E71" s="8" t="s">
        <v>1641</v>
      </c>
    </row>
    <row r="72" spans="2:5" ht="33">
      <c r="B72" s="8">
        <v>20250123</v>
      </c>
      <c r="C72" s="8" t="s">
        <v>14</v>
      </c>
      <c r="D72" s="8" t="s">
        <v>1642</v>
      </c>
      <c r="E72" s="8" t="s">
        <v>1641</v>
      </c>
    </row>
    <row r="73" spans="2:5" ht="24" customHeight="1">
      <c r="B73" s="8">
        <v>20250206</v>
      </c>
      <c r="C73" s="8" t="s">
        <v>26</v>
      </c>
      <c r="D73" s="8" t="s">
        <v>1643</v>
      </c>
      <c r="E73" s="8" t="s">
        <v>1644</v>
      </c>
    </row>
    <row r="74" spans="2:5" ht="24" customHeight="1">
      <c r="B74" s="8">
        <v>20250219</v>
      </c>
      <c r="C74" s="8" t="s">
        <v>17</v>
      </c>
      <c r="D74" s="8" t="s">
        <v>1645</v>
      </c>
      <c r="E74" s="8" t="s">
        <v>1646</v>
      </c>
    </row>
    <row r="75" spans="2:5" ht="24" customHeight="1">
      <c r="B75" s="8">
        <v>20250224</v>
      </c>
      <c r="C75" s="8" t="s">
        <v>14</v>
      </c>
      <c r="D75" s="8" t="s">
        <v>1647</v>
      </c>
      <c r="E75" s="8" t="s">
        <v>1648</v>
      </c>
    </row>
    <row r="76" spans="2:5" ht="24" customHeight="1">
      <c r="B76" s="8">
        <v>20250307</v>
      </c>
      <c r="C76" s="8" t="s">
        <v>1649</v>
      </c>
      <c r="D76" s="8" t="s">
        <v>1650</v>
      </c>
      <c r="E76" s="8"/>
    </row>
    <row r="77" spans="2:5" ht="33">
      <c r="B77" s="8">
        <v>20250307</v>
      </c>
      <c r="C77" s="8" t="s">
        <v>1651</v>
      </c>
      <c r="D77" s="8" t="s">
        <v>1652</v>
      </c>
      <c r="E77" s="11"/>
    </row>
    <row r="78" spans="2:5" ht="24" customHeight="1">
      <c r="B78" s="8">
        <v>20250307</v>
      </c>
      <c r="C78" s="8" t="s">
        <v>14</v>
      </c>
      <c r="D78" s="8" t="s">
        <v>1653</v>
      </c>
      <c r="E78" s="8" t="s">
        <v>1654</v>
      </c>
    </row>
    <row r="79" spans="2:5" ht="24" customHeight="1">
      <c r="B79" s="8">
        <v>20250310</v>
      </c>
      <c r="C79" s="8" t="s">
        <v>1655</v>
      </c>
      <c r="D79" s="8" t="s">
        <v>1656</v>
      </c>
      <c r="E79" s="8" t="s">
        <v>1657</v>
      </c>
    </row>
    <row r="80" spans="2:5" ht="24" customHeight="1">
      <c r="B80" s="8">
        <v>20250311</v>
      </c>
      <c r="C80" s="8" t="s">
        <v>14</v>
      </c>
      <c r="D80" s="8" t="s">
        <v>1658</v>
      </c>
      <c r="E80" s="8" t="s">
        <v>1659</v>
      </c>
    </row>
    <row r="81" spans="2:5" ht="24" customHeight="1">
      <c r="B81" s="8">
        <v>20250326</v>
      </c>
      <c r="C81" s="8" t="s">
        <v>1660</v>
      </c>
      <c r="D81" s="8" t="s">
        <v>1661</v>
      </c>
      <c r="E81" s="8" t="s">
        <v>1662</v>
      </c>
    </row>
    <row r="82" spans="2:5" ht="33">
      <c r="B82" s="9">
        <v>20250408</v>
      </c>
      <c r="C82" s="9" t="s">
        <v>14</v>
      </c>
      <c r="D82" s="9" t="s">
        <v>1663</v>
      </c>
      <c r="E82" s="9" t="s">
        <v>1664</v>
      </c>
    </row>
    <row r="83" spans="2:5" ht="33">
      <c r="B83" s="9">
        <v>20250408</v>
      </c>
      <c r="C83" s="9" t="s">
        <v>14</v>
      </c>
      <c r="D83" s="9" t="s">
        <v>1665</v>
      </c>
      <c r="E83" s="9" t="s">
        <v>1666</v>
      </c>
    </row>
    <row r="84" spans="2:5" ht="24" customHeight="1">
      <c r="B84" s="9">
        <v>20250409</v>
      </c>
      <c r="C84" s="9" t="s">
        <v>14</v>
      </c>
      <c r="D84" s="9" t="s">
        <v>1667</v>
      </c>
      <c r="E84" s="9" t="s">
        <v>1668</v>
      </c>
    </row>
    <row r="85" spans="2:5" ht="24" customHeight="1">
      <c r="B85" s="9">
        <v>20250411</v>
      </c>
      <c r="C85" s="9" t="s">
        <v>14</v>
      </c>
      <c r="D85" s="9" t="s">
        <v>1669</v>
      </c>
      <c r="E85" s="9" t="s">
        <v>1670</v>
      </c>
    </row>
    <row r="86" spans="2:5" ht="24" customHeight="1">
      <c r="B86" s="13"/>
      <c r="C86" s="13"/>
      <c r="D86" s="13"/>
      <c r="E86" s="13"/>
    </row>
    <row r="87" spans="2:5" ht="24" customHeight="1">
      <c r="B87" s="13"/>
      <c r="C87" s="13"/>
      <c r="D87" s="13"/>
      <c r="E87" s="13"/>
    </row>
    <row r="88" spans="2:5" ht="24" customHeight="1">
      <c r="B88" s="13"/>
      <c r="C88" s="13"/>
      <c r="D88" s="13"/>
      <c r="E88" s="13"/>
    </row>
    <row r="89" spans="2:5" ht="24" customHeight="1">
      <c r="B89" s="13"/>
      <c r="C89" s="13"/>
      <c r="D89" s="13"/>
      <c r="E89" s="13"/>
    </row>
    <row r="90" spans="2:5" ht="24" customHeight="1">
      <c r="B90" s="13"/>
      <c r="C90" s="13"/>
      <c r="D90" s="13"/>
      <c r="E90" s="13"/>
    </row>
    <row r="91" spans="2:5" ht="24" customHeight="1">
      <c r="B91" s="13"/>
      <c r="C91" s="13"/>
      <c r="D91" s="13"/>
      <c r="E91" s="13"/>
    </row>
    <row r="92" spans="2:5" ht="24" customHeight="1">
      <c r="B92" s="13"/>
      <c r="C92" s="13"/>
      <c r="D92" s="13"/>
      <c r="E92" s="13"/>
    </row>
    <row r="93" spans="2:5" ht="24" customHeight="1">
      <c r="B93" s="13"/>
      <c r="C93" s="13"/>
      <c r="D93" s="13"/>
      <c r="E93" s="13"/>
    </row>
    <row r="94" spans="2:5" ht="24" customHeight="1">
      <c r="B94" s="13"/>
      <c r="C94" s="13"/>
      <c r="D94" s="13"/>
      <c r="E94" s="13"/>
    </row>
    <row r="95" spans="2:5" ht="24" customHeight="1">
      <c r="B95" s="13"/>
      <c r="C95" s="13"/>
      <c r="D95" s="13"/>
      <c r="E95" s="13"/>
    </row>
    <row r="96" spans="2:5" ht="24" customHeight="1">
      <c r="B96" s="13"/>
      <c r="C96" s="13"/>
      <c r="D96" s="13"/>
      <c r="E96" s="13"/>
    </row>
    <row r="97" spans="2:5" ht="24" customHeight="1">
      <c r="B97" s="13"/>
      <c r="C97" s="13"/>
      <c r="D97" s="13"/>
      <c r="E97" s="13"/>
    </row>
    <row r="98" spans="2:5" ht="24" customHeight="1">
      <c r="B98" s="13"/>
      <c r="C98" s="13"/>
      <c r="D98" s="13"/>
      <c r="E98" s="13"/>
    </row>
    <row r="99" spans="2:5" ht="24" customHeight="1">
      <c r="B99" s="13"/>
      <c r="C99" s="13"/>
      <c r="D99" s="13"/>
      <c r="E99" s="13"/>
    </row>
    <row r="100" spans="2:5" ht="24" customHeight="1">
      <c r="B100" s="13"/>
      <c r="C100" s="13"/>
      <c r="D100" s="13"/>
      <c r="E100" s="13"/>
    </row>
    <row r="101" spans="2:5" ht="24" customHeight="1">
      <c r="B101" s="13"/>
      <c r="C101" s="13"/>
      <c r="D101" s="13"/>
      <c r="E101" s="13"/>
    </row>
    <row r="102" spans="2:5" ht="24" customHeight="1">
      <c r="B102" s="13"/>
      <c r="C102" s="13"/>
      <c r="D102" s="13"/>
      <c r="E102" s="13"/>
    </row>
    <row r="103" spans="2:5" ht="24" customHeight="1">
      <c r="B103" s="13"/>
      <c r="C103" s="13"/>
      <c r="D103" s="13"/>
      <c r="E103" s="13"/>
    </row>
    <row r="104" spans="2:5" ht="24" customHeight="1">
      <c r="B104" s="13"/>
      <c r="C104" s="13"/>
      <c r="D104" s="13"/>
      <c r="E104" s="13"/>
    </row>
    <row r="105" spans="2:5" ht="24" customHeight="1">
      <c r="B105" s="13"/>
      <c r="C105" s="13"/>
      <c r="D105" s="13"/>
      <c r="E105" s="13"/>
    </row>
    <row r="106" spans="2:5" ht="24" customHeight="1">
      <c r="B106" s="13"/>
      <c r="C106" s="13"/>
      <c r="D106" s="13"/>
      <c r="E106" s="13"/>
    </row>
    <row r="107" spans="2:5" ht="24" customHeight="1">
      <c r="B107" s="13"/>
      <c r="C107" s="13"/>
      <c r="D107" s="13"/>
      <c r="E107" s="13"/>
    </row>
    <row r="108" spans="2:5" ht="24" customHeight="1">
      <c r="B108" s="13"/>
      <c r="C108" s="13"/>
      <c r="D108" s="13"/>
      <c r="E108" s="13"/>
    </row>
    <row r="109" spans="2:5" ht="24" customHeight="1">
      <c r="B109" s="13"/>
      <c r="C109" s="13"/>
      <c r="D109" s="13"/>
      <c r="E109" s="13"/>
    </row>
    <row r="110" spans="2:5" ht="24" customHeight="1">
      <c r="B110" s="13"/>
      <c r="C110" s="13"/>
      <c r="D110" s="13"/>
      <c r="E110" s="13"/>
    </row>
    <row r="111" spans="2:5" ht="24" customHeight="1">
      <c r="B111" s="13"/>
      <c r="C111" s="13"/>
      <c r="D111" s="13"/>
      <c r="E111" s="13"/>
    </row>
    <row r="112" spans="2:5" ht="24" customHeight="1">
      <c r="B112" s="13"/>
      <c r="C112" s="13"/>
      <c r="D112" s="13"/>
      <c r="E112" s="13"/>
    </row>
    <row r="113" spans="2:5" ht="24" customHeight="1">
      <c r="B113" s="13"/>
      <c r="C113" s="13"/>
      <c r="D113" s="13"/>
      <c r="E113" s="13"/>
    </row>
  </sheetData>
  <mergeCells count="2">
    <mergeCell ref="A1:C1"/>
    <mergeCell ref="B2:E2"/>
  </mergeCells>
  <phoneticPr fontId="106" type="noConversion"/>
  <hyperlinks>
    <hyperlink ref="A1" location="'目录'!A1" display="点此返回目录"/>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14</vt:i4>
      </vt:variant>
    </vt:vector>
  </HeadingPairs>
  <TitlesOfParts>
    <vt:vector size="14" baseType="lpstr">
      <vt:lpstr>目录</vt:lpstr>
      <vt:lpstr>交易时间表</vt:lpstr>
      <vt:lpstr>期货合约要素</vt:lpstr>
      <vt:lpstr>期权合约要素</vt:lpstr>
      <vt:lpstr>保证金及涨跌停板幅度表</vt:lpstr>
      <vt:lpstr>限仓规则</vt:lpstr>
      <vt:lpstr>交易限额</vt:lpstr>
      <vt:lpstr>异常交易规则</vt:lpstr>
      <vt:lpstr>交割规则</vt:lpstr>
      <vt:lpstr>保证金优惠规则</vt:lpstr>
      <vt:lpstr>申报费规则</vt:lpstr>
      <vt:lpstr>交易指令</vt:lpstr>
      <vt:lpstr>期权行权规则</vt:lpstr>
      <vt:lpstr>修订记录</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Jinyang Zhu</dc:creator>
  <cp:lastModifiedBy>ntw-desktop</cp:lastModifiedBy>
  <dcterms:created xsi:type="dcterms:W3CDTF">2024-01-15T22:56:00Z</dcterms:created>
  <dcterms:modified xsi:type="dcterms:W3CDTF">2025-06-01T16:57:55Z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82E63477C6434BC198E079A2F8F97A59_13</vt:lpwstr>
  </property>
  <property fmtid="{D5CDD505-2E9C-101B-9397-08002B2CF9AE}" pid="3" name="KSOProductBuildVer">
    <vt:lpwstr>2052-12.8.2.18913</vt:lpwstr>
  </property>
  <property fmtid="{D5CDD505-2E9C-101B-9397-08002B2CF9AE}" pid="4" name="KSOReadingLayout">
    <vt:bool>false</vt:bool>
  </property>
  <property fmtid="{D5CDD505-2E9C-101B-9397-08002B2CF9AE}" pid="5" name="EM_Doc_Temp_ID">
    <vt:lpwstr>7021F662-EC55-4E0F-B5F3-CFA3621E0DDD</vt:lpwstr>
  </property>
</Properties>
</file>